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\Projects\BAMTS\Development\BAMTS_Internal\Documents\社内管理\"/>
    </mc:Choice>
  </mc:AlternateContent>
  <xr:revisionPtr revIDLastSave="0" documentId="8_{BE929BC2-52A5-494B-8294-1796C42D89A9}" xr6:coauthVersionLast="47" xr6:coauthVersionMax="47" xr10:uidLastSave="{00000000-0000-0000-0000-000000000000}"/>
  <bookViews>
    <workbookView xWindow="7050" yWindow="7020" windowWidth="43170" windowHeight="23535" activeTab="1"/>
  </bookViews>
  <sheets>
    <sheet name="受注伝票" sheetId="1" r:id="rId1"/>
    <sheet name="受注一覧" sheetId="2" r:id="rId2"/>
    <sheet name="メモ" sheetId="9" state="hidden" r:id="rId3"/>
    <sheet name="LISTCOLDEFNUM_W" sheetId="6" state="hidden" r:id="rId4"/>
    <sheet name="LISTCOLDEFNUM_R" sheetId="7" state="hidden" r:id="rId5"/>
    <sheet name="LISTCOLDEFALP" sheetId="4" state="hidden" r:id="rId6"/>
    <sheet name="MASTER" sheetId="5" state="hidden" r:id="rId7"/>
  </sheets>
  <functionGroups builtInGroupCount="19"/>
  <externalReferences>
    <externalReference r:id="rId8"/>
  </externalReferences>
  <definedNames>
    <definedName name="_xlnm._FilterDatabase" localSheetId="1" hidden="1">受注一覧!$A$5:$CK$1523</definedName>
    <definedName name="_xlnm._FilterDatabase" localSheetId="0" hidden="1">受注伝票!$IO$2:$IO$4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C1494" i="2" l="1"/>
  <c r="BC1428" i="2"/>
  <c r="BC1314" i="2"/>
  <c r="BC1232" i="2"/>
  <c r="BC1205" i="2"/>
  <c r="BC1204" i="2"/>
  <c r="AZ1511" i="2"/>
  <c r="AZ1463" i="2"/>
  <c r="BK1514" i="2"/>
  <c r="BK1477" i="2"/>
  <c r="BK1457" i="2"/>
  <c r="BK1314" i="2"/>
  <c r="BK1303" i="2"/>
  <c r="BK1301" i="2"/>
  <c r="BK1298" i="2"/>
  <c r="BK1297" i="2"/>
  <c r="BK1294" i="2"/>
  <c r="BK1292" i="2"/>
  <c r="BK1288" i="2"/>
  <c r="BK1287" i="2"/>
  <c r="BK1283" i="2"/>
  <c r="BK1281" i="2"/>
  <c r="BK1276" i="2"/>
  <c r="BK1275" i="2"/>
  <c r="BK1265" i="2"/>
  <c r="BK1232" i="2"/>
  <c r="BK1231" i="2"/>
  <c r="BC1497" i="2"/>
  <c r="BC1457" i="2"/>
  <c r="BC1231" i="2"/>
  <c r="BC1064" i="2"/>
  <c r="AZ1497" i="2"/>
  <c r="AZ1469" i="2"/>
  <c r="AZ1390" i="2"/>
  <c r="AZ1331" i="2"/>
  <c r="AZ1064" i="2"/>
  <c r="AZ1496" i="2"/>
  <c r="BK1499" i="2"/>
  <c r="BK1473" i="2"/>
  <c r="BK1472" i="2"/>
  <c r="BK1419" i="2"/>
  <c r="BK1405" i="2"/>
  <c r="BK1404" i="2"/>
  <c r="BK1403" i="2"/>
  <c r="BK1381" i="2"/>
  <c r="BK1379" i="2"/>
  <c r="BK1352" i="2"/>
  <c r="BK1320" i="2"/>
  <c r="BK1302" i="2"/>
  <c r="BK1299" i="2"/>
  <c r="BK1295" i="2"/>
  <c r="BK1293" i="2"/>
  <c r="BK1289" i="2"/>
  <c r="BK1285" i="2"/>
  <c r="BK1282" i="2"/>
  <c r="BK1278" i="2"/>
  <c r="BK1277" i="2"/>
  <c r="BK1273" i="2"/>
  <c r="BK1228" i="2"/>
  <c r="BK1227" i="2"/>
  <c r="BK1226" i="2"/>
  <c r="BC1503" i="2"/>
  <c r="BC1487" i="2"/>
  <c r="BC1513" i="2"/>
  <c r="BC1502" i="2"/>
  <c r="BC1403" i="2"/>
  <c r="BC1228" i="2"/>
  <c r="BC1227" i="2"/>
  <c r="BC1225" i="2"/>
  <c r="AZ1514" i="2"/>
  <c r="AZ1513" i="2"/>
  <c r="AZ1509" i="2"/>
  <c r="AZ1508" i="2"/>
  <c r="AZ1507" i="2"/>
  <c r="AZ1506" i="2"/>
  <c r="AZ1504" i="2"/>
  <c r="AZ1503" i="2"/>
  <c r="AZ1502" i="2"/>
  <c r="AZ1500" i="2"/>
  <c r="AZ1499" i="2"/>
  <c r="AZ1484" i="2"/>
  <c r="AZ1483" i="2"/>
  <c r="AZ1481" i="2"/>
  <c r="AZ1480" i="2"/>
  <c r="AZ1477" i="2"/>
  <c r="AZ1475" i="2"/>
  <c r="AZ1474" i="2"/>
  <c r="AZ1473" i="2"/>
  <c r="AZ1472" i="2"/>
  <c r="AZ1468" i="2"/>
  <c r="AZ1467" i="2"/>
  <c r="AZ1466" i="2"/>
  <c r="AZ1465" i="2"/>
  <c r="AZ1462" i="2"/>
  <c r="AZ1457" i="2"/>
  <c r="AZ1450" i="2"/>
  <c r="AZ1449" i="2"/>
  <c r="AZ1447" i="2"/>
  <c r="AZ1446" i="2"/>
  <c r="AZ1445" i="2"/>
  <c r="AZ1434" i="2"/>
  <c r="AZ1432" i="2"/>
  <c r="AZ1426" i="2"/>
  <c r="AZ1419" i="2"/>
  <c r="AZ1418" i="2"/>
  <c r="AZ1412" i="2"/>
  <c r="AZ1405" i="2"/>
  <c r="AZ1404" i="2"/>
  <c r="AZ1403" i="2"/>
  <c r="AZ1393" i="2"/>
  <c r="AZ1381" i="2"/>
  <c r="AZ1379" i="2"/>
  <c r="AZ1372" i="2"/>
  <c r="AZ1371" i="2"/>
  <c r="AZ1370" i="2"/>
  <c r="AZ1369" i="2"/>
  <c r="AZ1368" i="2"/>
  <c r="AZ1367" i="2"/>
  <c r="AZ1352" i="2"/>
  <c r="AZ1322" i="2"/>
  <c r="AZ1320" i="2"/>
  <c r="AZ1299" i="2"/>
  <c r="AZ1289" i="2"/>
  <c r="AZ1278" i="2"/>
  <c r="AZ1277" i="2"/>
  <c r="AZ1228" i="2"/>
  <c r="AZ1227" i="2"/>
  <c r="BK1225" i="2"/>
  <c r="BK5" i="2"/>
  <c r="AZ1225" i="2"/>
  <c r="AZ886" i="2"/>
  <c r="AZ1302" i="2"/>
  <c r="AZ1295" i="2"/>
  <c r="AZ1293" i="2"/>
  <c r="AZ1285" i="2"/>
  <c r="AZ1282" i="2"/>
  <c r="AZ1279" i="2"/>
  <c r="AZ1273" i="2"/>
  <c r="AZ1232" i="2"/>
  <c r="AZ1231" i="2"/>
  <c r="AZ1230" i="2"/>
  <c r="AZ1226" i="2"/>
  <c r="AZ648" i="2"/>
  <c r="AZ1510" i="2"/>
  <c r="AY1512" i="2"/>
  <c r="AZ1512" i="2" s="1"/>
  <c r="AZ1505" i="2"/>
  <c r="AZ1501" i="2"/>
  <c r="AZ1498" i="2"/>
  <c r="AZ1495" i="2"/>
  <c r="AY1485" i="2"/>
  <c r="AZ1485" i="2"/>
  <c r="AZ1486" i="2"/>
  <c r="AY1487" i="2"/>
  <c r="AZ1487" i="2" s="1"/>
  <c r="AY1488" i="2"/>
  <c r="AZ1488" i="2" s="1"/>
  <c r="AY1489" i="2"/>
  <c r="AZ1489" i="2"/>
  <c r="AZ1490" i="2"/>
  <c r="AZ1491" i="2"/>
  <c r="AZ1492" i="2"/>
  <c r="AZ1493" i="2"/>
  <c r="AZ1494" i="2"/>
  <c r="AZ1482" i="2"/>
  <c r="AZ1479" i="2"/>
  <c r="AY1476" i="2"/>
  <c r="AZ1476" i="2"/>
  <c r="AZ1470" i="2"/>
  <c r="AZ1471" i="2"/>
  <c r="AZ1464" i="2"/>
  <c r="AZ1459" i="2"/>
  <c r="AZ1460" i="2"/>
  <c r="AZ1461" i="2"/>
  <c r="AZ1458" i="2"/>
  <c r="AZ1448" i="2"/>
  <c r="AZ1451" i="2"/>
  <c r="AZ1452" i="2"/>
  <c r="AZ1453" i="2"/>
  <c r="AZ1454" i="2"/>
  <c r="AZ1455" i="2"/>
  <c r="AZ1456" i="2"/>
  <c r="AZ1443" i="2"/>
  <c r="AZ1444" i="2"/>
  <c r="AZ1442" i="2"/>
  <c r="AZ1435" i="2"/>
  <c r="AZ1436" i="2"/>
  <c r="AZ1437" i="2"/>
  <c r="AZ1438" i="2"/>
  <c r="AZ1439" i="2"/>
  <c r="AZ1440" i="2"/>
  <c r="AZ1441" i="2"/>
  <c r="AZ1433" i="2"/>
  <c r="AY1427" i="2"/>
  <c r="AZ1427" i="2"/>
  <c r="AZ1428" i="2"/>
  <c r="AZ1429" i="2"/>
  <c r="AZ1430" i="2"/>
  <c r="AZ1431" i="2"/>
  <c r="AZ1425" i="2"/>
  <c r="AZ1423" i="2"/>
  <c r="AZ1424" i="2"/>
  <c r="AZ1414" i="2"/>
  <c r="AZ1407" i="2"/>
  <c r="AZ1421" i="2"/>
  <c r="AY1415" i="2"/>
  <c r="AZ1415" i="2"/>
  <c r="AY1416" i="2"/>
  <c r="AZ1416" i="2"/>
  <c r="AZ1417" i="2"/>
  <c r="AZ1420" i="2"/>
  <c r="AZ1413" i="2"/>
  <c r="AZ1409" i="2"/>
  <c r="AZ1410" i="2"/>
  <c r="AZ1411" i="2"/>
  <c r="AZ1408" i="2"/>
  <c r="AZ1402" i="2"/>
  <c r="AZ1401" i="2"/>
  <c r="AY1397" i="2"/>
  <c r="AZ1397" i="2" s="1"/>
  <c r="AY1398" i="2"/>
  <c r="AZ1398" i="2" s="1"/>
  <c r="AZ1400" i="2"/>
  <c r="AZ1394" i="2"/>
  <c r="AZ1395" i="2"/>
  <c r="AZ1396" i="2"/>
  <c r="AY1387" i="2"/>
  <c r="AZ1387" i="2" s="1"/>
  <c r="AZ1388" i="2"/>
  <c r="AZ1389" i="2"/>
  <c r="AY1392" i="2"/>
  <c r="AZ1392" i="2"/>
  <c r="AY1391" i="2"/>
  <c r="AZ1391" i="2" s="1"/>
  <c r="AZ1376" i="2"/>
  <c r="AY1377" i="2"/>
  <c r="AZ1377" i="2" s="1"/>
  <c r="AZ1378" i="2"/>
  <c r="AZ1380" i="2"/>
  <c r="AY1375" i="2"/>
  <c r="AZ1375" i="2"/>
  <c r="AZ1373" i="2"/>
  <c r="AZ1374" i="2"/>
  <c r="AZ1353" i="2"/>
  <c r="AZ1354" i="2"/>
  <c r="AY1355" i="2"/>
  <c r="AZ1355" i="2" s="1"/>
  <c r="AZ1356" i="2"/>
  <c r="AZ1357" i="2"/>
  <c r="AZ1358" i="2"/>
  <c r="AZ1359" i="2"/>
  <c r="AZ1360" i="2"/>
  <c r="AZ1361" i="2"/>
  <c r="AZ1362" i="2"/>
  <c r="AZ1363" i="2"/>
  <c r="AZ1364" i="2"/>
  <c r="AZ1365" i="2"/>
  <c r="AZ1366" i="2"/>
  <c r="AY1342" i="2"/>
  <c r="AZ1342" i="2" s="1"/>
  <c r="AZ1343" i="2"/>
  <c r="AZ1327" i="2"/>
  <c r="AZ1346" i="2"/>
  <c r="AZ1347" i="2"/>
  <c r="AZ1348" i="2"/>
  <c r="AZ1349" i="2"/>
  <c r="AZ1341" i="2"/>
  <c r="AZ1340" i="2"/>
  <c r="AZ1324" i="2"/>
  <c r="AZ1325" i="2"/>
  <c r="AZ1326" i="2"/>
  <c r="AZ1328" i="2"/>
  <c r="AZ1329" i="2"/>
  <c r="AZ1330" i="2"/>
  <c r="AZ1332" i="2"/>
  <c r="AZ1333" i="2"/>
  <c r="AZ1334" i="2"/>
  <c r="AZ1339" i="2"/>
  <c r="AZ1323" i="2"/>
  <c r="AZ1321" i="2"/>
  <c r="AZ1319" i="2"/>
  <c r="AZ1318" i="2"/>
  <c r="AZ1317" i="2"/>
  <c r="AZ1316" i="2"/>
  <c r="AZ1314" i="2"/>
  <c r="AZ1313" i="2"/>
  <c r="AZ1312" i="2"/>
  <c r="AZ1309" i="2"/>
  <c r="AZ1310" i="2"/>
  <c r="AZ1311" i="2"/>
  <c r="AZ1306" i="2"/>
  <c r="AZ1307" i="2"/>
  <c r="AZ9" i="2"/>
  <c r="AZ10" i="2"/>
  <c r="AZ11" i="2"/>
  <c r="AZ12" i="2"/>
  <c r="AZ13" i="2"/>
  <c r="AZ14" i="2"/>
  <c r="AZ15" i="2"/>
  <c r="AZ16" i="2"/>
  <c r="AZ17" i="2"/>
  <c r="AZ18" i="2"/>
  <c r="AZ19" i="2"/>
  <c r="AZ20" i="2"/>
  <c r="AZ21" i="2"/>
  <c r="AZ22" i="2"/>
  <c r="AZ23" i="2"/>
  <c r="AZ24" i="2"/>
  <c r="AZ25" i="2"/>
  <c r="AZ26" i="2"/>
  <c r="AZ27" i="2"/>
  <c r="AZ28" i="2"/>
  <c r="AZ29" i="2"/>
  <c r="AZ30" i="2"/>
  <c r="AZ31" i="2"/>
  <c r="AZ32" i="2"/>
  <c r="AZ33" i="2"/>
  <c r="AZ34" i="2"/>
  <c r="AZ35" i="2"/>
  <c r="AZ36" i="2"/>
  <c r="AZ37" i="2"/>
  <c r="AZ38" i="2"/>
  <c r="AZ40" i="2"/>
  <c r="AZ41" i="2"/>
  <c r="AZ42" i="2"/>
  <c r="AZ43" i="2"/>
  <c r="AZ44" i="2"/>
  <c r="AZ45" i="2"/>
  <c r="AZ46" i="2"/>
  <c r="AZ47" i="2"/>
  <c r="AZ48" i="2"/>
  <c r="AZ49" i="2"/>
  <c r="AZ50" i="2"/>
  <c r="AZ51" i="2"/>
  <c r="AZ52" i="2"/>
  <c r="AZ53" i="2"/>
  <c r="AZ54" i="2"/>
  <c r="AZ55" i="2"/>
  <c r="AZ56" i="2"/>
  <c r="AZ57" i="2"/>
  <c r="AZ58" i="2"/>
  <c r="AZ59" i="2"/>
  <c r="AZ60" i="2"/>
  <c r="AZ61" i="2"/>
  <c r="AZ62" i="2"/>
  <c r="AZ63" i="2"/>
  <c r="AZ64" i="2"/>
  <c r="AZ65" i="2"/>
  <c r="AZ66" i="2"/>
  <c r="AZ67" i="2"/>
  <c r="AZ68" i="2"/>
  <c r="AZ69" i="2"/>
  <c r="AZ70" i="2"/>
  <c r="AZ71" i="2"/>
  <c r="AZ72" i="2"/>
  <c r="AZ73" i="2"/>
  <c r="AZ74" i="2"/>
  <c r="AZ75" i="2"/>
  <c r="AZ76" i="2"/>
  <c r="AZ77" i="2"/>
  <c r="AZ78" i="2"/>
  <c r="AZ79" i="2"/>
  <c r="AZ80" i="2"/>
  <c r="AZ81" i="2"/>
  <c r="AZ82" i="2"/>
  <c r="AZ83" i="2"/>
  <c r="AZ84" i="2"/>
  <c r="AZ85" i="2"/>
  <c r="AZ86" i="2"/>
  <c r="AZ87" i="2"/>
  <c r="AZ88" i="2"/>
  <c r="AZ89" i="2"/>
  <c r="AZ90" i="2"/>
  <c r="AZ91" i="2"/>
  <c r="AZ94" i="2"/>
  <c r="AZ95" i="2"/>
  <c r="AZ96" i="2"/>
  <c r="AZ97" i="2"/>
  <c r="AZ98" i="2"/>
  <c r="AZ99" i="2"/>
  <c r="AZ100" i="2"/>
  <c r="AZ101" i="2"/>
  <c r="AZ102" i="2"/>
  <c r="AZ104" i="2"/>
  <c r="AZ105" i="2"/>
  <c r="AZ108" i="2"/>
  <c r="AZ121" i="2"/>
  <c r="AZ123" i="2"/>
  <c r="AZ124" i="2"/>
  <c r="AZ125" i="2"/>
  <c r="AZ126" i="2"/>
  <c r="AZ127" i="2"/>
  <c r="AZ128" i="2"/>
  <c r="AZ129" i="2"/>
  <c r="AZ130" i="2"/>
  <c r="AZ134" i="2"/>
  <c r="AZ135" i="2"/>
  <c r="AZ136" i="2"/>
  <c r="AZ137" i="2"/>
  <c r="AZ138" i="2"/>
  <c r="AZ139" i="2"/>
  <c r="AZ140" i="2"/>
  <c r="AZ141" i="2"/>
  <c r="AZ142" i="2"/>
  <c r="AZ143" i="2"/>
  <c r="AZ144" i="2"/>
  <c r="AZ145" i="2"/>
  <c r="AZ146" i="2"/>
  <c r="AZ147" i="2"/>
  <c r="AZ149" i="2"/>
  <c r="AZ150" i="2"/>
  <c r="AZ151" i="2"/>
  <c r="AZ152" i="2"/>
  <c r="AZ153" i="2"/>
  <c r="AZ154" i="2"/>
  <c r="AZ155" i="2"/>
  <c r="AZ156" i="2"/>
  <c r="AZ157" i="2"/>
  <c r="AZ158" i="2"/>
  <c r="AZ159" i="2"/>
  <c r="AZ160" i="2"/>
  <c r="AZ161" i="2"/>
  <c r="AZ162" i="2"/>
  <c r="AZ164" i="2"/>
  <c r="AZ165" i="2"/>
  <c r="AZ166" i="2"/>
  <c r="AZ167" i="2"/>
  <c r="AZ168" i="2"/>
  <c r="AZ169" i="2"/>
  <c r="AZ170" i="2"/>
  <c r="AZ171" i="2"/>
  <c r="AZ172" i="2"/>
  <c r="AZ173" i="2"/>
  <c r="AZ174" i="2"/>
  <c r="AZ175" i="2"/>
  <c r="AZ176" i="2"/>
  <c r="AZ177" i="2"/>
  <c r="AZ178" i="2"/>
  <c r="AZ179" i="2"/>
  <c r="AZ180" i="2"/>
  <c r="AZ181" i="2"/>
  <c r="AZ182" i="2"/>
  <c r="AZ183" i="2"/>
  <c r="AZ184" i="2"/>
  <c r="AZ185" i="2"/>
  <c r="AZ186" i="2"/>
  <c r="AZ187" i="2"/>
  <c r="AZ188" i="2"/>
  <c r="AZ189" i="2"/>
  <c r="AZ190" i="2"/>
  <c r="AZ191" i="2"/>
  <c r="AZ192" i="2"/>
  <c r="AZ193" i="2"/>
  <c r="AZ194" i="2"/>
  <c r="AZ195" i="2"/>
  <c r="AZ196" i="2"/>
  <c r="AZ197" i="2"/>
  <c r="AZ198" i="2"/>
  <c r="AZ199" i="2"/>
  <c r="AZ200" i="2"/>
  <c r="AZ201" i="2"/>
  <c r="AZ202" i="2"/>
  <c r="AZ203" i="2"/>
  <c r="AZ204" i="2"/>
  <c r="AZ205" i="2"/>
  <c r="AZ206" i="2"/>
  <c r="AZ207" i="2"/>
  <c r="AZ208" i="2"/>
  <c r="AZ209" i="2"/>
  <c r="AZ210" i="2"/>
  <c r="AZ212" i="2"/>
  <c r="AZ213" i="2"/>
  <c r="AZ214" i="2"/>
  <c r="AZ215" i="2"/>
  <c r="AZ216" i="2"/>
  <c r="AZ217" i="2"/>
  <c r="AZ218" i="2"/>
  <c r="AZ219" i="2"/>
  <c r="AZ220" i="2"/>
  <c r="AZ221" i="2"/>
  <c r="AZ222" i="2"/>
  <c r="AZ223" i="2"/>
  <c r="AZ224" i="2"/>
  <c r="AZ225" i="2"/>
  <c r="AZ226" i="2"/>
  <c r="AZ227" i="2"/>
  <c r="AZ228" i="2"/>
  <c r="AZ229" i="2"/>
  <c r="AZ230" i="2"/>
  <c r="AZ231" i="2"/>
  <c r="AZ232" i="2"/>
  <c r="AZ233" i="2"/>
  <c r="AZ234" i="2"/>
  <c r="AZ235" i="2"/>
  <c r="AZ236" i="2"/>
  <c r="AZ237" i="2"/>
  <c r="AZ238" i="2"/>
  <c r="AZ239" i="2"/>
  <c r="AZ240" i="2"/>
  <c r="AZ241" i="2"/>
  <c r="AZ242" i="2"/>
  <c r="AZ243" i="2"/>
  <c r="AZ244" i="2"/>
  <c r="AZ245" i="2"/>
  <c r="AZ246" i="2"/>
  <c r="AZ247" i="2"/>
  <c r="AZ248" i="2"/>
  <c r="AZ249" i="2"/>
  <c r="AZ250" i="2"/>
  <c r="AZ251" i="2"/>
  <c r="AZ252" i="2"/>
  <c r="AZ253" i="2"/>
  <c r="AZ254" i="2"/>
  <c r="AZ255" i="2"/>
  <c r="AZ256" i="2"/>
  <c r="AZ257" i="2"/>
  <c r="AZ258" i="2"/>
  <c r="AZ259" i="2"/>
  <c r="AZ260" i="2"/>
  <c r="AZ261" i="2"/>
  <c r="AZ262" i="2"/>
  <c r="AZ263" i="2"/>
  <c r="AZ264" i="2"/>
  <c r="AZ265" i="2"/>
  <c r="AZ266" i="2"/>
  <c r="AZ267" i="2"/>
  <c r="AZ268" i="2"/>
  <c r="AZ269" i="2"/>
  <c r="AZ270" i="2"/>
  <c r="AZ271" i="2"/>
  <c r="AZ272" i="2"/>
  <c r="AZ273" i="2"/>
  <c r="AZ274" i="2"/>
  <c r="AZ275" i="2"/>
  <c r="AZ276" i="2"/>
  <c r="AZ277" i="2"/>
  <c r="AZ278" i="2"/>
  <c r="AZ279" i="2"/>
  <c r="AZ280" i="2"/>
  <c r="AZ281" i="2"/>
  <c r="AZ282" i="2"/>
  <c r="AZ283" i="2"/>
  <c r="AZ284" i="2"/>
  <c r="AZ285" i="2"/>
  <c r="AZ286" i="2"/>
  <c r="AZ287" i="2"/>
  <c r="AZ288" i="2"/>
  <c r="AZ289" i="2"/>
  <c r="AZ290" i="2"/>
  <c r="AZ291" i="2"/>
  <c r="AZ292" i="2"/>
  <c r="AZ293" i="2"/>
  <c r="AZ294" i="2"/>
  <c r="AZ295" i="2"/>
  <c r="AZ296" i="2"/>
  <c r="AZ297" i="2"/>
  <c r="AZ298" i="2"/>
  <c r="AZ299" i="2"/>
  <c r="AZ300" i="2"/>
  <c r="AZ301" i="2"/>
  <c r="AZ302" i="2"/>
  <c r="AZ303" i="2"/>
  <c r="AZ304" i="2"/>
  <c r="AZ305" i="2"/>
  <c r="AZ306" i="2"/>
  <c r="AZ307" i="2"/>
  <c r="AZ308" i="2"/>
  <c r="AZ309" i="2"/>
  <c r="AZ310" i="2"/>
  <c r="AZ311" i="2"/>
  <c r="AZ312" i="2"/>
  <c r="AZ313" i="2"/>
  <c r="AZ314" i="2"/>
  <c r="AZ316" i="2"/>
  <c r="AZ317" i="2"/>
  <c r="AZ320" i="2"/>
  <c r="AZ321" i="2"/>
  <c r="AZ322" i="2"/>
  <c r="AZ323" i="2"/>
  <c r="AZ324" i="2"/>
  <c r="AZ325" i="2"/>
  <c r="AZ326" i="2"/>
  <c r="AZ327" i="2"/>
  <c r="AZ328" i="2"/>
  <c r="AZ329" i="2"/>
  <c r="AZ330" i="2"/>
  <c r="AZ331" i="2"/>
  <c r="AZ332" i="2"/>
  <c r="AZ333" i="2"/>
  <c r="AZ334" i="2"/>
  <c r="AZ335" i="2"/>
  <c r="AZ336" i="2"/>
  <c r="AZ337" i="2"/>
  <c r="AZ338" i="2"/>
  <c r="AZ339" i="2"/>
  <c r="AZ340" i="2"/>
  <c r="AZ341" i="2"/>
  <c r="AZ343" i="2"/>
  <c r="AZ344" i="2"/>
  <c r="AZ345" i="2"/>
  <c r="AZ346" i="2"/>
  <c r="AZ347" i="2"/>
  <c r="AZ348" i="2"/>
  <c r="AZ349" i="2"/>
  <c r="AZ350" i="2"/>
  <c r="AZ351" i="2"/>
  <c r="AZ352" i="2"/>
  <c r="AZ353" i="2"/>
  <c r="AZ354" i="2"/>
  <c r="AZ355" i="2"/>
  <c r="AZ356" i="2"/>
  <c r="AZ357" i="2"/>
  <c r="AZ358" i="2"/>
  <c r="AZ359" i="2"/>
  <c r="AZ360" i="2"/>
  <c r="AZ361" i="2"/>
  <c r="AZ362" i="2"/>
  <c r="AZ363" i="2"/>
  <c r="AZ364" i="2"/>
  <c r="AZ365" i="2"/>
  <c r="AZ366" i="2"/>
  <c r="AZ367" i="2"/>
  <c r="AZ368" i="2"/>
  <c r="AZ369" i="2"/>
  <c r="AZ370" i="2"/>
  <c r="AZ371" i="2"/>
  <c r="AZ372" i="2"/>
  <c r="AZ373" i="2"/>
  <c r="AZ374" i="2"/>
  <c r="AZ375" i="2"/>
  <c r="AZ376" i="2"/>
  <c r="AZ377" i="2"/>
  <c r="AZ378" i="2"/>
  <c r="AZ379" i="2"/>
  <c r="AZ380" i="2"/>
  <c r="AZ381" i="2"/>
  <c r="AZ382" i="2"/>
  <c r="AZ383" i="2"/>
  <c r="AZ384" i="2"/>
  <c r="AZ385" i="2"/>
  <c r="AZ386" i="2"/>
  <c r="AZ387" i="2"/>
  <c r="AZ388" i="2"/>
  <c r="AZ389" i="2"/>
  <c r="AZ390" i="2"/>
  <c r="AZ393" i="2"/>
  <c r="AZ394" i="2"/>
  <c r="AZ395" i="2"/>
  <c r="AZ396" i="2"/>
  <c r="AZ397" i="2"/>
  <c r="AZ398" i="2"/>
  <c r="AZ399" i="2"/>
  <c r="AZ400" i="2"/>
  <c r="AZ401" i="2"/>
  <c r="AZ402" i="2"/>
  <c r="AZ403" i="2"/>
  <c r="AZ404" i="2"/>
  <c r="AZ405" i="2"/>
  <c r="AZ406" i="2"/>
  <c r="AZ407" i="2"/>
  <c r="AZ408" i="2"/>
  <c r="AZ409" i="2"/>
  <c r="AZ410" i="2"/>
  <c r="AZ411" i="2"/>
  <c r="AZ412" i="2"/>
  <c r="AZ413" i="2"/>
  <c r="AZ414" i="2"/>
  <c r="AZ415" i="2"/>
  <c r="AZ416" i="2"/>
  <c r="AZ417" i="2"/>
  <c r="AZ418" i="2"/>
  <c r="AZ419" i="2"/>
  <c r="AZ420" i="2"/>
  <c r="AZ421" i="2"/>
  <c r="AZ422" i="2"/>
  <c r="AZ423" i="2"/>
  <c r="AZ424" i="2"/>
  <c r="AZ425" i="2"/>
  <c r="AZ426" i="2"/>
  <c r="AZ427" i="2"/>
  <c r="AZ428" i="2"/>
  <c r="AZ429" i="2"/>
  <c r="AZ430" i="2"/>
  <c r="AZ431" i="2"/>
  <c r="AZ432" i="2"/>
  <c r="AZ433" i="2"/>
  <c r="AZ434" i="2"/>
  <c r="AZ435" i="2"/>
  <c r="AZ436" i="2"/>
  <c r="AZ437" i="2"/>
  <c r="AZ438" i="2"/>
  <c r="AZ439" i="2"/>
  <c r="AZ440" i="2"/>
  <c r="AZ441" i="2"/>
  <c r="AZ442" i="2"/>
  <c r="AZ443" i="2"/>
  <c r="AZ444" i="2"/>
  <c r="AZ445" i="2"/>
  <c r="AZ446" i="2"/>
  <c r="AZ447" i="2"/>
  <c r="AZ448" i="2"/>
  <c r="AZ449" i="2"/>
  <c r="AZ450" i="2"/>
  <c r="AZ451" i="2"/>
  <c r="AZ452" i="2"/>
  <c r="AZ453" i="2"/>
  <c r="AZ454" i="2"/>
  <c r="AZ455" i="2"/>
  <c r="AZ456" i="2"/>
  <c r="AZ457" i="2"/>
  <c r="AZ458" i="2"/>
  <c r="AZ459" i="2"/>
  <c r="AZ460" i="2"/>
  <c r="AZ461" i="2"/>
  <c r="AZ462" i="2"/>
  <c r="AZ463" i="2"/>
  <c r="AZ464" i="2"/>
  <c r="AZ465" i="2"/>
  <c r="AZ466" i="2"/>
  <c r="AZ467" i="2"/>
  <c r="AZ468" i="2"/>
  <c r="AZ469" i="2"/>
  <c r="AZ470" i="2"/>
  <c r="AZ471" i="2"/>
  <c r="AZ472" i="2"/>
  <c r="AZ473" i="2"/>
  <c r="AZ474" i="2"/>
  <c r="AZ475" i="2"/>
  <c r="AZ476" i="2"/>
  <c r="AZ477" i="2"/>
  <c r="AZ478" i="2"/>
  <c r="AZ479" i="2"/>
  <c r="AZ480" i="2"/>
  <c r="AZ481" i="2"/>
  <c r="AZ482" i="2"/>
  <c r="AZ483" i="2"/>
  <c r="AZ484" i="2"/>
  <c r="AZ485" i="2"/>
  <c r="AZ486" i="2"/>
  <c r="AZ487" i="2"/>
  <c r="AZ488" i="2"/>
  <c r="AZ489" i="2"/>
  <c r="AZ490" i="2"/>
  <c r="AZ491" i="2"/>
  <c r="AZ492" i="2"/>
  <c r="AZ493" i="2"/>
  <c r="AZ494" i="2"/>
  <c r="AZ495" i="2"/>
  <c r="AZ496" i="2"/>
  <c r="AZ497" i="2"/>
  <c r="AZ498" i="2"/>
  <c r="AZ499" i="2"/>
  <c r="AZ500" i="2"/>
  <c r="AZ501" i="2"/>
  <c r="AZ502" i="2"/>
  <c r="AZ503" i="2"/>
  <c r="AZ504" i="2"/>
  <c r="AZ505" i="2"/>
  <c r="AZ507" i="2"/>
  <c r="AZ508" i="2"/>
  <c r="AZ509" i="2"/>
  <c r="AZ510" i="2"/>
  <c r="AZ512" i="2"/>
  <c r="AZ513" i="2"/>
  <c r="AZ514" i="2"/>
  <c r="AZ515" i="2"/>
  <c r="AZ516" i="2"/>
  <c r="AZ517" i="2"/>
  <c r="AZ518" i="2"/>
  <c r="AZ519" i="2"/>
  <c r="AZ520" i="2"/>
  <c r="AZ521" i="2"/>
  <c r="AZ522" i="2"/>
  <c r="AZ523" i="2"/>
  <c r="AZ524" i="2"/>
  <c r="AZ525" i="2"/>
  <c r="AZ526" i="2"/>
  <c r="AZ527" i="2"/>
  <c r="AZ528" i="2"/>
  <c r="AZ529" i="2"/>
  <c r="AZ530" i="2"/>
  <c r="AZ531" i="2"/>
  <c r="AZ532" i="2"/>
  <c r="AZ533" i="2"/>
  <c r="AZ534" i="2"/>
  <c r="AZ535" i="2"/>
  <c r="AZ536" i="2"/>
  <c r="AZ537" i="2"/>
  <c r="AZ538" i="2"/>
  <c r="AZ539" i="2"/>
  <c r="AZ540" i="2"/>
  <c r="AZ541" i="2"/>
  <c r="AZ542" i="2"/>
  <c r="AZ543" i="2"/>
  <c r="AZ544" i="2"/>
  <c r="AZ545" i="2"/>
  <c r="AZ546" i="2"/>
  <c r="AZ547" i="2"/>
  <c r="AZ548" i="2"/>
  <c r="AZ549" i="2"/>
  <c r="AZ551" i="2"/>
  <c r="AZ552" i="2"/>
  <c r="AZ553" i="2"/>
  <c r="AZ554" i="2"/>
  <c r="AZ555" i="2"/>
  <c r="AZ556" i="2"/>
  <c r="AZ557" i="2"/>
  <c r="AZ558" i="2"/>
  <c r="AZ559" i="2"/>
  <c r="AZ560" i="2"/>
  <c r="AZ561" i="2"/>
  <c r="AZ562" i="2"/>
  <c r="AZ563" i="2"/>
  <c r="AZ564" i="2"/>
  <c r="AZ565" i="2"/>
  <c r="AZ566" i="2"/>
  <c r="AZ567" i="2"/>
  <c r="AZ568" i="2"/>
  <c r="AZ569" i="2"/>
  <c r="AZ570" i="2"/>
  <c r="AZ571" i="2"/>
  <c r="AZ572" i="2"/>
  <c r="AZ573" i="2"/>
  <c r="AZ574" i="2"/>
  <c r="AZ575" i="2"/>
  <c r="AZ576" i="2"/>
  <c r="AZ577" i="2"/>
  <c r="AZ578" i="2"/>
  <c r="AZ579" i="2"/>
  <c r="AZ580" i="2"/>
  <c r="AZ581" i="2"/>
  <c r="AZ582" i="2"/>
  <c r="AZ583" i="2"/>
  <c r="AZ584" i="2"/>
  <c r="AZ585" i="2"/>
  <c r="AZ586" i="2"/>
  <c r="AZ587" i="2"/>
  <c r="AZ588" i="2"/>
  <c r="AZ589" i="2"/>
  <c r="AZ590" i="2"/>
  <c r="AZ591" i="2"/>
  <c r="AZ592" i="2"/>
  <c r="AZ593" i="2"/>
  <c r="AZ594" i="2"/>
  <c r="AZ595" i="2"/>
  <c r="AZ596" i="2"/>
  <c r="AZ597" i="2"/>
  <c r="AZ598" i="2"/>
  <c r="AZ599" i="2"/>
  <c r="AZ600" i="2"/>
  <c r="AZ601" i="2"/>
  <c r="AZ602" i="2"/>
  <c r="AZ603" i="2"/>
  <c r="AZ604" i="2"/>
  <c r="AZ605" i="2"/>
  <c r="AZ606" i="2"/>
  <c r="AZ607" i="2"/>
  <c r="AZ608" i="2"/>
  <c r="AZ609" i="2"/>
  <c r="AZ610" i="2"/>
  <c r="AZ611" i="2"/>
  <c r="AZ612" i="2"/>
  <c r="AZ613" i="2"/>
  <c r="AZ614" i="2"/>
  <c r="AZ615" i="2"/>
  <c r="AZ616" i="2"/>
  <c r="AZ617" i="2"/>
  <c r="AZ618" i="2"/>
  <c r="AZ619" i="2"/>
  <c r="AZ620" i="2"/>
  <c r="AZ621" i="2"/>
  <c r="AZ622" i="2"/>
  <c r="AZ623" i="2"/>
  <c r="AZ624" i="2"/>
  <c r="AZ625" i="2"/>
  <c r="AZ626" i="2"/>
  <c r="AZ627" i="2"/>
  <c r="AZ628" i="2"/>
  <c r="AZ629" i="2"/>
  <c r="AZ630" i="2"/>
  <c r="AZ631" i="2"/>
  <c r="AZ632" i="2"/>
  <c r="AZ633" i="2"/>
  <c r="AZ634" i="2"/>
  <c r="AZ635" i="2"/>
  <c r="AZ636" i="2"/>
  <c r="AZ637" i="2"/>
  <c r="AZ638" i="2"/>
  <c r="AZ639" i="2"/>
  <c r="AZ640" i="2"/>
  <c r="AZ641" i="2"/>
  <c r="AZ642" i="2"/>
  <c r="AZ643" i="2"/>
  <c r="AZ645" i="2"/>
  <c r="AZ646" i="2"/>
  <c r="AZ647" i="2"/>
  <c r="AZ649" i="2"/>
  <c r="AZ650" i="2"/>
  <c r="AZ651" i="2"/>
  <c r="AZ652" i="2"/>
  <c r="AZ653" i="2"/>
  <c r="AZ654" i="2"/>
  <c r="AZ655" i="2"/>
  <c r="AZ656" i="2"/>
  <c r="AZ657" i="2"/>
  <c r="AZ658" i="2"/>
  <c r="AZ659" i="2"/>
  <c r="AZ660" i="2"/>
  <c r="AZ661" i="2"/>
  <c r="AZ663" i="2"/>
  <c r="AZ666" i="2"/>
  <c r="AZ667" i="2"/>
  <c r="AZ668" i="2"/>
  <c r="AZ669" i="2"/>
  <c r="AZ670" i="2"/>
  <c r="AZ671" i="2"/>
  <c r="AZ672" i="2"/>
  <c r="AZ673" i="2"/>
  <c r="AZ674" i="2"/>
  <c r="AZ675" i="2"/>
  <c r="AZ676" i="2"/>
  <c r="AZ677" i="2"/>
  <c r="AZ678" i="2"/>
  <c r="AZ679" i="2"/>
  <c r="AZ680" i="2"/>
  <c r="AZ681" i="2"/>
  <c r="AZ682" i="2"/>
  <c r="AZ685" i="2"/>
  <c r="AZ686" i="2"/>
  <c r="AZ687" i="2"/>
  <c r="AZ688" i="2"/>
  <c r="AZ689" i="2"/>
  <c r="AZ690" i="2"/>
  <c r="AZ691" i="2"/>
  <c r="AZ692" i="2"/>
  <c r="AZ693" i="2"/>
  <c r="AZ694" i="2"/>
  <c r="AZ695" i="2"/>
  <c r="AZ696" i="2"/>
  <c r="AZ697" i="2"/>
  <c r="AZ698" i="2"/>
  <c r="AZ700" i="2"/>
  <c r="AZ701" i="2"/>
  <c r="AZ702" i="2"/>
  <c r="AZ703" i="2"/>
  <c r="AZ704" i="2"/>
  <c r="AZ705" i="2"/>
  <c r="AZ706" i="2"/>
  <c r="AZ707" i="2"/>
  <c r="AZ708" i="2"/>
  <c r="AZ709" i="2"/>
  <c r="AZ710" i="2"/>
  <c r="AZ711" i="2"/>
  <c r="AZ712" i="2"/>
  <c r="AZ713" i="2"/>
  <c r="AZ714" i="2"/>
  <c r="AZ715" i="2"/>
  <c r="AZ716" i="2"/>
  <c r="AZ717" i="2"/>
  <c r="AZ718" i="2"/>
  <c r="AZ719" i="2"/>
  <c r="AZ720" i="2"/>
  <c r="AZ721" i="2"/>
  <c r="AZ722" i="2"/>
  <c r="AZ723" i="2"/>
  <c r="AZ724" i="2"/>
  <c r="AZ725" i="2"/>
  <c r="AZ726" i="2"/>
  <c r="AZ727" i="2"/>
  <c r="AZ728" i="2"/>
  <c r="AZ729" i="2"/>
  <c r="AZ730" i="2"/>
  <c r="AZ731" i="2"/>
  <c r="AZ732" i="2"/>
  <c r="AZ733" i="2"/>
  <c r="AZ734" i="2"/>
  <c r="AZ735" i="2"/>
  <c r="AZ736" i="2"/>
  <c r="AZ737" i="2"/>
  <c r="AZ738" i="2"/>
  <c r="AZ739" i="2"/>
  <c r="AZ741" i="2"/>
  <c r="AZ742" i="2"/>
  <c r="AZ743" i="2"/>
  <c r="AZ744" i="2"/>
  <c r="AZ745" i="2"/>
  <c r="AZ746" i="2"/>
  <c r="AZ747" i="2"/>
  <c r="AZ748" i="2"/>
  <c r="AZ749" i="2"/>
  <c r="AZ750" i="2"/>
  <c r="AZ751" i="2"/>
  <c r="AZ752" i="2"/>
  <c r="AZ753" i="2"/>
  <c r="AZ754" i="2"/>
  <c r="AZ755" i="2"/>
  <c r="AZ756" i="2"/>
  <c r="AZ757" i="2"/>
  <c r="AZ758" i="2"/>
  <c r="AZ759" i="2"/>
  <c r="AZ760" i="2"/>
  <c r="AZ761" i="2"/>
  <c r="AZ762" i="2"/>
  <c r="AZ763" i="2"/>
  <c r="AZ764" i="2"/>
  <c r="AZ765" i="2"/>
  <c r="AZ766" i="2"/>
  <c r="AZ768" i="2"/>
  <c r="AZ769" i="2"/>
  <c r="AZ770" i="2"/>
  <c r="AZ771" i="2"/>
  <c r="AZ772" i="2"/>
  <c r="AZ773" i="2"/>
  <c r="AZ774" i="2"/>
  <c r="AZ775" i="2"/>
  <c r="AZ776" i="2"/>
  <c r="AZ777" i="2"/>
  <c r="AZ778" i="2"/>
  <c r="AZ779" i="2"/>
  <c r="AZ780" i="2"/>
  <c r="AZ781" i="2"/>
  <c r="AZ782" i="2"/>
  <c r="AZ783" i="2"/>
  <c r="AZ784" i="2"/>
  <c r="AZ785" i="2"/>
  <c r="AZ786" i="2"/>
  <c r="AZ787" i="2"/>
  <c r="AZ788" i="2"/>
  <c r="AZ789" i="2"/>
  <c r="AZ790" i="2"/>
  <c r="AZ791" i="2"/>
  <c r="AZ792" i="2"/>
  <c r="AZ793" i="2"/>
  <c r="AZ794" i="2"/>
  <c r="AZ795" i="2"/>
  <c r="AZ796" i="2"/>
  <c r="AZ797" i="2"/>
  <c r="AZ798" i="2"/>
  <c r="AZ799" i="2"/>
  <c r="AZ800" i="2"/>
  <c r="AZ801" i="2"/>
  <c r="AZ803" i="2"/>
  <c r="AZ805" i="2"/>
  <c r="AZ806" i="2"/>
  <c r="AZ807" i="2"/>
  <c r="AZ808" i="2"/>
  <c r="AZ809" i="2"/>
  <c r="AZ810" i="2"/>
  <c r="AZ811" i="2"/>
  <c r="AZ813" i="2"/>
  <c r="AZ814" i="2"/>
  <c r="AZ815" i="2"/>
  <c r="AZ816" i="2"/>
  <c r="AZ817" i="2"/>
  <c r="AZ818" i="2"/>
  <c r="AZ819" i="2"/>
  <c r="AZ820" i="2"/>
  <c r="AZ821" i="2"/>
  <c r="AZ822" i="2"/>
  <c r="AZ823" i="2"/>
  <c r="AZ824" i="2"/>
  <c r="AZ825" i="2"/>
  <c r="AZ826" i="2"/>
  <c r="AZ827" i="2"/>
  <c r="AZ828" i="2"/>
  <c r="AZ829" i="2"/>
  <c r="AZ830" i="2"/>
  <c r="AZ831" i="2"/>
  <c r="AZ832" i="2"/>
  <c r="AZ833" i="2"/>
  <c r="AZ835" i="2"/>
  <c r="AZ836" i="2"/>
  <c r="AZ837" i="2"/>
  <c r="AZ838" i="2"/>
  <c r="AZ839" i="2"/>
  <c r="AZ840" i="2"/>
  <c r="AZ841" i="2"/>
  <c r="AZ843" i="2"/>
  <c r="AZ844" i="2"/>
  <c r="AZ845" i="2"/>
  <c r="AZ846" i="2"/>
  <c r="AZ847" i="2"/>
  <c r="AZ848" i="2"/>
  <c r="AZ849" i="2"/>
  <c r="AZ850" i="2"/>
  <c r="AZ851" i="2"/>
  <c r="AZ852" i="2"/>
  <c r="AZ853" i="2"/>
  <c r="AZ854" i="2"/>
  <c r="AZ855" i="2"/>
  <c r="AZ856" i="2"/>
  <c r="AZ857" i="2"/>
  <c r="AZ858" i="2"/>
  <c r="AZ859" i="2"/>
  <c r="AZ860" i="2"/>
  <c r="AZ861" i="2"/>
  <c r="AZ862" i="2"/>
  <c r="AZ863" i="2"/>
  <c r="AZ864" i="2"/>
  <c r="AZ865" i="2"/>
  <c r="AZ866" i="2"/>
  <c r="AZ867" i="2"/>
  <c r="AZ868" i="2"/>
  <c r="AZ871" i="2"/>
  <c r="AZ872" i="2"/>
  <c r="AZ873" i="2"/>
  <c r="AZ874" i="2"/>
  <c r="AZ875" i="2"/>
  <c r="AZ876" i="2"/>
  <c r="AZ877" i="2"/>
  <c r="AZ878" i="2"/>
  <c r="AZ879" i="2"/>
  <c r="AZ880" i="2"/>
  <c r="AZ881" i="2"/>
  <c r="AZ882" i="2"/>
  <c r="AZ883" i="2"/>
  <c r="AZ885" i="2"/>
  <c r="AZ887" i="2"/>
  <c r="AZ888" i="2"/>
  <c r="AZ889" i="2"/>
  <c r="AZ891" i="2"/>
  <c r="AZ892" i="2"/>
  <c r="AZ894" i="2"/>
  <c r="AZ895" i="2"/>
  <c r="AZ896" i="2"/>
  <c r="AZ897" i="2"/>
  <c r="AZ898" i="2"/>
  <c r="AZ899" i="2"/>
  <c r="AZ901" i="2"/>
  <c r="AZ902" i="2"/>
  <c r="AZ903" i="2"/>
  <c r="AZ904" i="2"/>
  <c r="AZ905" i="2"/>
  <c r="AZ906" i="2"/>
  <c r="AZ907" i="2"/>
  <c r="AZ908" i="2"/>
  <c r="AZ909" i="2"/>
  <c r="AZ910" i="2"/>
  <c r="AZ911" i="2"/>
  <c r="AZ912" i="2"/>
  <c r="AZ913" i="2"/>
  <c r="AZ914" i="2"/>
  <c r="AZ915" i="2"/>
  <c r="AZ916" i="2"/>
  <c r="AZ919" i="2"/>
  <c r="AZ920" i="2"/>
  <c r="AZ921" i="2"/>
  <c r="AZ922" i="2"/>
  <c r="AZ923" i="2"/>
  <c r="AZ924" i="2"/>
  <c r="AZ926" i="2"/>
  <c r="AZ927" i="2"/>
  <c r="AZ928" i="2"/>
  <c r="AZ929" i="2"/>
  <c r="AZ930" i="2"/>
  <c r="AZ931" i="2"/>
  <c r="AZ932" i="2"/>
  <c r="AZ934" i="2"/>
  <c r="AZ935" i="2"/>
  <c r="AZ936" i="2"/>
  <c r="AZ937" i="2"/>
  <c r="AZ938" i="2"/>
  <c r="AZ939" i="2"/>
  <c r="AZ940" i="2"/>
  <c r="AZ941" i="2"/>
  <c r="AZ943" i="2"/>
  <c r="AZ944" i="2"/>
  <c r="AZ946" i="2"/>
  <c r="AZ948" i="2"/>
  <c r="AZ949" i="2"/>
  <c r="AZ951" i="2"/>
  <c r="AZ953" i="2"/>
  <c r="AZ958" i="2"/>
  <c r="AZ959" i="2"/>
  <c r="AZ960" i="2"/>
  <c r="AZ961" i="2"/>
  <c r="AZ962" i="2"/>
  <c r="AZ963" i="2"/>
  <c r="AZ964" i="2"/>
  <c r="AZ965" i="2"/>
  <c r="AZ966" i="2"/>
  <c r="AZ967" i="2"/>
  <c r="AZ968" i="2"/>
  <c r="AZ969" i="2"/>
  <c r="AZ970" i="2"/>
  <c r="AZ972" i="2"/>
  <c r="AZ973" i="2"/>
  <c r="AZ974" i="2"/>
  <c r="AZ975" i="2"/>
  <c r="AZ992" i="2"/>
  <c r="AZ994" i="2"/>
  <c r="AZ996" i="2"/>
  <c r="AZ997" i="2"/>
  <c r="AZ999" i="2"/>
  <c r="AZ1000" i="2"/>
  <c r="AZ1001" i="2"/>
  <c r="AZ1003" i="2"/>
  <c r="AZ1005" i="2"/>
  <c r="AZ1006" i="2"/>
  <c r="AZ1007" i="2"/>
  <c r="AZ1008" i="2"/>
  <c r="AZ1009" i="2"/>
  <c r="AZ1010" i="2"/>
  <c r="AZ1011" i="2"/>
  <c r="AZ1012" i="2"/>
  <c r="AZ1013" i="2"/>
  <c r="AZ1014" i="2"/>
  <c r="AZ1015" i="2"/>
  <c r="AZ1016" i="2"/>
  <c r="AZ1018" i="2"/>
  <c r="AZ1020" i="2"/>
  <c r="AZ1021" i="2"/>
  <c r="AZ1022" i="2"/>
  <c r="AZ1023" i="2"/>
  <c r="AZ1026" i="2"/>
  <c r="AZ1028" i="2"/>
  <c r="AZ1029" i="2"/>
  <c r="AZ1031" i="2"/>
  <c r="AZ1032" i="2"/>
  <c r="AZ1033" i="2"/>
  <c r="AZ1034" i="2"/>
  <c r="AZ1035" i="2"/>
  <c r="AZ1036" i="2"/>
  <c r="AZ1037" i="2"/>
  <c r="AZ1038" i="2"/>
  <c r="AZ1039" i="2"/>
  <c r="AZ1041" i="2"/>
  <c r="AZ1044" i="2"/>
  <c r="AZ1045" i="2"/>
  <c r="AZ1046" i="2"/>
  <c r="AZ1047" i="2"/>
  <c r="AZ1048" i="2"/>
  <c r="AZ1050" i="2"/>
  <c r="AZ1051" i="2"/>
  <c r="AZ1053" i="2"/>
  <c r="AZ1055" i="2"/>
  <c r="AZ1057" i="2"/>
  <c r="AZ1058" i="2"/>
  <c r="AZ1059" i="2"/>
  <c r="AZ1061" i="2"/>
  <c r="AZ1063" i="2"/>
  <c r="AZ1065" i="2"/>
  <c r="AZ1066" i="2"/>
  <c r="AZ1067" i="2"/>
  <c r="AZ1068" i="2"/>
  <c r="AZ1069" i="2"/>
  <c r="AZ1070" i="2"/>
  <c r="AZ1071" i="2"/>
  <c r="AZ1072" i="2"/>
  <c r="AZ1073" i="2"/>
  <c r="AZ1075" i="2"/>
  <c r="AZ1076" i="2"/>
  <c r="AZ1077" i="2"/>
  <c r="AZ1078" i="2"/>
  <c r="AZ1079" i="2"/>
  <c r="AZ1080" i="2"/>
  <c r="AZ1081" i="2"/>
  <c r="AZ1082" i="2"/>
  <c r="AZ1083" i="2"/>
  <c r="AZ1084" i="2"/>
  <c r="AZ1085" i="2"/>
  <c r="AZ1086" i="2"/>
  <c r="AZ1087" i="2"/>
  <c r="AZ1088" i="2"/>
  <c r="AZ1089" i="2"/>
  <c r="AZ1090" i="2"/>
  <c r="AZ1091" i="2"/>
  <c r="AZ1092" i="2"/>
  <c r="AZ1093" i="2"/>
  <c r="AZ1094" i="2"/>
  <c r="AZ1095" i="2"/>
  <c r="AZ1096" i="2"/>
  <c r="AZ1097" i="2"/>
  <c r="AZ1098" i="2"/>
  <c r="AZ1099" i="2"/>
  <c r="AZ1100" i="2"/>
  <c r="AZ1102" i="2"/>
  <c r="AZ1105" i="2"/>
  <c r="AZ1106" i="2"/>
  <c r="AZ1107" i="2"/>
  <c r="AZ1108" i="2"/>
  <c r="AZ1112" i="2"/>
  <c r="AZ1120" i="2"/>
  <c r="AZ1121" i="2"/>
  <c r="AZ1122" i="2"/>
  <c r="AZ1123" i="2"/>
  <c r="AZ1124" i="2"/>
  <c r="AZ1127" i="2"/>
  <c r="AZ1128" i="2"/>
  <c r="AZ1133" i="2"/>
  <c r="AZ1135" i="2"/>
  <c r="AZ1136" i="2"/>
  <c r="AZ1139" i="2"/>
  <c r="AZ1140" i="2"/>
  <c r="AZ1141" i="2"/>
  <c r="AZ1144" i="2"/>
  <c r="AZ1145" i="2"/>
  <c r="AZ1147" i="2"/>
  <c r="AZ1148" i="2"/>
  <c r="AZ1149" i="2"/>
  <c r="AZ1153" i="2"/>
  <c r="AZ1154" i="2"/>
  <c r="AZ1155" i="2"/>
  <c r="AZ1156" i="2"/>
  <c r="AZ1159" i="2"/>
  <c r="AZ1160" i="2"/>
  <c r="AZ1161" i="2"/>
  <c r="AZ1162" i="2"/>
  <c r="AZ1163" i="2"/>
  <c r="AZ1164" i="2"/>
  <c r="AZ1165" i="2"/>
  <c r="AZ1169" i="2"/>
  <c r="AZ1170" i="2"/>
  <c r="AZ1171" i="2"/>
  <c r="AZ1174" i="2"/>
  <c r="AZ1176" i="2"/>
  <c r="AZ1177" i="2"/>
  <c r="AZ1179" i="2"/>
  <c r="AZ1181" i="2"/>
  <c r="AZ1182" i="2"/>
  <c r="AZ1183" i="2"/>
  <c r="AZ1185" i="2"/>
  <c r="AZ1186" i="2"/>
  <c r="AZ1195" i="2"/>
  <c r="AZ1197" i="2"/>
  <c r="AZ1198" i="2"/>
  <c r="AZ1208" i="2"/>
  <c r="AZ1209" i="2"/>
  <c r="AZ1210" i="2"/>
  <c r="AZ1211" i="2"/>
  <c r="AZ1212" i="2"/>
  <c r="AZ1213" i="2"/>
  <c r="AZ1214" i="2"/>
  <c r="AZ1215" i="2"/>
  <c r="AZ1216" i="2"/>
  <c r="AZ1217" i="2"/>
  <c r="AZ1218" i="2"/>
  <c r="AZ1219" i="2"/>
  <c r="AZ1220" i="2"/>
  <c r="AZ1221" i="2"/>
  <c r="AZ1223" i="2"/>
  <c r="AZ1240" i="2"/>
  <c r="AZ1241" i="2"/>
  <c r="AZ1246" i="2"/>
  <c r="AZ1263" i="2"/>
  <c r="AZ1264" i="2"/>
  <c r="AZ1284" i="2"/>
  <c r="AZ8" i="2"/>
  <c r="AZ7" i="2"/>
  <c r="AZ6" i="2"/>
  <c r="CK5" i="2"/>
  <c r="CC5" i="2"/>
  <c r="CB5" i="2"/>
  <c r="CA5" i="2"/>
  <c r="BZ5" i="2"/>
  <c r="BY5" i="2"/>
  <c r="BX5" i="2"/>
  <c r="BW5" i="2"/>
  <c r="BV5" i="2"/>
  <c r="BO5" i="2"/>
  <c r="BP5" i="2"/>
  <c r="BQ5" i="2"/>
  <c r="BR5" i="2"/>
  <c r="BS5" i="2"/>
  <c r="BT5" i="2"/>
  <c r="BU5" i="2"/>
  <c r="BN5" i="2"/>
  <c r="BM5" i="2"/>
  <c r="BJ5" i="2"/>
  <c r="BG5" i="2"/>
  <c r="BF5" i="2"/>
  <c r="AL5" i="2"/>
  <c r="AK5" i="2"/>
  <c r="AJ5" i="2"/>
  <c r="AI5" i="2"/>
  <c r="AH5" i="2"/>
  <c r="AG5" i="2"/>
  <c r="AF5" i="2"/>
  <c r="AE5" i="2"/>
  <c r="AD5" i="2"/>
  <c r="Z5" i="2"/>
  <c r="Y5" i="2"/>
  <c r="X5" i="2"/>
  <c r="W5" i="2"/>
  <c r="V5" i="2"/>
  <c r="U5" i="2"/>
  <c r="T5" i="2"/>
  <c r="BB5" i="2"/>
  <c r="AZ1296" i="2"/>
  <c r="AZ1297" i="2"/>
  <c r="AZ1298" i="2"/>
  <c r="AZ1300" i="2"/>
  <c r="AZ1301" i="2"/>
  <c r="AZ1303" i="2"/>
  <c r="AZ1304" i="2"/>
  <c r="AZ1305" i="2"/>
  <c r="AZ1294" i="2"/>
  <c r="AZ1292" i="2"/>
  <c r="AZ1291" i="2"/>
  <c r="AZ1290" i="2"/>
  <c r="AZ1288" i="2"/>
  <c r="AZ1287" i="2"/>
  <c r="AZ1286" i="2"/>
  <c r="AZ1283" i="2"/>
  <c r="AZ1281" i="2"/>
  <c r="AZ1280" i="2"/>
  <c r="AZ1276" i="2"/>
  <c r="AZ1275" i="2"/>
  <c r="AZ1274" i="2"/>
  <c r="AZ1272" i="2"/>
  <c r="AZ1270" i="2"/>
  <c r="AZ1269" i="2"/>
  <c r="AZ1265" i="2"/>
  <c r="AZ1262" i="2"/>
  <c r="AZ1261" i="2"/>
  <c r="AZ1260" i="2"/>
  <c r="AZ1259" i="2"/>
  <c r="AZ1258" i="2"/>
  <c r="AZ1257" i="2"/>
  <c r="AZ1256" i="2"/>
  <c r="AZ1255" i="2"/>
  <c r="AZ1254" i="2"/>
  <c r="AZ1253" i="2"/>
  <c r="AZ1252" i="2"/>
  <c r="AZ1251" i="2"/>
  <c r="AZ1250" i="2"/>
  <c r="AZ1248" i="2"/>
  <c r="AZ1247" i="2"/>
  <c r="AZ1245" i="2"/>
  <c r="AZ1244" i="2"/>
  <c r="AZ1242" i="2"/>
  <c r="AZ1239" i="2"/>
  <c r="AZ1238" i="2"/>
  <c r="AZ1237" i="2"/>
  <c r="AZ1236" i="2"/>
  <c r="AZ1235" i="2"/>
  <c r="AZ1234" i="2"/>
  <c r="AZ1233" i="2"/>
  <c r="AY1224" i="2"/>
  <c r="AZ1224" i="2" s="1"/>
  <c r="AZ1207" i="2"/>
  <c r="AZ1206" i="2"/>
  <c r="AZ1205" i="2"/>
  <c r="AZ1204" i="2"/>
  <c r="AZ1203" i="2"/>
  <c r="AY1202" i="2"/>
  <c r="AZ1202" i="2"/>
  <c r="AY1201" i="2"/>
  <c r="AZ1201" i="2"/>
  <c r="AY1200" i="2"/>
  <c r="AZ1200" i="2"/>
  <c r="AY1199" i="2"/>
  <c r="AZ1199" i="2" s="1"/>
  <c r="AY1196" i="2"/>
  <c r="AZ1196" i="2"/>
  <c r="AZ1193" i="2"/>
  <c r="AY1192" i="2"/>
  <c r="AZ1192" i="2"/>
  <c r="AZ1191" i="2"/>
  <c r="AZ1190" i="2"/>
  <c r="AZ1189" i="2"/>
  <c r="AZ1188" i="2"/>
  <c r="AZ1187" i="2"/>
  <c r="AZ1184" i="2"/>
  <c r="AZ1172" i="2"/>
  <c r="AY1138" i="2"/>
  <c r="AZ1138" i="2"/>
  <c r="AY1137" i="2"/>
  <c r="AZ1137" i="2" s="1"/>
  <c r="AY1130" i="2"/>
  <c r="AZ1130" i="2"/>
  <c r="AY1129" i="2"/>
  <c r="AZ1129" i="2"/>
  <c r="AZ1125" i="2"/>
  <c r="AZ1113" i="2"/>
  <c r="AY1101" i="2"/>
  <c r="AZ1101" i="2" s="1"/>
  <c r="AZ1074" i="2"/>
  <c r="AY1052" i="2"/>
  <c r="AZ1052" i="2" s="1"/>
  <c r="AZ1042" i="2"/>
  <c r="AZ1002" i="2"/>
  <c r="AZ995" i="2"/>
  <c r="AY991" i="2"/>
  <c r="AZ991" i="2" s="1"/>
  <c r="AY990" i="2"/>
  <c r="AZ990" i="2"/>
  <c r="AY989" i="2"/>
  <c r="AZ989" i="2"/>
  <c r="AY988" i="2"/>
  <c r="AZ988" i="2"/>
  <c r="AY987" i="2"/>
  <c r="AZ987" i="2" s="1"/>
  <c r="AY986" i="2"/>
  <c r="AZ986" i="2"/>
  <c r="AY985" i="2"/>
  <c r="AZ985" i="2"/>
  <c r="AY984" i="2"/>
  <c r="AZ984" i="2"/>
  <c r="AY983" i="2"/>
  <c r="AZ983" i="2" s="1"/>
  <c r="AY982" i="2"/>
  <c r="AZ982" i="2"/>
  <c r="AY981" i="2"/>
  <c r="AZ981" i="2"/>
  <c r="AY980" i="2"/>
  <c r="AZ980" i="2"/>
  <c r="AY979" i="2"/>
  <c r="AZ979" i="2" s="1"/>
  <c r="AY978" i="2"/>
  <c r="AZ978" i="2"/>
  <c r="AY977" i="2"/>
  <c r="AZ977" i="2"/>
  <c r="AY976" i="2"/>
  <c r="AZ976" i="2"/>
  <c r="AY954" i="2"/>
  <c r="AZ954" i="2" s="1"/>
  <c r="AY945" i="2"/>
  <c r="AZ945" i="2"/>
  <c r="AY933" i="2"/>
  <c r="AZ933" i="2"/>
  <c r="AY918" i="2"/>
  <c r="AZ918" i="2"/>
  <c r="AY917" i="2"/>
  <c r="AZ917" i="2" s="1"/>
  <c r="AY900" i="2"/>
  <c r="AZ900" i="2"/>
  <c r="AY893" i="2"/>
  <c r="AZ893" i="2"/>
  <c r="AY890" i="2"/>
  <c r="AZ890" i="2"/>
  <c r="AY884" i="2"/>
  <c r="AZ884" i="2" s="1"/>
  <c r="AY870" i="2"/>
  <c r="AZ870" i="2"/>
  <c r="AY869" i="2"/>
  <c r="AZ869" i="2"/>
  <c r="AY842" i="2"/>
  <c r="AZ842" i="2"/>
  <c r="AY834" i="2"/>
  <c r="AZ834" i="2" s="1"/>
  <c r="AY812" i="2"/>
  <c r="AZ812" i="2"/>
  <c r="AY804" i="2"/>
  <c r="AZ804" i="2"/>
  <c r="AY802" i="2"/>
  <c r="AZ802" i="2"/>
  <c r="AY767" i="2"/>
  <c r="AZ767" i="2" s="1"/>
  <c r="AY740" i="2"/>
  <c r="AZ740" i="2"/>
  <c r="AY699" i="2"/>
  <c r="AZ699" i="2"/>
  <c r="AY684" i="2"/>
  <c r="AZ684" i="2"/>
  <c r="AY683" i="2"/>
  <c r="AZ683" i="2" s="1"/>
  <c r="AY665" i="2"/>
  <c r="AZ665" i="2"/>
  <c r="AY664" i="2"/>
  <c r="AZ664" i="2"/>
  <c r="AY662" i="2"/>
  <c r="AZ662" i="2"/>
  <c r="AY644" i="2"/>
  <c r="AZ644" i="2" s="1"/>
  <c r="AY550" i="2"/>
  <c r="AZ550" i="2"/>
  <c r="AY511" i="2"/>
  <c r="AZ511" i="2"/>
  <c r="AY506" i="2"/>
  <c r="AZ506" i="2"/>
  <c r="AY392" i="2"/>
  <c r="AZ392" i="2" s="1"/>
  <c r="AY391" i="2"/>
  <c r="AZ391" i="2"/>
  <c r="AY342" i="2"/>
  <c r="AZ342" i="2"/>
  <c r="AY319" i="2"/>
  <c r="AZ319" i="2"/>
  <c r="AY318" i="2"/>
  <c r="AZ318" i="2" s="1"/>
  <c r="AY315" i="2"/>
  <c r="AZ315" i="2"/>
  <c r="AY211" i="2"/>
  <c r="AZ211" i="2"/>
  <c r="AY163" i="2"/>
  <c r="AZ163" i="2"/>
  <c r="AY148" i="2"/>
  <c r="AZ148" i="2" s="1"/>
  <c r="AY133" i="2"/>
  <c r="AZ133" i="2"/>
  <c r="AY132" i="2"/>
  <c r="AZ132" i="2"/>
  <c r="AY131" i="2"/>
  <c r="AZ131" i="2"/>
  <c r="AY122" i="2"/>
  <c r="AZ122" i="2" s="1"/>
  <c r="AY120" i="2"/>
  <c r="AZ120" i="2"/>
  <c r="AY119" i="2"/>
  <c r="AZ119" i="2"/>
  <c r="AY118" i="2"/>
  <c r="AZ118" i="2"/>
  <c r="AY117" i="2"/>
  <c r="AZ117" i="2" s="1"/>
  <c r="AY116" i="2"/>
  <c r="AZ116" i="2"/>
  <c r="AY115" i="2"/>
  <c r="AZ115" i="2"/>
  <c r="AY114" i="2"/>
  <c r="AZ114" i="2"/>
  <c r="AY113" i="2"/>
  <c r="AZ113" i="2" s="1"/>
  <c r="AY112" i="2"/>
  <c r="AZ112" i="2"/>
  <c r="AY111" i="2"/>
  <c r="AZ111" i="2"/>
  <c r="AY110" i="2"/>
  <c r="AZ110" i="2"/>
  <c r="AY109" i="2"/>
  <c r="AZ109" i="2" s="1"/>
  <c r="AY107" i="2"/>
  <c r="AZ107" i="2"/>
  <c r="AY106" i="2"/>
  <c r="AZ106" i="2"/>
  <c r="AY103" i="2"/>
  <c r="AZ103" i="2"/>
  <c r="AY93" i="2"/>
  <c r="AZ93" i="2" s="1"/>
  <c r="AY92" i="2"/>
  <c r="AY5" i="2" s="1"/>
  <c r="AZ92" i="2"/>
  <c r="I16" i="1"/>
  <c r="L45" i="4"/>
  <c r="L45" i="7"/>
  <c r="C1" i="1"/>
  <c r="N4" i="1"/>
  <c r="P4" i="1"/>
  <c r="N8" i="1"/>
  <c r="I12" i="1"/>
  <c r="I13" i="1" s="1"/>
  <c r="O13" i="1"/>
  <c r="D52" i="1"/>
  <c r="P52" i="1" s="1"/>
  <c r="P53" i="1" s="1"/>
  <c r="O16" i="1"/>
  <c r="D32" i="1"/>
  <c r="D36" i="1"/>
  <c r="J36" i="1"/>
  <c r="J53" i="1"/>
  <c r="D40" i="1"/>
  <c r="L45" i="1"/>
  <c r="F46" i="1"/>
  <c r="F47" i="1"/>
  <c r="J52" i="1"/>
  <c r="BC5" i="2"/>
  <c r="AZ5" i="2" l="1"/>
</calcChain>
</file>

<file path=xl/comments1.xml><?xml version="1.0" encoding="utf-8"?>
<comments xmlns="http://schemas.openxmlformats.org/spreadsheetml/2006/main">
  <authors>
    <author>Masashi.Moritani</author>
  </authors>
  <commentList>
    <comment ref="D3" authorId="0" shapeId="0">
      <text>
        <r>
          <rPr>
            <sz val="8"/>
            <color indexed="81"/>
            <rFont val="ＭＳ Ｐゴシック"/>
            <family val="3"/>
            <charset val="128"/>
          </rPr>
          <t>SSTS区分を入力</t>
        </r>
      </text>
    </comment>
    <comment ref="D5" authorId="0" shapeId="0">
      <text>
        <r>
          <rPr>
            <sz val="8"/>
            <color indexed="81"/>
            <rFont val="ＭＳ Ｐゴシック"/>
            <family val="3"/>
            <charset val="128"/>
          </rPr>
          <t>B&amp;Mの○期を入力</t>
        </r>
      </text>
    </comment>
    <comment ref="E5" authorId="0" shapeId="0">
      <text>
        <r>
          <rPr>
            <sz val="8"/>
            <color indexed="81"/>
            <rFont val="ＭＳ Ｐゴシック"/>
            <family val="3"/>
            <charset val="128"/>
          </rPr>
          <t xml:space="preserve">A　PHC新店舗工事施工業務
B　PHC新店舗工事オープン対応業務
C　HSC新店舗工事施工業務
D　HSC新店舗工事オープン対応業務
E　ドアセンサー取付
F　HSC金庫オープン工事施工業務
G　MDV
H　情報端末機
I　ロッカー監視システム
J
K　改造工事
L　保守作業
M 液晶ランプ（新規）
N 液晶ランプ（既存）
O S変換ハーネス
P POS
Q
R
S
T
U
V　研修・イベント
W 問い合わせ業務
X
Y　保守受付業務
Z　その他
</t>
        </r>
      </text>
    </comment>
    <comment ref="F5" authorId="0" shapeId="0">
      <text>
        <r>
          <rPr>
            <sz val="8"/>
            <color indexed="81"/>
            <rFont val="ＭＳ Ｐゴシック"/>
            <family val="3"/>
            <charset val="128"/>
          </rPr>
          <t>受注月度を入力</t>
        </r>
      </text>
    </comment>
    <comment ref="G5" authorId="0" shapeId="0">
      <text>
        <r>
          <rPr>
            <sz val="8"/>
            <color indexed="81"/>
            <rFont val="ＭＳ Ｐゴシック"/>
            <family val="3"/>
            <charset val="128"/>
          </rPr>
          <t>期始めより、0001～連番であること。</t>
        </r>
      </text>
    </comment>
    <comment ref="D22" authorId="0" shapeId="0">
      <text>
        <r>
          <rPr>
            <sz val="8"/>
            <color indexed="81"/>
            <rFont val="ＭＳ Ｐゴシック"/>
            <family val="3"/>
            <charset val="128"/>
          </rPr>
          <t>種類
YRECM-
YSECM-</t>
        </r>
      </text>
    </comment>
    <comment ref="D30" authorId="0" shapeId="0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有限会社Dtサクセション
6　レイシステム
7　その他
8　内藤
0　依頼無</t>
        </r>
      </text>
    </comment>
    <comment ref="D34" authorId="0" shapeId="0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有限会社DTサクセション
6　レイシステム
7　その他
8　内藤
0　依頼無</t>
        </r>
      </text>
    </comment>
    <comment ref="D38" authorId="0" shapeId="0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有限会社DTサクセション
6　レイシステム
7　その他
8　内藤
0　依頼無</t>
        </r>
      </text>
    </comment>
  </commentList>
</comments>
</file>

<file path=xl/comments2.xml><?xml version="1.0" encoding="utf-8"?>
<comments xmlns="http://schemas.openxmlformats.org/spreadsheetml/2006/main">
  <authors>
    <author>Masashi.Moritani</author>
  </authors>
  <commentList>
    <comment ref="D3" authorId="0" shapeId="0">
      <text>
        <r>
          <rPr>
            <sz val="8"/>
            <color indexed="81"/>
            <rFont val="ＭＳ Ｐゴシック"/>
            <family val="3"/>
            <charset val="128"/>
          </rPr>
          <t>SSTS区分を入力</t>
        </r>
      </text>
    </comment>
    <comment ref="D5" authorId="0" shapeId="0">
      <text>
        <r>
          <rPr>
            <sz val="8"/>
            <color indexed="81"/>
            <rFont val="ＭＳ Ｐゴシック"/>
            <family val="3"/>
            <charset val="128"/>
          </rPr>
          <t>B&amp;Mの○期を入力</t>
        </r>
      </text>
    </comment>
    <comment ref="E5" authorId="0" shapeId="0">
      <text>
        <r>
          <rPr>
            <sz val="8"/>
            <color indexed="81"/>
            <rFont val="ＭＳ Ｐゴシック"/>
            <family val="3"/>
            <charset val="128"/>
          </rPr>
          <t xml:space="preserve">A　PHC新店舗工事施工業務
B　PHC新店舗工事オープン対応業務
C　HSC新店舗工事施工業務
D　HSC新店舗工事オープン対応業務
E　ドアセンサー取付
F　HSC金庫オープン工事施工業務
G　MDV
H　情報端末機
I　ロッカー監視システム
J
K　改造工事
L　保守作業
Y　保守受付業務
Z　その他
</t>
        </r>
      </text>
    </comment>
    <comment ref="F5" authorId="0" shapeId="0">
      <text>
        <r>
          <rPr>
            <sz val="8"/>
            <color indexed="81"/>
            <rFont val="ＭＳ Ｐゴシック"/>
            <family val="3"/>
            <charset val="128"/>
          </rPr>
          <t>受注月度を入力</t>
        </r>
      </text>
    </comment>
    <comment ref="G5" authorId="0" shapeId="0">
      <text>
        <r>
          <rPr>
            <sz val="8"/>
            <color indexed="81"/>
            <rFont val="ＭＳ Ｐゴシック"/>
            <family val="3"/>
            <charset val="128"/>
          </rPr>
          <t>期始めより、0001～連番であること。</t>
        </r>
      </text>
    </comment>
    <comment ref="D22" authorId="0" shapeId="0">
      <text>
        <r>
          <rPr>
            <sz val="8"/>
            <color indexed="81"/>
            <rFont val="ＭＳ Ｐゴシック"/>
            <family val="3"/>
            <charset val="128"/>
          </rPr>
          <t>種類
YRECM-
YSECM-</t>
        </r>
      </text>
    </comment>
    <comment ref="D30" authorId="0" shapeId="0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  <comment ref="D34" authorId="0" shapeId="0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  <comment ref="D38" authorId="0" shapeId="0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</commentList>
</comments>
</file>

<file path=xl/comments3.xml><?xml version="1.0" encoding="utf-8"?>
<comments xmlns="http://schemas.openxmlformats.org/spreadsheetml/2006/main">
  <authors>
    <author>Masashi.Moritani</author>
  </authors>
  <commentList>
    <comment ref="D3" authorId="0" shapeId="0">
      <text>
        <r>
          <rPr>
            <sz val="8"/>
            <color indexed="81"/>
            <rFont val="ＭＳ Ｐゴシック"/>
            <family val="3"/>
            <charset val="128"/>
          </rPr>
          <t>SSTS区分を入力</t>
        </r>
      </text>
    </comment>
    <comment ref="D5" authorId="0" shapeId="0">
      <text>
        <r>
          <rPr>
            <sz val="8"/>
            <color indexed="81"/>
            <rFont val="ＭＳ Ｐゴシック"/>
            <family val="3"/>
            <charset val="128"/>
          </rPr>
          <t>B&amp;Mの○期を入力</t>
        </r>
      </text>
    </comment>
    <comment ref="E5" authorId="0" shapeId="0">
      <text>
        <r>
          <rPr>
            <sz val="8"/>
            <color indexed="81"/>
            <rFont val="ＭＳ Ｐゴシック"/>
            <family val="3"/>
            <charset val="128"/>
          </rPr>
          <t xml:space="preserve">A　PHC新店舗工事施工業務
B　PHC新店舗工事オープン対応業務
C　HSC新店舗工事施工業務
D　HSC新店舗工事オープン対応業務
E　ドアセンサー取付
F　HSC金庫オープン工事施工業務
G　MDV
H　情報端末機
I　ロッカー監視システム
J
K　改造工事
L　保守作業
Y　保守受付業務
Z　その他
</t>
        </r>
      </text>
    </comment>
    <comment ref="F5" authorId="0" shapeId="0">
      <text>
        <r>
          <rPr>
            <sz val="8"/>
            <color indexed="81"/>
            <rFont val="ＭＳ Ｐゴシック"/>
            <family val="3"/>
            <charset val="128"/>
          </rPr>
          <t>受注月度を入力</t>
        </r>
      </text>
    </comment>
    <comment ref="G5" authorId="0" shapeId="0">
      <text>
        <r>
          <rPr>
            <sz val="8"/>
            <color indexed="81"/>
            <rFont val="ＭＳ Ｐゴシック"/>
            <family val="3"/>
            <charset val="128"/>
          </rPr>
          <t>期始めより、0001～連番であること。</t>
        </r>
      </text>
    </comment>
    <comment ref="D22" authorId="0" shapeId="0">
      <text>
        <r>
          <rPr>
            <sz val="8"/>
            <color indexed="81"/>
            <rFont val="ＭＳ Ｐゴシック"/>
            <family val="3"/>
            <charset val="128"/>
          </rPr>
          <t>種類
YRECM-
YSECM-</t>
        </r>
      </text>
    </comment>
    <comment ref="D30" authorId="0" shapeId="0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  <comment ref="D34" authorId="0" shapeId="0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  <comment ref="D38" authorId="0" shapeId="0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</commentList>
</comments>
</file>

<file path=xl/comments4.xml><?xml version="1.0" encoding="utf-8"?>
<comments xmlns="http://schemas.openxmlformats.org/spreadsheetml/2006/main">
  <authors>
    <author>Masashi.Moritani</author>
  </authors>
  <commentList>
    <comment ref="D5" authorId="0" shapeId="0">
      <text>
        <r>
          <rPr>
            <sz val="8"/>
            <color indexed="81"/>
            <rFont val="ＭＳ Ｐゴシック"/>
            <family val="3"/>
            <charset val="128"/>
          </rPr>
          <t>B&amp;Mの○期を入力</t>
        </r>
      </text>
    </comment>
    <comment ref="E5" authorId="0" shapeId="0">
      <text>
        <r>
          <rPr>
            <sz val="8"/>
            <color indexed="81"/>
            <rFont val="ＭＳ Ｐゴシック"/>
            <family val="3"/>
            <charset val="128"/>
          </rPr>
          <t xml:space="preserve">A　PHC新店舗工事施工業務
B　PHC新店舗工事オープン対応業務
C　HSC新店舗工事施工業務
D　HSC新店舗工事オープン対応業務
E　ドアセンサー取付
F　HSC金庫オープン工事施工業務
G　MDV
H　情報端末機
I　ロッカー監視システム
J
K　改造工事
L　保守作業
Y　保守受付業務
Z　その他
</t>
        </r>
      </text>
    </comment>
    <comment ref="F5" authorId="0" shapeId="0">
      <text>
        <r>
          <rPr>
            <sz val="8"/>
            <color indexed="81"/>
            <rFont val="ＭＳ Ｐゴシック"/>
            <family val="3"/>
            <charset val="128"/>
          </rPr>
          <t>受注月度を入力</t>
        </r>
      </text>
    </comment>
    <comment ref="G5" authorId="0" shapeId="0">
      <text>
        <r>
          <rPr>
            <sz val="8"/>
            <color indexed="81"/>
            <rFont val="ＭＳ Ｐゴシック"/>
            <family val="3"/>
            <charset val="128"/>
          </rPr>
          <t>期始めより、0001～連番であること。</t>
        </r>
      </text>
    </comment>
    <comment ref="J5" authorId="0" shapeId="0">
      <text>
        <r>
          <rPr>
            <sz val="8"/>
            <color indexed="81"/>
            <rFont val="ＭＳ Ｐゴシック"/>
            <family val="3"/>
            <charset val="128"/>
          </rPr>
          <t>SSTS区分を入力</t>
        </r>
      </text>
    </comment>
    <comment ref="D22" authorId="0" shapeId="0">
      <text>
        <r>
          <rPr>
            <sz val="8"/>
            <color indexed="81"/>
            <rFont val="ＭＳ Ｐゴシック"/>
            <family val="3"/>
            <charset val="128"/>
          </rPr>
          <t>種類
YRECM-
YSECM-</t>
        </r>
      </text>
    </comment>
    <comment ref="D30" authorId="0" shapeId="0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  <comment ref="D34" authorId="0" shapeId="0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  <comment ref="D38" authorId="0" shapeId="0">
      <text>
        <r>
          <rPr>
            <sz val="8"/>
            <color indexed="81"/>
            <rFont val="ＭＳ Ｐゴシック"/>
            <family val="3"/>
            <charset val="128"/>
          </rPr>
          <t>1　株式会社プライムシステム
2　有限会社高橋電機商会
3　有限会社文元電気サービス
4　株式会社コーエイ
5　有限会社大徳
6　レイシステム
0　依頼無</t>
        </r>
      </text>
    </comment>
  </commentList>
</comments>
</file>

<file path=xl/sharedStrings.xml><?xml version="1.0" encoding="utf-8"?>
<sst xmlns="http://schemas.openxmlformats.org/spreadsheetml/2006/main" count="20279" uniqueCount="3965">
  <si>
    <t>確認欄</t>
    <rPh sb="0" eb="2">
      <t>カクニン</t>
    </rPh>
    <rPh sb="2" eb="3">
      <t>ラン</t>
    </rPh>
    <phoneticPr fontId="2"/>
  </si>
  <si>
    <t>消費税</t>
    <rPh sb="0" eb="3">
      <t>ショウヒゼイ</t>
    </rPh>
    <phoneticPr fontId="2"/>
  </si>
  <si>
    <t>AO</t>
    <phoneticPr fontId="2"/>
  </si>
  <si>
    <t>AW</t>
    <phoneticPr fontId="2"/>
  </si>
  <si>
    <t>提出期日</t>
    <rPh sb="0" eb="2">
      <t>テイシュツ</t>
    </rPh>
    <rPh sb="2" eb="4">
      <t>キジツ</t>
    </rPh>
    <phoneticPr fontId="2"/>
  </si>
  <si>
    <t>提出者</t>
    <rPh sb="0" eb="2">
      <t>テイシュツ</t>
    </rPh>
    <rPh sb="2" eb="3">
      <t>シャ</t>
    </rPh>
    <phoneticPr fontId="2"/>
  </si>
  <si>
    <t>L</t>
    <phoneticPr fontId="2"/>
  </si>
  <si>
    <t>T</t>
    <phoneticPr fontId="2"/>
  </si>
  <si>
    <t>配信日</t>
    <rPh sb="0" eb="2">
      <t>ハイシン</t>
    </rPh>
    <rPh sb="2" eb="3">
      <t>ヒ</t>
    </rPh>
    <phoneticPr fontId="2"/>
  </si>
  <si>
    <t>期日</t>
    <rPh sb="0" eb="2">
      <t>キジツ</t>
    </rPh>
    <phoneticPr fontId="2"/>
  </si>
  <si>
    <t>外注先（1）</t>
    <rPh sb="0" eb="3">
      <t>ガイチュウサキ</t>
    </rPh>
    <phoneticPr fontId="2"/>
  </si>
  <si>
    <t>S金庫</t>
    <rPh sb="1" eb="3">
      <t>キンコ</t>
    </rPh>
    <phoneticPr fontId="2"/>
  </si>
  <si>
    <t>男子</t>
    <rPh sb="0" eb="2">
      <t>ダンシ</t>
    </rPh>
    <phoneticPr fontId="2"/>
  </si>
  <si>
    <t>車輌交通費</t>
    <rPh sb="0" eb="2">
      <t>シャリョウ</t>
    </rPh>
    <rPh sb="2" eb="4">
      <t>コウツウ</t>
    </rPh>
    <rPh sb="4" eb="5">
      <t>ヒ</t>
    </rPh>
    <phoneticPr fontId="2"/>
  </si>
  <si>
    <t>レイシステム</t>
    <phoneticPr fontId="2"/>
  </si>
  <si>
    <t>≫工数</t>
    <rPh sb="1" eb="3">
      <t>コウスウ</t>
    </rPh>
    <phoneticPr fontId="2"/>
  </si>
  <si>
    <t>旅費交通費／材料費</t>
    <rPh sb="0" eb="2">
      <t>リョヒ</t>
    </rPh>
    <rPh sb="2" eb="4">
      <t>コウツウ</t>
    </rPh>
    <rPh sb="4" eb="5">
      <t>ヒ</t>
    </rPh>
    <rPh sb="6" eb="8">
      <t>ザイリョウ</t>
    </rPh>
    <rPh sb="8" eb="9">
      <t>ヒ</t>
    </rPh>
    <phoneticPr fontId="2"/>
  </si>
  <si>
    <t>3.キャンセル</t>
    <phoneticPr fontId="2"/>
  </si>
  <si>
    <t>納品書提出</t>
    <rPh sb="0" eb="3">
      <t>ノウヒンショ</t>
    </rPh>
    <rPh sb="3" eb="5">
      <t>テイシュツ</t>
    </rPh>
    <phoneticPr fontId="2"/>
  </si>
  <si>
    <t>売上金額</t>
    <rPh sb="0" eb="2">
      <t>ウリアゲ</t>
    </rPh>
    <rPh sb="2" eb="4">
      <t>キンガク</t>
    </rPh>
    <phoneticPr fontId="2"/>
  </si>
  <si>
    <t>検収日</t>
    <rPh sb="0" eb="2">
      <t>ケンシュウ</t>
    </rPh>
    <rPh sb="2" eb="3">
      <t>ヒ</t>
    </rPh>
    <phoneticPr fontId="2"/>
  </si>
  <si>
    <t>税込み</t>
    <rPh sb="0" eb="2">
      <t>ゼイコ</t>
    </rPh>
    <phoneticPr fontId="2"/>
  </si>
  <si>
    <t>引渡報告書</t>
    <rPh sb="0" eb="1">
      <t>ヒ</t>
    </rPh>
    <rPh sb="1" eb="2">
      <t>ワタ</t>
    </rPh>
    <rPh sb="2" eb="4">
      <t>ホウコク</t>
    </rPh>
    <rPh sb="4" eb="5">
      <t>ショ</t>
    </rPh>
    <phoneticPr fontId="2"/>
  </si>
  <si>
    <t>島金庫数</t>
    <rPh sb="0" eb="3">
      <t>シマキンコ</t>
    </rPh>
    <rPh sb="3" eb="4">
      <t>スウ</t>
    </rPh>
    <phoneticPr fontId="2"/>
  </si>
  <si>
    <t>E</t>
    <phoneticPr fontId="2"/>
  </si>
  <si>
    <t>粗利（金額）</t>
    <rPh sb="0" eb="1">
      <t>アラ</t>
    </rPh>
    <rPh sb="1" eb="2">
      <t>リ</t>
    </rPh>
    <rPh sb="3" eb="5">
      <t>キンガク</t>
    </rPh>
    <phoneticPr fontId="2"/>
  </si>
  <si>
    <t>K</t>
    <phoneticPr fontId="2"/>
  </si>
  <si>
    <t>合計</t>
    <rPh sb="0" eb="2">
      <t>ゴウケイ</t>
    </rPh>
    <phoneticPr fontId="2"/>
  </si>
  <si>
    <t>E</t>
    <phoneticPr fontId="2"/>
  </si>
  <si>
    <t>F</t>
    <phoneticPr fontId="2"/>
  </si>
  <si>
    <t>AE</t>
    <phoneticPr fontId="2"/>
  </si>
  <si>
    <t>初版(0)</t>
    <rPh sb="0" eb="2">
      <t>ショハン</t>
    </rPh>
    <phoneticPr fontId="2"/>
  </si>
  <si>
    <t>※2_運送</t>
    <rPh sb="3" eb="5">
      <t>ウンソウ</t>
    </rPh>
    <phoneticPr fontId="2"/>
  </si>
  <si>
    <t>※3_その他</t>
    <rPh sb="5" eb="6">
      <t>タ</t>
    </rPh>
    <phoneticPr fontId="2"/>
  </si>
  <si>
    <t>見積依頼№</t>
    <rPh sb="0" eb="2">
      <t>ミツモリ</t>
    </rPh>
    <rPh sb="2" eb="4">
      <t>イライ</t>
    </rPh>
    <phoneticPr fontId="2"/>
  </si>
  <si>
    <t>谷</t>
    <rPh sb="0" eb="1">
      <t>タニ</t>
    </rPh>
    <phoneticPr fontId="2"/>
  </si>
  <si>
    <t>状態</t>
    <rPh sb="0" eb="2">
      <t>ジョウタイ</t>
    </rPh>
    <phoneticPr fontId="2"/>
  </si>
  <si>
    <t>納品書</t>
    <rPh sb="0" eb="2">
      <t>ノウヒン</t>
    </rPh>
    <rPh sb="2" eb="3">
      <t>ショ</t>
    </rPh>
    <phoneticPr fontId="2"/>
  </si>
  <si>
    <t>B</t>
    <phoneticPr fontId="2"/>
  </si>
  <si>
    <t>AI</t>
    <phoneticPr fontId="2"/>
  </si>
  <si>
    <t>01</t>
    <phoneticPr fontId="2"/>
  </si>
  <si>
    <t>受注情報</t>
    <rPh sb="0" eb="2">
      <t>ジュチュウ</t>
    </rPh>
    <rPh sb="2" eb="4">
      <t>ジョウホウ</t>
    </rPh>
    <phoneticPr fontId="2"/>
  </si>
  <si>
    <t>工事名称</t>
    <rPh sb="0" eb="2">
      <t>コウジ</t>
    </rPh>
    <rPh sb="2" eb="4">
      <t>メイショウ</t>
    </rPh>
    <phoneticPr fontId="2"/>
  </si>
  <si>
    <t>工事期間</t>
    <rPh sb="0" eb="2">
      <t>コウジ</t>
    </rPh>
    <rPh sb="2" eb="4">
      <t>キカン</t>
    </rPh>
    <phoneticPr fontId="2"/>
  </si>
  <si>
    <t>I</t>
    <phoneticPr fontId="2"/>
  </si>
  <si>
    <t>I</t>
    <phoneticPr fontId="2"/>
  </si>
  <si>
    <t>09</t>
    <phoneticPr fontId="2"/>
  </si>
  <si>
    <t>請求月</t>
    <rPh sb="0" eb="2">
      <t>セイキュウ</t>
    </rPh>
    <rPh sb="2" eb="3">
      <t>ツキ</t>
    </rPh>
    <phoneticPr fontId="2"/>
  </si>
  <si>
    <t>粗利（％）</t>
    <rPh sb="0" eb="1">
      <t>アラ</t>
    </rPh>
    <rPh sb="1" eb="2">
      <t>リ</t>
    </rPh>
    <phoneticPr fontId="2"/>
  </si>
  <si>
    <t>納品先
（店舗名）</t>
    <rPh sb="0" eb="2">
      <t>ノウヒン</t>
    </rPh>
    <rPh sb="2" eb="3">
      <t>サキ</t>
    </rPh>
    <rPh sb="5" eb="7">
      <t>テンポ</t>
    </rPh>
    <rPh sb="7" eb="8">
      <t>メイ</t>
    </rPh>
    <phoneticPr fontId="2"/>
  </si>
  <si>
    <t>S</t>
    <phoneticPr fontId="2"/>
  </si>
  <si>
    <t>2.完了</t>
    <rPh sb="2" eb="4">
      <t>カンリョウ</t>
    </rPh>
    <phoneticPr fontId="2"/>
  </si>
  <si>
    <t>3.キャンセル</t>
    <phoneticPr fontId="2"/>
  </si>
  <si>
    <t>・受注伝票の最後方列(IT列など)にリスト値を設定してある。</t>
    <rPh sb="1" eb="3">
      <t>ジュチュウ</t>
    </rPh>
    <rPh sb="3" eb="5">
      <t>デンピョウ</t>
    </rPh>
    <rPh sb="6" eb="7">
      <t>サイ</t>
    </rPh>
    <rPh sb="7" eb="9">
      <t>コウホウ</t>
    </rPh>
    <rPh sb="9" eb="10">
      <t>レツ</t>
    </rPh>
    <rPh sb="13" eb="14">
      <t>レツ</t>
    </rPh>
    <rPh sb="21" eb="22">
      <t>チ</t>
    </rPh>
    <rPh sb="23" eb="25">
      <t>セッテイ</t>
    </rPh>
    <phoneticPr fontId="2"/>
  </si>
  <si>
    <t>完了報告書</t>
    <rPh sb="0" eb="2">
      <t>カンリョウ</t>
    </rPh>
    <rPh sb="2" eb="4">
      <t>ホウコク</t>
    </rPh>
    <rPh sb="4" eb="5">
      <t>ショ</t>
    </rPh>
    <phoneticPr fontId="2"/>
  </si>
  <si>
    <t>検収
〆月</t>
    <rPh sb="0" eb="2">
      <t>ケンシュウ</t>
    </rPh>
    <rPh sb="4" eb="5">
      <t>ツキ</t>
    </rPh>
    <phoneticPr fontId="2"/>
  </si>
  <si>
    <t>備考</t>
    <rPh sb="0" eb="2">
      <t>ビコウ</t>
    </rPh>
    <phoneticPr fontId="2"/>
  </si>
  <si>
    <t>4.　その他</t>
    <rPh sb="5" eb="6">
      <t>タ</t>
    </rPh>
    <phoneticPr fontId="2"/>
  </si>
  <si>
    <t>作業工数
(ｾｯﾄｱｯﾌﾟ)</t>
    <rPh sb="0" eb="2">
      <t>サギョウ</t>
    </rPh>
    <rPh sb="2" eb="4">
      <t>コウスウ</t>
    </rPh>
    <phoneticPr fontId="2"/>
  </si>
  <si>
    <t>注文日</t>
    <rPh sb="0" eb="2">
      <t>チュウモン</t>
    </rPh>
    <rPh sb="2" eb="3">
      <t>ビ</t>
    </rPh>
    <phoneticPr fontId="2"/>
  </si>
  <si>
    <t>Q</t>
    <phoneticPr fontId="2"/>
  </si>
  <si>
    <t>依頼№</t>
    <rPh sb="0" eb="2">
      <t>イライ</t>
    </rPh>
    <phoneticPr fontId="2"/>
  </si>
  <si>
    <t>島金庫</t>
    <rPh sb="0" eb="1">
      <t>シマ</t>
    </rPh>
    <rPh sb="1" eb="3">
      <t>キンコ</t>
    </rPh>
    <phoneticPr fontId="2"/>
  </si>
  <si>
    <t>自</t>
    <rPh sb="0" eb="1">
      <t>ジ</t>
    </rPh>
    <phoneticPr fontId="2"/>
  </si>
  <si>
    <t>至</t>
    <rPh sb="0" eb="1">
      <t>イタル</t>
    </rPh>
    <phoneticPr fontId="2"/>
  </si>
  <si>
    <t>外注先（2）</t>
    <rPh sb="0" eb="2">
      <t>ガイチュウ</t>
    </rPh>
    <rPh sb="2" eb="3">
      <t>サキ</t>
    </rPh>
    <phoneticPr fontId="2"/>
  </si>
  <si>
    <t>外注先（2）</t>
    <rPh sb="0" eb="3">
      <t>ガイチュウサキ</t>
    </rPh>
    <phoneticPr fontId="2"/>
  </si>
  <si>
    <t>運送費</t>
    <rPh sb="0" eb="3">
      <t>ウンソウヒ</t>
    </rPh>
    <phoneticPr fontId="2"/>
  </si>
  <si>
    <t>受注伝票</t>
    <rPh sb="0" eb="2">
      <t>ジュチュウ</t>
    </rPh>
    <rPh sb="2" eb="4">
      <t>デンピョウ</t>
    </rPh>
    <phoneticPr fontId="2"/>
  </si>
  <si>
    <t>改訂履歴</t>
    <rPh sb="0" eb="2">
      <t>カイテイ</t>
    </rPh>
    <rPh sb="2" eb="4">
      <t>リレキ</t>
    </rPh>
    <phoneticPr fontId="2"/>
  </si>
  <si>
    <t>原価管理</t>
    <rPh sb="0" eb="2">
      <t>ゲンカ</t>
    </rPh>
    <rPh sb="2" eb="4">
      <t>カンリ</t>
    </rPh>
    <phoneticPr fontId="2"/>
  </si>
  <si>
    <t>備考
（※1）</t>
    <rPh sb="0" eb="2">
      <t>ビコウ</t>
    </rPh>
    <phoneticPr fontId="2"/>
  </si>
  <si>
    <t>見積依頼</t>
    <rPh sb="0" eb="2">
      <t>ミツモリ</t>
    </rPh>
    <rPh sb="2" eb="4">
      <t>イライ</t>
    </rPh>
    <phoneticPr fontId="2"/>
  </si>
  <si>
    <t>≫諸経費</t>
    <rPh sb="1" eb="4">
      <t>ショケイヒ</t>
    </rPh>
    <phoneticPr fontId="2"/>
  </si>
  <si>
    <t>M</t>
    <phoneticPr fontId="2"/>
  </si>
  <si>
    <t>依頼日</t>
    <rPh sb="0" eb="2">
      <t>イライ</t>
    </rPh>
    <rPh sb="2" eb="3">
      <t>ヒ</t>
    </rPh>
    <phoneticPr fontId="2"/>
  </si>
  <si>
    <t>粗利／売上－原価</t>
    <rPh sb="0" eb="1">
      <t>アラ</t>
    </rPh>
    <rPh sb="1" eb="2">
      <t>リ</t>
    </rPh>
    <rPh sb="3" eb="5">
      <t>ウリアゲ</t>
    </rPh>
    <rPh sb="6" eb="8">
      <t>ゲンカ</t>
    </rPh>
    <phoneticPr fontId="2"/>
  </si>
  <si>
    <t>T</t>
    <phoneticPr fontId="2"/>
  </si>
  <si>
    <t>P</t>
    <phoneticPr fontId="2"/>
  </si>
  <si>
    <t>FF見積依頼</t>
    <rPh sb="2" eb="4">
      <t>ミツモリ</t>
    </rPh>
    <rPh sb="4" eb="6">
      <t>イライ</t>
    </rPh>
    <phoneticPr fontId="2"/>
  </si>
  <si>
    <t>発行日</t>
    <rPh sb="0" eb="2">
      <t>ハッコウ</t>
    </rPh>
    <rPh sb="2" eb="3">
      <t>ヒ</t>
    </rPh>
    <phoneticPr fontId="2"/>
  </si>
  <si>
    <t>※1_材料</t>
    <rPh sb="3" eb="5">
      <t>ザイリョウ</t>
    </rPh>
    <phoneticPr fontId="2"/>
  </si>
  <si>
    <t>作業工数(施工)</t>
    <rPh sb="0" eb="2">
      <t>サギョウ</t>
    </rPh>
    <rPh sb="2" eb="4">
      <t>コウスウ</t>
    </rPh>
    <rPh sb="5" eb="7">
      <t>セコウ</t>
    </rPh>
    <phoneticPr fontId="2"/>
  </si>
  <si>
    <t>AF</t>
    <phoneticPr fontId="2"/>
  </si>
  <si>
    <t>見積提出日</t>
    <rPh sb="0" eb="2">
      <t>ミツモリ</t>
    </rPh>
    <rPh sb="2" eb="4">
      <t>テイシュツ</t>
    </rPh>
    <rPh sb="4" eb="5">
      <t>ヒ</t>
    </rPh>
    <phoneticPr fontId="2"/>
  </si>
  <si>
    <t>売上
金額</t>
    <rPh sb="0" eb="2">
      <t>ウリアゲ</t>
    </rPh>
    <rPh sb="3" eb="5">
      <t>キンガク</t>
    </rPh>
    <phoneticPr fontId="2"/>
  </si>
  <si>
    <t>検収日</t>
    <rPh sb="0" eb="2">
      <t>ケンシュウ</t>
    </rPh>
    <rPh sb="2" eb="3">
      <t>ビ</t>
    </rPh>
    <phoneticPr fontId="2"/>
  </si>
  <si>
    <t>FF注文依頼</t>
    <rPh sb="2" eb="4">
      <t>チュウモン</t>
    </rPh>
    <rPh sb="4" eb="6">
      <t>イライ</t>
    </rPh>
    <phoneticPr fontId="2"/>
  </si>
  <si>
    <t>女子</t>
    <rPh sb="0" eb="2">
      <t>ジョシ</t>
    </rPh>
    <phoneticPr fontId="2"/>
  </si>
  <si>
    <t>T</t>
    <phoneticPr fontId="2"/>
  </si>
  <si>
    <t>AP</t>
    <phoneticPr fontId="2"/>
  </si>
  <si>
    <t>P金庫</t>
    <rPh sb="1" eb="3">
      <t>キンコ</t>
    </rPh>
    <phoneticPr fontId="2"/>
  </si>
  <si>
    <t>AB</t>
    <phoneticPr fontId="2"/>
  </si>
  <si>
    <t>・シート保護</t>
    <rPh sb="4" eb="6">
      <t>ホゴ</t>
    </rPh>
    <phoneticPr fontId="2"/>
  </si>
  <si>
    <t>・隠しシート(LISTxxxxやMASTER)に設定値が記録されている。</t>
    <rPh sb="1" eb="2">
      <t>カク</t>
    </rPh>
    <rPh sb="24" eb="26">
      <t>セッテイ</t>
    </rPh>
    <rPh sb="26" eb="27">
      <t>チ</t>
    </rPh>
    <rPh sb="28" eb="30">
      <t>キロク</t>
    </rPh>
    <phoneticPr fontId="2"/>
  </si>
  <si>
    <t>受注区分</t>
    <rPh sb="0" eb="2">
      <t>ジュチュウ</t>
    </rPh>
    <rPh sb="2" eb="4">
      <t>クブン</t>
    </rPh>
    <phoneticPr fontId="2"/>
  </si>
  <si>
    <t>提出者</t>
    <rPh sb="0" eb="3">
      <t>テイシュツシャ</t>
    </rPh>
    <phoneticPr fontId="2"/>
  </si>
  <si>
    <t>金額</t>
    <rPh sb="0" eb="2">
      <t>キンガク</t>
    </rPh>
    <phoneticPr fontId="2"/>
  </si>
  <si>
    <t>引渡報告書</t>
    <rPh sb="0" eb="1">
      <t>ヒ</t>
    </rPh>
    <rPh sb="1" eb="2">
      <t>ワタ</t>
    </rPh>
    <rPh sb="2" eb="5">
      <t>ホウコクショ</t>
    </rPh>
    <phoneticPr fontId="2"/>
  </si>
  <si>
    <t>検収（月）</t>
    <rPh sb="0" eb="2">
      <t>ケンシュウ</t>
    </rPh>
    <rPh sb="3" eb="4">
      <t>ツキ</t>
    </rPh>
    <phoneticPr fontId="2"/>
  </si>
  <si>
    <t>AV</t>
    <phoneticPr fontId="2"/>
  </si>
  <si>
    <t>AD</t>
    <phoneticPr fontId="2"/>
  </si>
  <si>
    <t>AA</t>
    <phoneticPr fontId="2"/>
  </si>
  <si>
    <t>作業工数（SU）</t>
    <rPh sb="0" eb="2">
      <t>サギョウ</t>
    </rPh>
    <rPh sb="2" eb="4">
      <t>コウスウ</t>
    </rPh>
    <phoneticPr fontId="2"/>
  </si>
  <si>
    <t>作業工数
(施工)</t>
    <rPh sb="0" eb="2">
      <t>サギョウ</t>
    </rPh>
    <rPh sb="2" eb="4">
      <t>コウスウ</t>
    </rPh>
    <rPh sb="6" eb="8">
      <t>セコウ</t>
    </rPh>
    <phoneticPr fontId="2"/>
  </si>
  <si>
    <t>遊技台</t>
    <rPh sb="0" eb="2">
      <t>ユウギ</t>
    </rPh>
    <rPh sb="2" eb="3">
      <t>ダイ</t>
    </rPh>
    <phoneticPr fontId="2"/>
  </si>
  <si>
    <t>森谷</t>
    <rPh sb="0" eb="2">
      <t>モリタニ</t>
    </rPh>
    <phoneticPr fontId="2"/>
  </si>
  <si>
    <t>10</t>
    <phoneticPr fontId="2"/>
  </si>
  <si>
    <t>受注番号</t>
    <rPh sb="0" eb="2">
      <t>ジュチュウ</t>
    </rPh>
    <rPh sb="2" eb="4">
      <t>バンゴウ</t>
    </rPh>
    <phoneticPr fontId="2"/>
  </si>
  <si>
    <t>依頼無</t>
  </si>
  <si>
    <t>外注先（3）</t>
    <rPh sb="0" eb="3">
      <t>ガイチュウサキ</t>
    </rPh>
    <phoneticPr fontId="2"/>
  </si>
  <si>
    <t>宿泊日当費</t>
    <rPh sb="0" eb="2">
      <t>シュクハク</t>
    </rPh>
    <rPh sb="2" eb="4">
      <t>ニットウ</t>
    </rPh>
    <rPh sb="4" eb="5">
      <t>ヒ</t>
    </rPh>
    <phoneticPr fontId="2"/>
  </si>
  <si>
    <t>外注先</t>
    <rPh sb="0" eb="2">
      <t>ガイチュウ</t>
    </rPh>
    <rPh sb="2" eb="3">
      <t>サキ</t>
    </rPh>
    <phoneticPr fontId="2"/>
  </si>
  <si>
    <t>※新店舗のみ入力</t>
    <rPh sb="1" eb="4">
      <t>シンテンポ</t>
    </rPh>
    <rPh sb="6" eb="8">
      <t>ニュウリョク</t>
    </rPh>
    <phoneticPr fontId="2"/>
  </si>
  <si>
    <t>≫外注費</t>
    <rPh sb="1" eb="3">
      <t>ガイチュウ</t>
    </rPh>
    <rPh sb="3" eb="4">
      <t>ヒ</t>
    </rPh>
    <phoneticPr fontId="2"/>
  </si>
  <si>
    <t>ロッカー台数</t>
    <rPh sb="4" eb="6">
      <t>ダイスウ</t>
    </rPh>
    <phoneticPr fontId="2"/>
  </si>
  <si>
    <t>再発行日</t>
    <rPh sb="0" eb="3">
      <t>サイハッコウ</t>
    </rPh>
    <rPh sb="3" eb="4">
      <t>ビ</t>
    </rPh>
    <phoneticPr fontId="2"/>
  </si>
  <si>
    <t>列1</t>
  </si>
  <si>
    <t>種類</t>
    <rPh sb="0" eb="2">
      <t>シュルイ</t>
    </rPh>
    <phoneticPr fontId="2"/>
  </si>
  <si>
    <t>提出報告期日</t>
    <rPh sb="0" eb="2">
      <t>テイシュツ</t>
    </rPh>
    <rPh sb="2" eb="4">
      <t>ホウコク</t>
    </rPh>
    <rPh sb="4" eb="6">
      <t>キジツ</t>
    </rPh>
    <phoneticPr fontId="2"/>
  </si>
  <si>
    <t>08</t>
    <phoneticPr fontId="2"/>
  </si>
  <si>
    <t>G</t>
    <phoneticPr fontId="2"/>
  </si>
  <si>
    <t>11</t>
    <phoneticPr fontId="2"/>
  </si>
  <si>
    <t>粗利</t>
    <rPh sb="0" eb="1">
      <t>アラ</t>
    </rPh>
    <rPh sb="1" eb="2">
      <t>リ</t>
    </rPh>
    <phoneticPr fontId="2"/>
  </si>
  <si>
    <t>1.受注待ち</t>
    <rPh sb="2" eb="4">
      <t>ジュチュウ</t>
    </rPh>
    <rPh sb="4" eb="5">
      <t>マ</t>
    </rPh>
    <phoneticPr fontId="2"/>
  </si>
  <si>
    <t>遊技台数</t>
    <rPh sb="0" eb="2">
      <t>ユウギ</t>
    </rPh>
    <rPh sb="2" eb="3">
      <t>ダイ</t>
    </rPh>
    <rPh sb="3" eb="4">
      <t>スウ</t>
    </rPh>
    <phoneticPr fontId="2"/>
  </si>
  <si>
    <t>外注先（3）</t>
    <rPh sb="0" eb="2">
      <t>ガイチュウ</t>
    </rPh>
    <rPh sb="2" eb="3">
      <t>サキ</t>
    </rPh>
    <phoneticPr fontId="2"/>
  </si>
  <si>
    <t>12</t>
    <phoneticPr fontId="2"/>
  </si>
  <si>
    <t>受注合計金額</t>
    <rPh sb="0" eb="2">
      <t>ジュチュウ</t>
    </rPh>
    <rPh sb="2" eb="4">
      <t>ゴウケイ</t>
    </rPh>
    <rPh sb="4" eb="6">
      <t>キンガク</t>
    </rPh>
    <phoneticPr fontId="2"/>
  </si>
  <si>
    <t>依頼日</t>
    <rPh sb="0" eb="3">
      <t>イライビ</t>
    </rPh>
    <phoneticPr fontId="2"/>
  </si>
  <si>
    <t>≫施工金額</t>
    <rPh sb="1" eb="3">
      <t>セコウ</t>
    </rPh>
    <rPh sb="3" eb="5">
      <t>キンガク</t>
    </rPh>
    <phoneticPr fontId="2"/>
  </si>
  <si>
    <t>その他</t>
    <rPh sb="2" eb="3">
      <t>タ</t>
    </rPh>
    <phoneticPr fontId="2"/>
  </si>
  <si>
    <t>AJ</t>
    <phoneticPr fontId="2"/>
  </si>
  <si>
    <t>備考
（※2）</t>
    <rPh sb="0" eb="2">
      <t>ビコウ</t>
    </rPh>
    <phoneticPr fontId="2"/>
  </si>
  <si>
    <t>粗利／売上－原価（施工）</t>
    <rPh sb="0" eb="1">
      <t>アラ</t>
    </rPh>
    <rPh sb="1" eb="2">
      <t>リ</t>
    </rPh>
    <rPh sb="3" eb="5">
      <t>ウリアゲ</t>
    </rPh>
    <rPh sb="6" eb="8">
      <t>ゲンカ</t>
    </rPh>
    <rPh sb="9" eb="11">
      <t>セコウ</t>
    </rPh>
    <phoneticPr fontId="2"/>
  </si>
  <si>
    <t>S</t>
    <phoneticPr fontId="2"/>
  </si>
  <si>
    <t>施工
管理者</t>
    <rPh sb="0" eb="2">
      <t>セコウ</t>
    </rPh>
    <rPh sb="3" eb="5">
      <t>カンリ</t>
    </rPh>
    <rPh sb="5" eb="6">
      <t>シャ</t>
    </rPh>
    <phoneticPr fontId="2"/>
  </si>
  <si>
    <t>03</t>
    <phoneticPr fontId="2"/>
  </si>
  <si>
    <t>04</t>
    <phoneticPr fontId="2"/>
  </si>
  <si>
    <t>05</t>
    <phoneticPr fontId="2"/>
  </si>
  <si>
    <t>06</t>
    <phoneticPr fontId="2"/>
  </si>
  <si>
    <t>2.　施工のみ</t>
    <rPh sb="3" eb="5">
      <t>セコウ</t>
    </rPh>
    <phoneticPr fontId="2"/>
  </si>
  <si>
    <t>施工管理者</t>
    <rPh sb="0" eb="2">
      <t>セコウ</t>
    </rPh>
    <rPh sb="2" eb="4">
      <t>カンリ</t>
    </rPh>
    <rPh sb="4" eb="5">
      <t>シャ</t>
    </rPh>
    <phoneticPr fontId="2"/>
  </si>
  <si>
    <t>池村</t>
    <rPh sb="0" eb="2">
      <t>イケムラ</t>
    </rPh>
    <phoneticPr fontId="2"/>
  </si>
  <si>
    <t>02</t>
    <phoneticPr fontId="2"/>
  </si>
  <si>
    <t>取引先情報</t>
    <rPh sb="0" eb="2">
      <t>トリヒキ</t>
    </rPh>
    <rPh sb="2" eb="3">
      <t>サキ</t>
    </rPh>
    <rPh sb="3" eb="5">
      <t>ジョウホウ</t>
    </rPh>
    <phoneticPr fontId="2"/>
  </si>
  <si>
    <t>AM</t>
    <phoneticPr fontId="2"/>
  </si>
  <si>
    <t>改訂</t>
    <rPh sb="0" eb="2">
      <t>カイテイ</t>
    </rPh>
    <phoneticPr fontId="2"/>
  </si>
  <si>
    <t>T金庫</t>
    <rPh sb="1" eb="3">
      <t>キンコ</t>
    </rPh>
    <phoneticPr fontId="2"/>
  </si>
  <si>
    <t>入金（月）</t>
    <rPh sb="0" eb="2">
      <t>ニュウキン</t>
    </rPh>
    <rPh sb="3" eb="4">
      <t>ツキ</t>
    </rPh>
    <phoneticPr fontId="2"/>
  </si>
  <si>
    <t>月</t>
    <rPh sb="0" eb="1">
      <t>ツキ</t>
    </rPh>
    <phoneticPr fontId="2"/>
  </si>
  <si>
    <t>北村</t>
    <rPh sb="0" eb="2">
      <t>キタムラ</t>
    </rPh>
    <phoneticPr fontId="2"/>
  </si>
  <si>
    <t>受領者</t>
    <rPh sb="0" eb="2">
      <t>ジュリョウ</t>
    </rPh>
    <rPh sb="2" eb="3">
      <t>シャ</t>
    </rPh>
    <phoneticPr fontId="2"/>
  </si>
  <si>
    <t>S</t>
    <phoneticPr fontId="2"/>
  </si>
  <si>
    <t>見積種類</t>
    <rPh sb="0" eb="2">
      <t>ミツモリ</t>
    </rPh>
    <rPh sb="2" eb="4">
      <t>シュルイ</t>
    </rPh>
    <phoneticPr fontId="2"/>
  </si>
  <si>
    <t>担当者</t>
    <rPh sb="0" eb="3">
      <t>タントウシャ</t>
    </rPh>
    <phoneticPr fontId="2"/>
  </si>
  <si>
    <t>発行日</t>
    <rPh sb="0" eb="2">
      <t>ハッコウ</t>
    </rPh>
    <rPh sb="2" eb="3">
      <t>ビ</t>
    </rPh>
    <phoneticPr fontId="2"/>
  </si>
  <si>
    <t>AR</t>
    <phoneticPr fontId="2"/>
  </si>
  <si>
    <t>AS</t>
    <phoneticPr fontId="2"/>
  </si>
  <si>
    <t>AT</t>
    <phoneticPr fontId="2"/>
  </si>
  <si>
    <t>AU</t>
    <phoneticPr fontId="2"/>
  </si>
  <si>
    <t>D</t>
    <phoneticPr fontId="2"/>
  </si>
  <si>
    <t>備考
（※3）</t>
    <rPh sb="0" eb="2">
      <t>ビコウ</t>
    </rPh>
    <phoneticPr fontId="2"/>
  </si>
  <si>
    <t>提出日</t>
    <rPh sb="0" eb="2">
      <t>テイシュツ</t>
    </rPh>
    <rPh sb="2" eb="3">
      <t>ヒ</t>
    </rPh>
    <phoneticPr fontId="2"/>
  </si>
  <si>
    <t>1月</t>
    <rPh sb="1" eb="2">
      <t>ガツ</t>
    </rPh>
    <phoneticPr fontId="2"/>
  </si>
  <si>
    <t>T</t>
    <phoneticPr fontId="2"/>
  </si>
  <si>
    <t>1.　施工＋セットアップ</t>
    <rPh sb="3" eb="5">
      <t>セコウ</t>
    </rPh>
    <phoneticPr fontId="2"/>
  </si>
  <si>
    <t>内藤</t>
    <rPh sb="0" eb="2">
      <t>ナイトウ</t>
    </rPh>
    <phoneticPr fontId="2"/>
  </si>
  <si>
    <t>粗利
（％）</t>
    <rPh sb="0" eb="1">
      <t>アラ</t>
    </rPh>
    <rPh sb="1" eb="2">
      <t>リ</t>
    </rPh>
    <phoneticPr fontId="2"/>
  </si>
  <si>
    <t>受注金額</t>
    <rPh sb="0" eb="2">
      <t>ジュチュウ</t>
    </rPh>
    <rPh sb="2" eb="4">
      <t>キンガク</t>
    </rPh>
    <phoneticPr fontId="2"/>
  </si>
  <si>
    <t>A</t>
    <phoneticPr fontId="2"/>
  </si>
  <si>
    <t>A</t>
  </si>
  <si>
    <t>3.　セットアップのみ</t>
    <phoneticPr fontId="2"/>
  </si>
  <si>
    <t>AK</t>
    <phoneticPr fontId="2"/>
  </si>
  <si>
    <t>AN</t>
    <phoneticPr fontId="2"/>
  </si>
  <si>
    <t>J</t>
    <phoneticPr fontId="2"/>
  </si>
  <si>
    <t>N</t>
    <phoneticPr fontId="2"/>
  </si>
  <si>
    <t>AC</t>
    <phoneticPr fontId="2"/>
  </si>
  <si>
    <t>外注費</t>
    <rPh sb="0" eb="1">
      <t>ガイ</t>
    </rPh>
    <rPh sb="1" eb="2">
      <t>チュウ</t>
    </rPh>
    <rPh sb="2" eb="3">
      <t>ヒ</t>
    </rPh>
    <phoneticPr fontId="2"/>
  </si>
  <si>
    <t>諸経費</t>
    <rPh sb="0" eb="3">
      <t>ショケイヒ</t>
    </rPh>
    <phoneticPr fontId="2"/>
  </si>
  <si>
    <t>≫受注金額合計</t>
    <rPh sb="1" eb="3">
      <t>ジュチュウ</t>
    </rPh>
    <rPh sb="3" eb="5">
      <t>キンガク</t>
    </rPh>
    <rPh sb="5" eb="7">
      <t>ゴウケイ</t>
    </rPh>
    <phoneticPr fontId="2"/>
  </si>
  <si>
    <t>P</t>
    <phoneticPr fontId="2"/>
  </si>
  <si>
    <t>西田</t>
    <rPh sb="0" eb="2">
      <t>ニシダ</t>
    </rPh>
    <phoneticPr fontId="2"/>
  </si>
  <si>
    <t>※新規ロッカー監視のみ入力</t>
    <rPh sb="1" eb="3">
      <t>シンキ</t>
    </rPh>
    <rPh sb="7" eb="9">
      <t>カンシ</t>
    </rPh>
    <rPh sb="11" eb="13">
      <t>ニュウリョク</t>
    </rPh>
    <phoneticPr fontId="2"/>
  </si>
  <si>
    <r>
      <t>≫種類　</t>
    </r>
    <r>
      <rPr>
        <b/>
        <sz val="12"/>
        <rFont val="ＭＳ Ｐ明朝"/>
        <family val="1"/>
        <charset val="128"/>
      </rPr>
      <t>　</t>
    </r>
    <rPh sb="1" eb="3">
      <t>シュルイ</t>
    </rPh>
    <phoneticPr fontId="2"/>
  </si>
  <si>
    <t>納品先
（店舗名）</t>
    <rPh sb="0" eb="2">
      <t>ノウヒン</t>
    </rPh>
    <rPh sb="2" eb="3">
      <t>サキ</t>
    </rPh>
    <rPh sb="5" eb="8">
      <t>テンポメイ</t>
    </rPh>
    <phoneticPr fontId="2"/>
  </si>
  <si>
    <t>注文№</t>
    <rPh sb="0" eb="2">
      <t>チュウモン</t>
    </rPh>
    <phoneticPr fontId="2"/>
  </si>
  <si>
    <t>R</t>
    <phoneticPr fontId="2"/>
  </si>
  <si>
    <t>10月</t>
    <phoneticPr fontId="2"/>
  </si>
  <si>
    <t>11月</t>
    <phoneticPr fontId="2"/>
  </si>
  <si>
    <t>12月</t>
    <phoneticPr fontId="2"/>
  </si>
  <si>
    <t>受注月</t>
    <rPh sb="0" eb="2">
      <t>ジュチュウ</t>
    </rPh>
    <rPh sb="2" eb="3">
      <t>ツキ</t>
    </rPh>
    <phoneticPr fontId="2"/>
  </si>
  <si>
    <t>藤原</t>
    <rPh sb="0" eb="2">
      <t>フジワラ</t>
    </rPh>
    <phoneticPr fontId="2"/>
  </si>
  <si>
    <t>材料費</t>
    <rPh sb="0" eb="2">
      <t>ザイリョウ</t>
    </rPh>
    <rPh sb="2" eb="3">
      <t>ヒ</t>
    </rPh>
    <phoneticPr fontId="2"/>
  </si>
  <si>
    <t>T</t>
    <phoneticPr fontId="2"/>
  </si>
  <si>
    <t>オープン日</t>
    <rPh sb="4" eb="5">
      <t>ヒ</t>
    </rPh>
    <phoneticPr fontId="2"/>
  </si>
  <si>
    <t>AL</t>
    <phoneticPr fontId="2"/>
  </si>
  <si>
    <t>粗利
金額</t>
    <rPh sb="0" eb="1">
      <t>アラ</t>
    </rPh>
    <rPh sb="1" eb="2">
      <t>リ</t>
    </rPh>
    <rPh sb="3" eb="5">
      <t>キンガク</t>
    </rPh>
    <phoneticPr fontId="2"/>
  </si>
  <si>
    <t>完了報告書</t>
    <rPh sb="0" eb="2">
      <t>カンリョウ</t>
    </rPh>
    <rPh sb="2" eb="5">
      <t>ホウコクショ</t>
    </rPh>
    <phoneticPr fontId="2"/>
  </si>
  <si>
    <t>受領者</t>
    <rPh sb="0" eb="3">
      <t>ジュリョウシャ</t>
    </rPh>
    <phoneticPr fontId="2"/>
  </si>
  <si>
    <t>外注金額</t>
    <rPh sb="0" eb="2">
      <t>ガイチュウ</t>
    </rPh>
    <rPh sb="2" eb="4">
      <t>キンガク</t>
    </rPh>
    <phoneticPr fontId="2"/>
  </si>
  <si>
    <t>入金
月</t>
    <rPh sb="0" eb="2">
      <t>ニュウキン</t>
    </rPh>
    <rPh sb="3" eb="4">
      <t>ツキ</t>
    </rPh>
    <phoneticPr fontId="2"/>
  </si>
  <si>
    <t>AH</t>
    <phoneticPr fontId="2"/>
  </si>
  <si>
    <t>会社名</t>
    <rPh sb="0" eb="2">
      <t>カイシャ</t>
    </rPh>
    <rPh sb="2" eb="3">
      <t>メイ</t>
    </rPh>
    <phoneticPr fontId="2"/>
  </si>
  <si>
    <t>外注先（1）</t>
    <rPh sb="0" eb="2">
      <t>ガイチュウ</t>
    </rPh>
    <rPh sb="2" eb="3">
      <t>サキ</t>
    </rPh>
    <phoneticPr fontId="2"/>
  </si>
  <si>
    <t>T</t>
    <phoneticPr fontId="2"/>
  </si>
  <si>
    <t>AQ</t>
    <phoneticPr fontId="2"/>
  </si>
  <si>
    <t>書式-シート-再表示で表示可能。</t>
    <rPh sb="0" eb="2">
      <t>ショシキ</t>
    </rPh>
    <rPh sb="7" eb="10">
      <t>サイヒョウジ</t>
    </rPh>
    <rPh sb="11" eb="13">
      <t>ヒョウジ</t>
    </rPh>
    <rPh sb="13" eb="15">
      <t>カノウ</t>
    </rPh>
    <phoneticPr fontId="2"/>
  </si>
  <si>
    <t>セルを選択して、データ-入力規則でリストを参照している。</t>
    <rPh sb="3" eb="5">
      <t>センタク</t>
    </rPh>
    <rPh sb="12" eb="14">
      <t>ニュウリョク</t>
    </rPh>
    <rPh sb="14" eb="16">
      <t>キソク</t>
    </rPh>
    <rPh sb="21" eb="23">
      <t>サンショウ</t>
    </rPh>
    <phoneticPr fontId="2"/>
  </si>
  <si>
    <t>07</t>
    <phoneticPr fontId="2"/>
  </si>
  <si>
    <t>完了メール</t>
    <rPh sb="0" eb="2">
      <t>カンリョウ</t>
    </rPh>
    <phoneticPr fontId="2"/>
  </si>
  <si>
    <t>≫セットアップ金額</t>
    <rPh sb="7" eb="9">
      <t>キンガク</t>
    </rPh>
    <phoneticPr fontId="2"/>
  </si>
  <si>
    <t>3.キャンセル</t>
    <phoneticPr fontId="2"/>
  </si>
  <si>
    <t>施工金額</t>
    <rPh sb="0" eb="2">
      <t>セコウ</t>
    </rPh>
    <rPh sb="2" eb="4">
      <t>キンガク</t>
    </rPh>
    <phoneticPr fontId="2"/>
  </si>
  <si>
    <t>セットアップ金額</t>
    <rPh sb="6" eb="8">
      <t>キンガク</t>
    </rPh>
    <phoneticPr fontId="2"/>
  </si>
  <si>
    <t>レンタカー費</t>
    <rPh sb="5" eb="6">
      <t>ヒ</t>
    </rPh>
    <phoneticPr fontId="2"/>
  </si>
  <si>
    <t>K</t>
    <phoneticPr fontId="2"/>
  </si>
  <si>
    <t>H</t>
    <phoneticPr fontId="2"/>
  </si>
  <si>
    <t>G</t>
    <phoneticPr fontId="2"/>
  </si>
  <si>
    <t>3.　セットアップのみ</t>
    <phoneticPr fontId="2"/>
  </si>
  <si>
    <t>AG</t>
    <phoneticPr fontId="2"/>
  </si>
  <si>
    <t>≫種類</t>
    <rPh sb="1" eb="3">
      <t>シュルイ</t>
    </rPh>
    <phoneticPr fontId="2"/>
  </si>
  <si>
    <t>B</t>
    <phoneticPr fontId="2"/>
  </si>
  <si>
    <t>C</t>
    <phoneticPr fontId="2"/>
  </si>
  <si>
    <t>D</t>
    <phoneticPr fontId="2"/>
  </si>
  <si>
    <t>OP</t>
    <phoneticPr fontId="2"/>
  </si>
  <si>
    <t>T</t>
    <phoneticPr fontId="2"/>
  </si>
  <si>
    <t>P</t>
    <phoneticPr fontId="2"/>
  </si>
  <si>
    <t>S</t>
    <phoneticPr fontId="2"/>
  </si>
  <si>
    <t>チェック
開始行</t>
    <phoneticPr fontId="2"/>
  </si>
  <si>
    <t>CC</t>
    <phoneticPr fontId="2"/>
  </si>
  <si>
    <t>AZ</t>
    <phoneticPr fontId="2"/>
  </si>
  <si>
    <t>BA</t>
    <phoneticPr fontId="2"/>
  </si>
  <si>
    <t>BB</t>
    <phoneticPr fontId="2"/>
  </si>
  <si>
    <t>BC</t>
    <phoneticPr fontId="2"/>
  </si>
  <si>
    <t>BD</t>
    <phoneticPr fontId="2"/>
  </si>
  <si>
    <t>BE</t>
    <phoneticPr fontId="2"/>
  </si>
  <si>
    <t>BF</t>
    <phoneticPr fontId="2"/>
  </si>
  <si>
    <t>BG</t>
    <phoneticPr fontId="2"/>
  </si>
  <si>
    <t>BH</t>
    <phoneticPr fontId="2"/>
  </si>
  <si>
    <t>BI</t>
    <phoneticPr fontId="2"/>
  </si>
  <si>
    <t>BJ</t>
    <phoneticPr fontId="2"/>
  </si>
  <si>
    <t>BK</t>
    <phoneticPr fontId="2"/>
  </si>
  <si>
    <t>BL</t>
    <phoneticPr fontId="2"/>
  </si>
  <si>
    <t>BM</t>
    <phoneticPr fontId="2"/>
  </si>
  <si>
    <t>BN</t>
    <phoneticPr fontId="2"/>
  </si>
  <si>
    <t>BO</t>
    <phoneticPr fontId="2"/>
  </si>
  <si>
    <t>BP</t>
    <phoneticPr fontId="2"/>
  </si>
  <si>
    <t>BQ</t>
    <phoneticPr fontId="2"/>
  </si>
  <si>
    <t>BR</t>
    <phoneticPr fontId="2"/>
  </si>
  <si>
    <t>BS</t>
    <phoneticPr fontId="2"/>
  </si>
  <si>
    <t>BT</t>
    <phoneticPr fontId="2"/>
  </si>
  <si>
    <t>BU</t>
    <phoneticPr fontId="2"/>
  </si>
  <si>
    <t>BV</t>
    <phoneticPr fontId="2"/>
  </si>
  <si>
    <t>BW</t>
    <phoneticPr fontId="2"/>
  </si>
  <si>
    <t>BX</t>
    <phoneticPr fontId="2"/>
  </si>
  <si>
    <t>BY</t>
    <phoneticPr fontId="2"/>
  </si>
  <si>
    <t>BZ</t>
    <phoneticPr fontId="2"/>
  </si>
  <si>
    <t>CA</t>
    <phoneticPr fontId="2"/>
  </si>
  <si>
    <t>CB</t>
    <phoneticPr fontId="2"/>
  </si>
  <si>
    <t>≫FF回答金額合計</t>
    <rPh sb="3" eb="5">
      <t>カイトウ</t>
    </rPh>
    <rPh sb="5" eb="7">
      <t>キンガク</t>
    </rPh>
    <rPh sb="7" eb="9">
      <t>ゴウケイ</t>
    </rPh>
    <phoneticPr fontId="2"/>
  </si>
  <si>
    <t>AX</t>
    <phoneticPr fontId="2"/>
  </si>
  <si>
    <t>AY</t>
    <phoneticPr fontId="2"/>
  </si>
  <si>
    <t>FF回答金額</t>
    <rPh sb="2" eb="4">
      <t>カイトウ</t>
    </rPh>
    <rPh sb="4" eb="6">
      <t>キンガク</t>
    </rPh>
    <phoneticPr fontId="2"/>
  </si>
  <si>
    <t>SS</t>
    <phoneticPr fontId="2"/>
  </si>
  <si>
    <t>TS</t>
    <phoneticPr fontId="2"/>
  </si>
  <si>
    <t>SS/TS
区分</t>
    <rPh sb="6" eb="8">
      <t>クブン</t>
    </rPh>
    <phoneticPr fontId="2"/>
  </si>
  <si>
    <t>U</t>
    <phoneticPr fontId="2"/>
  </si>
  <si>
    <t>V</t>
    <phoneticPr fontId="2"/>
  </si>
  <si>
    <t>W</t>
    <phoneticPr fontId="2"/>
  </si>
  <si>
    <t>X</t>
    <phoneticPr fontId="2"/>
  </si>
  <si>
    <t>Y</t>
    <phoneticPr fontId="2"/>
  </si>
  <si>
    <t>Z</t>
    <phoneticPr fontId="2"/>
  </si>
  <si>
    <t>CD</t>
    <phoneticPr fontId="2"/>
  </si>
  <si>
    <t>SSTS区分</t>
    <rPh sb="4" eb="6">
      <t>クブン</t>
    </rPh>
    <phoneticPr fontId="2"/>
  </si>
  <si>
    <t>その他</t>
  </si>
  <si>
    <t>B&amp;Mソフトウエアサービス</t>
  </si>
  <si>
    <t>CK</t>
    <phoneticPr fontId="2"/>
  </si>
  <si>
    <t>保守業務管理費</t>
    <rPh sb="0" eb="2">
      <t>ホシュ</t>
    </rPh>
    <rPh sb="2" eb="4">
      <t>ギョウム</t>
    </rPh>
    <rPh sb="4" eb="7">
      <t>カンリヒ</t>
    </rPh>
    <phoneticPr fontId="2"/>
  </si>
  <si>
    <t>保守業務管理費用</t>
    <phoneticPr fontId="2"/>
  </si>
  <si>
    <t>保守業務管理費</t>
    <phoneticPr fontId="2"/>
  </si>
  <si>
    <t>保守業務管理費</t>
    <phoneticPr fontId="2"/>
  </si>
  <si>
    <t>BAMTS07SP</t>
    <phoneticPr fontId="2"/>
  </si>
  <si>
    <t>(株)プライムシステム</t>
    <rPh sb="0" eb="3">
      <t>カブシキガイシャ</t>
    </rPh>
    <phoneticPr fontId="2"/>
  </si>
  <si>
    <t>(有)高橋電機商会</t>
    <rPh sb="0" eb="3">
      <t>ユウ</t>
    </rPh>
    <phoneticPr fontId="2"/>
  </si>
  <si>
    <t>(有)文元電気サービス</t>
    <rPh sb="0" eb="3">
      <t>ユウ</t>
    </rPh>
    <phoneticPr fontId="2"/>
  </si>
  <si>
    <t>㈱コーエイ</t>
    <phoneticPr fontId="2"/>
  </si>
  <si>
    <t>㈱DTサクセション</t>
    <phoneticPr fontId="2"/>
  </si>
  <si>
    <t>(有)遊ワークス</t>
    <rPh sb="0" eb="3">
      <t>ユウ</t>
    </rPh>
    <rPh sb="3" eb="4">
      <t>アソ</t>
    </rPh>
    <phoneticPr fontId="2"/>
  </si>
  <si>
    <t>エス．イー．ティー</t>
    <phoneticPr fontId="2"/>
  </si>
  <si>
    <t>YRECM</t>
    <phoneticPr fontId="2"/>
  </si>
  <si>
    <t>YSECM</t>
    <phoneticPr fontId="2"/>
  </si>
  <si>
    <t>O</t>
    <phoneticPr fontId="2"/>
  </si>
  <si>
    <t>期の変更：開発⇒デザインモード⇒VisualBasic⇒\basCommom⇒MANAGEMENT_NOを編集　</t>
    <rPh sb="0" eb="1">
      <t>キ</t>
    </rPh>
    <rPh sb="2" eb="4">
      <t>ヘンコウ</t>
    </rPh>
    <rPh sb="5" eb="7">
      <t>カイハツ</t>
    </rPh>
    <phoneticPr fontId="2"/>
  </si>
  <si>
    <t>(有)インフォックス</t>
    <rPh sb="1" eb="2">
      <t>ユウ</t>
    </rPh>
    <phoneticPr fontId="2"/>
  </si>
  <si>
    <t>L</t>
    <phoneticPr fontId="2"/>
  </si>
  <si>
    <t>M</t>
    <phoneticPr fontId="2"/>
  </si>
  <si>
    <t>N</t>
    <phoneticPr fontId="2"/>
  </si>
  <si>
    <t>O</t>
    <phoneticPr fontId="2"/>
  </si>
  <si>
    <t>P</t>
    <phoneticPr fontId="2"/>
  </si>
  <si>
    <t>W</t>
    <phoneticPr fontId="2"/>
  </si>
  <si>
    <t>Y</t>
    <phoneticPr fontId="2"/>
  </si>
  <si>
    <t>Z</t>
    <phoneticPr fontId="2"/>
  </si>
  <si>
    <t>V</t>
    <phoneticPr fontId="2"/>
  </si>
  <si>
    <t>2月</t>
    <rPh sb="1" eb="2">
      <t>ガツ</t>
    </rPh>
    <phoneticPr fontId="2"/>
  </si>
  <si>
    <t>3月</t>
    <rPh sb="1" eb="2">
      <t>ガツ</t>
    </rPh>
    <phoneticPr fontId="2"/>
  </si>
  <si>
    <t>4月</t>
    <rPh sb="1" eb="2">
      <t>ガツ</t>
    </rPh>
    <phoneticPr fontId="2"/>
  </si>
  <si>
    <t>5月</t>
    <rPh sb="1" eb="2">
      <t>ガツ</t>
    </rPh>
    <phoneticPr fontId="2"/>
  </si>
  <si>
    <t>6月</t>
    <rPh sb="1" eb="2">
      <t>ガツ</t>
    </rPh>
    <phoneticPr fontId="2"/>
  </si>
  <si>
    <t>7月</t>
    <rPh sb="1" eb="2">
      <t>ガツ</t>
    </rPh>
    <phoneticPr fontId="2"/>
  </si>
  <si>
    <t>8月</t>
    <rPh sb="1" eb="2">
      <t>ガツ</t>
    </rPh>
    <phoneticPr fontId="2"/>
  </si>
  <si>
    <t>9月</t>
    <rPh sb="1" eb="2">
      <t>ガツ</t>
    </rPh>
    <phoneticPr fontId="2"/>
  </si>
  <si>
    <t>A　PHC新店舗工事施工業務</t>
  </si>
  <si>
    <t>B　PHC新店舗工事オープン対応業務</t>
  </si>
  <si>
    <t>C　HSC新店舗工事施工業務</t>
  </si>
  <si>
    <t>D　HSC新店舗工事オープン対応業務</t>
  </si>
  <si>
    <t>E　ドアセンサー取付</t>
  </si>
  <si>
    <t>F　HSC金庫オープン工事施工業務</t>
  </si>
  <si>
    <t>G　MDV</t>
  </si>
  <si>
    <t>H　情報端末機</t>
  </si>
  <si>
    <t>I　ロッカー監視システム</t>
  </si>
  <si>
    <t>J</t>
  </si>
  <si>
    <t>K　改造工事</t>
  </si>
  <si>
    <t>L　保守作業</t>
  </si>
  <si>
    <t>M 液晶ランプ（新規）</t>
  </si>
  <si>
    <t>N 液晶ランプ（既存）</t>
  </si>
  <si>
    <t>O S変換ハーネス</t>
  </si>
  <si>
    <t>P POS</t>
  </si>
  <si>
    <t>Q</t>
  </si>
  <si>
    <t>R</t>
  </si>
  <si>
    <t>S</t>
  </si>
  <si>
    <t>T</t>
  </si>
  <si>
    <t>U</t>
  </si>
  <si>
    <t>V　研修・イベント</t>
  </si>
  <si>
    <t>W 問い合わせ業務</t>
  </si>
  <si>
    <t>X</t>
  </si>
  <si>
    <t>Y　保守受付業務</t>
  </si>
  <si>
    <t>Z　その他</t>
  </si>
  <si>
    <t/>
  </si>
  <si>
    <t>0001</t>
    <phoneticPr fontId="2"/>
  </si>
  <si>
    <t>15</t>
    <phoneticPr fontId="2"/>
  </si>
  <si>
    <t>橿原北</t>
    <phoneticPr fontId="2"/>
  </si>
  <si>
    <t>保守作業</t>
    <phoneticPr fontId="2"/>
  </si>
  <si>
    <t>15</t>
  </si>
  <si>
    <t>10</t>
  </si>
  <si>
    <t>TS</t>
  </si>
  <si>
    <t>0010</t>
    <phoneticPr fontId="2"/>
  </si>
  <si>
    <t>仙台駅東</t>
    <phoneticPr fontId="2"/>
  </si>
  <si>
    <t>液晶ランプ撤去（192台）／個別計数機撤去（120台）に伴うホールコンピュータ変更</t>
    <phoneticPr fontId="2"/>
  </si>
  <si>
    <t>4925</t>
    <phoneticPr fontId="2"/>
  </si>
  <si>
    <t>0011</t>
    <phoneticPr fontId="2"/>
  </si>
  <si>
    <t>TEK</t>
    <phoneticPr fontId="2"/>
  </si>
  <si>
    <t>酸素計／調整・検査</t>
    <phoneticPr fontId="2"/>
  </si>
  <si>
    <t>0012</t>
    <phoneticPr fontId="2"/>
  </si>
  <si>
    <t>0013</t>
    <phoneticPr fontId="2"/>
  </si>
  <si>
    <t>0014</t>
    <phoneticPr fontId="2"/>
  </si>
  <si>
    <t>0015</t>
    <phoneticPr fontId="2"/>
  </si>
  <si>
    <t>0016</t>
    <phoneticPr fontId="2"/>
  </si>
  <si>
    <t>0017</t>
    <phoneticPr fontId="2"/>
  </si>
  <si>
    <t>0018</t>
    <phoneticPr fontId="2"/>
  </si>
  <si>
    <t>0019</t>
    <phoneticPr fontId="2"/>
  </si>
  <si>
    <t>0020</t>
    <phoneticPr fontId="2"/>
  </si>
  <si>
    <t>0021</t>
    <phoneticPr fontId="2"/>
  </si>
  <si>
    <t>0022</t>
    <phoneticPr fontId="2"/>
  </si>
  <si>
    <t>0023</t>
    <phoneticPr fontId="2"/>
  </si>
  <si>
    <t>0024</t>
    <phoneticPr fontId="2"/>
  </si>
  <si>
    <t>0025</t>
    <phoneticPr fontId="2"/>
  </si>
  <si>
    <t>0026</t>
    <phoneticPr fontId="2"/>
  </si>
  <si>
    <t>0027</t>
    <phoneticPr fontId="2"/>
  </si>
  <si>
    <t>0028</t>
    <phoneticPr fontId="2"/>
  </si>
  <si>
    <t>0029</t>
    <phoneticPr fontId="2"/>
  </si>
  <si>
    <t>0030</t>
    <phoneticPr fontId="2"/>
  </si>
  <si>
    <t xml:space="preserve">TE01324149 </t>
    <phoneticPr fontId="2"/>
  </si>
  <si>
    <t xml:space="preserve">TE01324150 </t>
    <phoneticPr fontId="2"/>
  </si>
  <si>
    <t>－</t>
    <phoneticPr fontId="2"/>
  </si>
  <si>
    <t>携帯システム関連／保守料（10月分）</t>
    <phoneticPr fontId="2"/>
  </si>
  <si>
    <t>0035</t>
    <phoneticPr fontId="2"/>
  </si>
  <si>
    <t>問い合わせ受付業務</t>
    <phoneticPr fontId="2"/>
  </si>
  <si>
    <t>0036</t>
    <phoneticPr fontId="2"/>
  </si>
  <si>
    <t>レポーティング作業／アウト予測レポート</t>
    <phoneticPr fontId="2"/>
  </si>
  <si>
    <t>藤原</t>
    <phoneticPr fontId="2"/>
  </si>
  <si>
    <t>0039</t>
    <phoneticPr fontId="2"/>
  </si>
  <si>
    <t>木場</t>
    <phoneticPr fontId="2"/>
  </si>
  <si>
    <t>0002</t>
    <phoneticPr fontId="2"/>
  </si>
  <si>
    <t>手稲</t>
    <phoneticPr fontId="2"/>
  </si>
  <si>
    <t>売上機変更（40台）へのホールコン対応作業</t>
    <phoneticPr fontId="2"/>
  </si>
  <si>
    <t>4913k</t>
    <phoneticPr fontId="2"/>
  </si>
  <si>
    <t>バム</t>
    <phoneticPr fontId="2"/>
  </si>
  <si>
    <t>函南</t>
  </si>
  <si>
    <t>0045</t>
    <phoneticPr fontId="2"/>
  </si>
  <si>
    <t>追分</t>
    <phoneticPr fontId="2"/>
  </si>
  <si>
    <t>0046</t>
    <phoneticPr fontId="2"/>
  </si>
  <si>
    <t>丸亀</t>
    <phoneticPr fontId="2"/>
  </si>
  <si>
    <t>CNTタッチパネル／動作確認作業</t>
    <phoneticPr fontId="2"/>
  </si>
  <si>
    <t>0047</t>
    <phoneticPr fontId="2"/>
  </si>
  <si>
    <t>安城</t>
    <phoneticPr fontId="2"/>
  </si>
  <si>
    <t>0003</t>
    <phoneticPr fontId="2"/>
  </si>
  <si>
    <t>厚別</t>
    <phoneticPr fontId="2"/>
  </si>
  <si>
    <t>S島内機器撤去再設置（震災復旧作業）へのホールコン対応作業</t>
    <phoneticPr fontId="2"/>
  </si>
  <si>
    <t>4922</t>
    <phoneticPr fontId="2"/>
  </si>
  <si>
    <t>(株)プライムシステム</t>
    <phoneticPr fontId="2"/>
  </si>
  <si>
    <t>西田</t>
    <phoneticPr fontId="2"/>
  </si>
  <si>
    <t>0049</t>
    <phoneticPr fontId="2"/>
  </si>
  <si>
    <t>新宿</t>
    <phoneticPr fontId="2"/>
  </si>
  <si>
    <t xml:space="preserve">TE01326014 </t>
    <phoneticPr fontId="2"/>
  </si>
  <si>
    <t>TE01326055</t>
    <phoneticPr fontId="2"/>
  </si>
  <si>
    <t>0050</t>
    <phoneticPr fontId="2"/>
  </si>
  <si>
    <t>KKS工事用</t>
    <phoneticPr fontId="2"/>
  </si>
  <si>
    <t xml:space="preserve">POSシステム向け／マイク線加工 </t>
    <phoneticPr fontId="2"/>
  </si>
  <si>
    <t>0037</t>
    <phoneticPr fontId="2"/>
  </si>
  <si>
    <t>八尾泉</t>
    <phoneticPr fontId="2"/>
  </si>
  <si>
    <t xml:space="preserve">TE01326550 </t>
    <phoneticPr fontId="2"/>
  </si>
  <si>
    <t xml:space="preserve">TE01326601 </t>
    <phoneticPr fontId="2"/>
  </si>
  <si>
    <t xml:space="preserve">TE01326603 </t>
    <phoneticPr fontId="2"/>
  </si>
  <si>
    <t>0051</t>
    <phoneticPr fontId="2"/>
  </si>
  <si>
    <t>八王子四谷</t>
    <phoneticPr fontId="2"/>
  </si>
  <si>
    <t>0052</t>
    <phoneticPr fontId="2"/>
  </si>
  <si>
    <t>薩摩川内</t>
    <phoneticPr fontId="2"/>
  </si>
  <si>
    <t>分電盤調査・整理</t>
    <phoneticPr fontId="2"/>
  </si>
  <si>
    <t>池袋</t>
    <phoneticPr fontId="2"/>
  </si>
  <si>
    <t>0061</t>
    <phoneticPr fontId="2"/>
  </si>
  <si>
    <t>TFNL1 DTY個別管理SV業務</t>
    <phoneticPr fontId="2"/>
  </si>
  <si>
    <t>0062</t>
    <phoneticPr fontId="2"/>
  </si>
  <si>
    <t>0063</t>
    <phoneticPr fontId="2"/>
  </si>
  <si>
    <t>0064</t>
    <phoneticPr fontId="2"/>
  </si>
  <si>
    <t>東レ愛知OMS通信テスト機セットアップと立会い業務</t>
    <phoneticPr fontId="2"/>
  </si>
  <si>
    <t>東レ愛知OMS通信テスト機 予備PC作成</t>
    <phoneticPr fontId="2"/>
  </si>
  <si>
    <t>旧インスペクトラ  T社四日市工場対応</t>
    <phoneticPr fontId="2"/>
  </si>
  <si>
    <t>0070</t>
    <phoneticPr fontId="2"/>
  </si>
  <si>
    <t>HMC再老朽化更新作業</t>
    <phoneticPr fontId="2"/>
  </si>
  <si>
    <t>10月</t>
  </si>
  <si>
    <t>0072</t>
    <phoneticPr fontId="2"/>
  </si>
  <si>
    <t>松本</t>
    <phoneticPr fontId="2"/>
  </si>
  <si>
    <t>HMCリカバリーデータ作成費</t>
    <phoneticPr fontId="2"/>
  </si>
  <si>
    <t>B&amp;Mソフトウエアサービス</t>
    <phoneticPr fontId="2"/>
  </si>
  <si>
    <t>0073</t>
    <phoneticPr fontId="2"/>
  </si>
  <si>
    <t>羽曳野</t>
    <phoneticPr fontId="2"/>
  </si>
  <si>
    <t>0040</t>
    <phoneticPr fontId="2"/>
  </si>
  <si>
    <t>島4FY 27xMC制御盤集約対応</t>
    <phoneticPr fontId="2"/>
  </si>
  <si>
    <t>TEKへは「14Z101386」で提出</t>
    <phoneticPr fontId="2"/>
  </si>
  <si>
    <t xml:space="preserve">TE01327592 </t>
  </si>
  <si>
    <t>0007</t>
    <phoneticPr fontId="2"/>
  </si>
  <si>
    <t>上越</t>
    <phoneticPr fontId="2"/>
  </si>
  <si>
    <t>セキュリティ対策機器設置フォロー（CPU電源使用）</t>
    <phoneticPr fontId="2"/>
  </si>
  <si>
    <t>スロットインターフェイスハーネス製作(6)</t>
    <phoneticPr fontId="2"/>
  </si>
  <si>
    <t>0074</t>
    <phoneticPr fontId="2"/>
  </si>
  <si>
    <t>小名浜</t>
    <phoneticPr fontId="2"/>
  </si>
  <si>
    <t>スロットインターフェイスハーネス製作(5)</t>
    <phoneticPr fontId="2"/>
  </si>
  <si>
    <t>0077</t>
    <phoneticPr fontId="2"/>
  </si>
  <si>
    <t>亀有</t>
    <phoneticPr fontId="2"/>
  </si>
  <si>
    <t>スロットインターフェイスハーネス製作(10)</t>
    <phoneticPr fontId="2"/>
  </si>
  <si>
    <t xml:space="preserve">TE01328167 </t>
    <phoneticPr fontId="2"/>
  </si>
  <si>
    <t xml:space="preserve">TE01328170 </t>
    <phoneticPr fontId="2"/>
  </si>
  <si>
    <t>0067</t>
    <phoneticPr fontId="2"/>
  </si>
  <si>
    <t>五所川原</t>
    <phoneticPr fontId="2"/>
  </si>
  <si>
    <t>メダル補給機交換に伴う島内機器撤去再設置</t>
    <phoneticPr fontId="2"/>
  </si>
  <si>
    <t>4943</t>
    <phoneticPr fontId="2"/>
  </si>
  <si>
    <t>1</t>
  </si>
  <si>
    <t xml:space="preserve">TE01327593 </t>
    <phoneticPr fontId="2"/>
  </si>
  <si>
    <t>北加賀屋</t>
    <phoneticPr fontId="2"/>
  </si>
  <si>
    <t>0079</t>
    <phoneticPr fontId="2"/>
  </si>
  <si>
    <t xml:space="preserve">TE01328570 </t>
    <phoneticPr fontId="2"/>
  </si>
  <si>
    <t xml:space="preserve">TE01328574 </t>
    <phoneticPr fontId="2"/>
  </si>
  <si>
    <t>0083</t>
    <phoneticPr fontId="2"/>
  </si>
  <si>
    <t>古川</t>
    <phoneticPr fontId="2"/>
  </si>
  <si>
    <t>0084</t>
    <phoneticPr fontId="2"/>
  </si>
  <si>
    <t>HMCリカバリー復元作業</t>
    <phoneticPr fontId="2"/>
  </si>
  <si>
    <t>0071</t>
    <phoneticPr fontId="2"/>
  </si>
  <si>
    <t>和歌山インター</t>
    <phoneticPr fontId="2"/>
  </si>
  <si>
    <t>65,000×0.65</t>
    <phoneticPr fontId="2"/>
  </si>
  <si>
    <t>0085</t>
    <phoneticPr fontId="2"/>
  </si>
  <si>
    <t>鶴岡</t>
    <phoneticPr fontId="2"/>
  </si>
  <si>
    <t>現地対応経費有り</t>
    <phoneticPr fontId="2"/>
  </si>
  <si>
    <t>0086</t>
    <phoneticPr fontId="2"/>
  </si>
  <si>
    <t>会津若松一箕</t>
    <phoneticPr fontId="2"/>
  </si>
  <si>
    <t>0087</t>
    <phoneticPr fontId="2"/>
  </si>
  <si>
    <t>0088</t>
    <phoneticPr fontId="2"/>
  </si>
  <si>
    <t>(有)高橋電機商会</t>
    <phoneticPr fontId="2"/>
  </si>
  <si>
    <t>保守作業／再々発対応</t>
    <phoneticPr fontId="2"/>
  </si>
  <si>
    <t>保守作業／再発対応</t>
    <phoneticPr fontId="2"/>
  </si>
  <si>
    <t xml:space="preserve">TE01329138 </t>
    <phoneticPr fontId="2"/>
  </si>
  <si>
    <t>川崎桜本</t>
  </si>
  <si>
    <t>Z</t>
  </si>
  <si>
    <t>0098</t>
  </si>
  <si>
    <t>和歌山インター</t>
  </si>
  <si>
    <t>HMC老朽化／再更新</t>
  </si>
  <si>
    <t>㈱DTサクセション</t>
  </si>
  <si>
    <t>0099</t>
    <phoneticPr fontId="2"/>
  </si>
  <si>
    <t>P</t>
  </si>
  <si>
    <t>郡山インター</t>
    <phoneticPr fontId="2"/>
  </si>
  <si>
    <t>KKS老朽化更新（SV）</t>
  </si>
  <si>
    <t>KKS老朽化更新（SV）</t>
    <phoneticPr fontId="2"/>
  </si>
  <si>
    <t>0100</t>
    <phoneticPr fontId="2"/>
  </si>
  <si>
    <t>村山</t>
    <phoneticPr fontId="2"/>
  </si>
  <si>
    <t>KKS老朽化更新（CL）</t>
  </si>
  <si>
    <t>KKS老朽化更新（CL）</t>
    <phoneticPr fontId="2"/>
  </si>
  <si>
    <t>0101</t>
  </si>
  <si>
    <t>米沢</t>
  </si>
  <si>
    <t>0102</t>
  </si>
  <si>
    <t>河渡</t>
  </si>
  <si>
    <t>0104</t>
  </si>
  <si>
    <t>新小岩</t>
  </si>
  <si>
    <t>KKS老朽化更新（POS）</t>
  </si>
  <si>
    <t>0105</t>
  </si>
  <si>
    <t>昭島</t>
  </si>
  <si>
    <t>0106</t>
  </si>
  <si>
    <t>茅ヶ崎</t>
  </si>
  <si>
    <t>0107</t>
  </si>
  <si>
    <t>平塚</t>
  </si>
  <si>
    <t>0108</t>
  </si>
  <si>
    <t>綾瀬上土棚</t>
  </si>
  <si>
    <t>0109</t>
  </si>
  <si>
    <t>藤枝駅南P館</t>
  </si>
  <si>
    <t>0110</t>
  </si>
  <si>
    <t>鳥坂</t>
  </si>
  <si>
    <t>KKS老朽化更新（SV＋POS）</t>
  </si>
  <si>
    <t>0111</t>
  </si>
  <si>
    <t>裾野北</t>
  </si>
  <si>
    <t>0112</t>
  </si>
  <si>
    <t>0113</t>
  </si>
  <si>
    <t>松阪</t>
  </si>
  <si>
    <t>0114</t>
  </si>
  <si>
    <t>四日市</t>
  </si>
  <si>
    <t>0115</t>
  </si>
  <si>
    <t>四日市北</t>
  </si>
  <si>
    <t>0116</t>
    <phoneticPr fontId="2"/>
  </si>
  <si>
    <t>米沢</t>
    <phoneticPr fontId="2"/>
  </si>
  <si>
    <t>CNTタブレット／動作確認作業</t>
    <phoneticPr fontId="2"/>
  </si>
  <si>
    <t>0117</t>
    <phoneticPr fontId="2"/>
  </si>
  <si>
    <t>台コン検査／その他</t>
    <phoneticPr fontId="2"/>
  </si>
  <si>
    <t>L</t>
  </si>
  <si>
    <t>0004</t>
    <phoneticPr fontId="2"/>
  </si>
  <si>
    <t>石巻</t>
    <phoneticPr fontId="2"/>
  </si>
  <si>
    <t>HMCベースイメージ作成及び石巻店再現テスト作業</t>
    <phoneticPr fontId="2"/>
  </si>
  <si>
    <t>0005</t>
    <phoneticPr fontId="2"/>
  </si>
  <si>
    <t>0006</t>
    <phoneticPr fontId="2"/>
  </si>
  <si>
    <t>HSCトトラブル現地対応作業</t>
    <phoneticPr fontId="2"/>
  </si>
  <si>
    <t>HMCトラブル現地対応作業</t>
    <phoneticPr fontId="2"/>
  </si>
  <si>
    <t>0126</t>
    <phoneticPr fontId="2"/>
  </si>
  <si>
    <t>保守作業／修理品設置</t>
  </si>
  <si>
    <t>(有)文元電気サービス</t>
  </si>
  <si>
    <t>0127</t>
    <phoneticPr fontId="2"/>
  </si>
  <si>
    <t>保守作業／修理品再設置</t>
  </si>
  <si>
    <t>(有)文元電気サービス</t>
    <phoneticPr fontId="2"/>
  </si>
  <si>
    <t>0128</t>
    <phoneticPr fontId="2"/>
  </si>
  <si>
    <t>保守作業／再発対応</t>
  </si>
  <si>
    <t>新小岩</t>
    <phoneticPr fontId="2"/>
  </si>
  <si>
    <t>藤原</t>
  </si>
  <si>
    <t>TN-200部組作業／改造</t>
    <phoneticPr fontId="2"/>
  </si>
  <si>
    <t>0125</t>
    <phoneticPr fontId="2"/>
  </si>
  <si>
    <t>厚木北</t>
    <phoneticPr fontId="2"/>
  </si>
  <si>
    <t>0129</t>
    <phoneticPr fontId="2"/>
  </si>
  <si>
    <t>名寄</t>
    <phoneticPr fontId="2"/>
  </si>
  <si>
    <t>保守作業／カウンタPCタブレット 代替機</t>
    <phoneticPr fontId="2"/>
  </si>
  <si>
    <t>0130</t>
    <phoneticPr fontId="2"/>
  </si>
  <si>
    <t>相模原</t>
    <phoneticPr fontId="2"/>
  </si>
  <si>
    <t>店舗改装に伴う先行通線（天井）作業</t>
    <phoneticPr fontId="2"/>
  </si>
  <si>
    <t>0131</t>
    <phoneticPr fontId="2"/>
  </si>
  <si>
    <t>なんば新館</t>
    <phoneticPr fontId="2"/>
  </si>
  <si>
    <t xml:space="preserve">TE01330841 </t>
    <phoneticPr fontId="2"/>
  </si>
  <si>
    <t xml:space="preserve">TE01330846 </t>
    <phoneticPr fontId="2"/>
  </si>
  <si>
    <t>0078</t>
    <phoneticPr fontId="2"/>
  </si>
  <si>
    <t>マルハン</t>
    <phoneticPr fontId="2"/>
  </si>
  <si>
    <t>保守作業／TMDV-D 代替機／修理品交換</t>
    <phoneticPr fontId="2"/>
  </si>
  <si>
    <t>14期№1206の再発行／FF:「東新田」で処理</t>
    <phoneticPr fontId="2"/>
  </si>
  <si>
    <t>0091</t>
    <phoneticPr fontId="2"/>
  </si>
  <si>
    <t>青森柏</t>
    <phoneticPr fontId="2"/>
  </si>
  <si>
    <t>台コン更新(D→F)に伴う工事</t>
    <phoneticPr fontId="2"/>
  </si>
  <si>
    <t>4890</t>
    <phoneticPr fontId="2"/>
  </si>
  <si>
    <t>森谷</t>
    <phoneticPr fontId="2"/>
  </si>
  <si>
    <t>0132</t>
    <phoneticPr fontId="2"/>
  </si>
  <si>
    <t>摂津</t>
    <phoneticPr fontId="2"/>
  </si>
  <si>
    <t>P増減台（40台）へのホールコン対応作業</t>
    <phoneticPr fontId="2"/>
  </si>
  <si>
    <t>4954</t>
    <phoneticPr fontId="2"/>
  </si>
  <si>
    <t>0009</t>
    <phoneticPr fontId="2"/>
  </si>
  <si>
    <t>鹿沼</t>
    <phoneticPr fontId="2"/>
  </si>
  <si>
    <t>個別計数機撤去（27台）へのホールコン対応作業</t>
    <phoneticPr fontId="2"/>
  </si>
  <si>
    <t>4924</t>
    <phoneticPr fontId="2"/>
  </si>
  <si>
    <t xml:space="preserve">TE01330827 </t>
    <phoneticPr fontId="2"/>
  </si>
  <si>
    <t>0136</t>
    <phoneticPr fontId="2"/>
  </si>
  <si>
    <t>LM5真空乾燥通過履歴対応</t>
    <phoneticPr fontId="2"/>
  </si>
  <si>
    <t>0139</t>
    <phoneticPr fontId="2"/>
  </si>
  <si>
    <t>POSシステム向け／LANケーブル</t>
    <phoneticPr fontId="2"/>
  </si>
  <si>
    <t>0138</t>
    <phoneticPr fontId="2"/>
  </si>
  <si>
    <t>0</t>
    <phoneticPr fontId="2"/>
  </si>
  <si>
    <t>0143</t>
    <phoneticPr fontId="2"/>
  </si>
  <si>
    <t>POS老朽化更新／10月分</t>
    <phoneticPr fontId="2"/>
  </si>
  <si>
    <t>TE01331340</t>
    <phoneticPr fontId="2"/>
  </si>
  <si>
    <t>0042</t>
    <phoneticPr fontId="2"/>
  </si>
  <si>
    <t>浜松泉</t>
    <phoneticPr fontId="2"/>
  </si>
  <si>
    <t>メダル貸しC'（40台）へのホールコン対応作業</t>
    <phoneticPr fontId="2"/>
  </si>
  <si>
    <t>4930k</t>
    <phoneticPr fontId="2"/>
  </si>
  <si>
    <t>0140</t>
    <phoneticPr fontId="2"/>
  </si>
  <si>
    <t>二又瀬</t>
    <phoneticPr fontId="2"/>
  </si>
  <si>
    <t>売上機変更（280台）へのホールコン対応作業</t>
    <phoneticPr fontId="2"/>
  </si>
  <si>
    <t xml:space="preserve">TE01331914 </t>
    <phoneticPr fontId="2"/>
  </si>
  <si>
    <t xml:space="preserve">TE01331917 </t>
    <phoneticPr fontId="2"/>
  </si>
  <si>
    <t>0147</t>
    <phoneticPr fontId="2"/>
  </si>
  <si>
    <t>水戸けやき台</t>
    <phoneticPr fontId="2"/>
  </si>
  <si>
    <t>デビット券売機設置（1台）へのホールコン対応作業</t>
    <phoneticPr fontId="2"/>
  </si>
  <si>
    <t>土浦</t>
    <phoneticPr fontId="2"/>
  </si>
  <si>
    <t>0150</t>
    <phoneticPr fontId="2"/>
  </si>
  <si>
    <t>石岡</t>
    <phoneticPr fontId="2"/>
  </si>
  <si>
    <t>4961</t>
    <phoneticPr fontId="2"/>
  </si>
  <si>
    <t>0151</t>
    <phoneticPr fontId="2"/>
  </si>
  <si>
    <t>草津</t>
    <phoneticPr fontId="2"/>
  </si>
  <si>
    <t>個別計数機移設（120台）へのホールコン対応作業</t>
    <phoneticPr fontId="2"/>
  </si>
  <si>
    <t>0152</t>
    <phoneticPr fontId="2"/>
  </si>
  <si>
    <t>鈴鹿</t>
    <phoneticPr fontId="2"/>
  </si>
  <si>
    <t>ＰＨＣ新店舗工事施工業務</t>
    <phoneticPr fontId="2"/>
  </si>
  <si>
    <t>0153</t>
    <phoneticPr fontId="2"/>
  </si>
  <si>
    <t>ＨＳＣ新店舗工事施工業務</t>
    <phoneticPr fontId="2"/>
  </si>
  <si>
    <t>0154</t>
    <phoneticPr fontId="2"/>
  </si>
  <si>
    <t>金庫監視施工業務</t>
    <phoneticPr fontId="2"/>
  </si>
  <si>
    <t>0155</t>
    <phoneticPr fontId="2"/>
  </si>
  <si>
    <t>ＰＨＣ新店舗オープン対応業務</t>
    <phoneticPr fontId="2"/>
  </si>
  <si>
    <t>0156</t>
    <phoneticPr fontId="2"/>
  </si>
  <si>
    <t>保守受付業務</t>
    <phoneticPr fontId="2"/>
  </si>
  <si>
    <t>0157</t>
    <phoneticPr fontId="2"/>
  </si>
  <si>
    <t>布施</t>
    <phoneticPr fontId="2"/>
  </si>
  <si>
    <t>液晶ランプ電源工事</t>
    <phoneticPr fontId="2"/>
  </si>
  <si>
    <t>朝日建装</t>
    <phoneticPr fontId="2"/>
  </si>
  <si>
    <t>0158</t>
  </si>
  <si>
    <t>保守作業／修理品交換</t>
  </si>
  <si>
    <t>㈱コーエイ</t>
  </si>
  <si>
    <t>0137</t>
    <phoneticPr fontId="2"/>
  </si>
  <si>
    <t>S変換ハーネス(8)</t>
    <phoneticPr fontId="2"/>
  </si>
  <si>
    <t>A10655200100</t>
    <phoneticPr fontId="2"/>
  </si>
  <si>
    <t>0142</t>
    <phoneticPr fontId="2"/>
  </si>
  <si>
    <t>S変換ハーネス(32)</t>
    <phoneticPr fontId="2"/>
  </si>
  <si>
    <t xml:space="preserve">TE01332494 </t>
    <phoneticPr fontId="2"/>
  </si>
  <si>
    <t xml:space="preserve">TE01332496 </t>
    <phoneticPr fontId="2"/>
  </si>
  <si>
    <t xml:space="preserve">TE01332498 </t>
    <phoneticPr fontId="2"/>
  </si>
  <si>
    <t xml:space="preserve">TE01332499 </t>
    <phoneticPr fontId="2"/>
  </si>
  <si>
    <t>0056</t>
    <phoneticPr fontId="2"/>
  </si>
  <si>
    <t>岩見沢</t>
    <phoneticPr fontId="2"/>
  </si>
  <si>
    <t>個別計数機撤去（40台）へのホールコン対応作業</t>
    <phoneticPr fontId="2"/>
  </si>
  <si>
    <t>4935</t>
    <phoneticPr fontId="2"/>
  </si>
  <si>
    <t>0054</t>
    <phoneticPr fontId="2"/>
  </si>
  <si>
    <t>福島</t>
    <phoneticPr fontId="2"/>
  </si>
  <si>
    <t>店舗改装に伴う撤去作業</t>
    <phoneticPr fontId="2"/>
  </si>
  <si>
    <t>4933</t>
    <phoneticPr fontId="2"/>
  </si>
  <si>
    <t>0161</t>
    <phoneticPr fontId="2"/>
  </si>
  <si>
    <t>佐久</t>
    <phoneticPr fontId="2"/>
  </si>
  <si>
    <t>老朽化更新／セキュリティコンピュータ導入工事</t>
    <phoneticPr fontId="2"/>
  </si>
  <si>
    <t>0118</t>
    <phoneticPr fontId="2"/>
  </si>
  <si>
    <t>深谷</t>
    <phoneticPr fontId="2"/>
  </si>
  <si>
    <t>0162</t>
    <phoneticPr fontId="2"/>
  </si>
  <si>
    <t xml:space="preserve">酸素計／調整・検査・ソフト書き換え  </t>
    <phoneticPr fontId="2"/>
  </si>
  <si>
    <t xml:space="preserve">TE01332816 </t>
    <phoneticPr fontId="2"/>
  </si>
  <si>
    <t>TE01332931</t>
    <phoneticPr fontId="2"/>
  </si>
  <si>
    <t>0165</t>
    <phoneticPr fontId="2"/>
  </si>
  <si>
    <t>ＰＨＣリプレース工事施工業務</t>
    <phoneticPr fontId="2"/>
  </si>
  <si>
    <t>0166</t>
    <phoneticPr fontId="2"/>
  </si>
  <si>
    <t>ＨＳＣリプレース工事施工業務</t>
    <phoneticPr fontId="2"/>
  </si>
  <si>
    <t>0167</t>
    <phoneticPr fontId="2"/>
  </si>
  <si>
    <t>0168</t>
    <phoneticPr fontId="2"/>
  </si>
  <si>
    <t>ＰＨＣリプレースオープン対応業務</t>
    <phoneticPr fontId="2"/>
  </si>
  <si>
    <t>0169</t>
    <phoneticPr fontId="2"/>
  </si>
  <si>
    <t>2</t>
    <phoneticPr fontId="2"/>
  </si>
  <si>
    <t>4958kk</t>
    <phoneticPr fontId="2"/>
  </si>
  <si>
    <t>0144</t>
    <phoneticPr fontId="2"/>
  </si>
  <si>
    <t>0182</t>
    <phoneticPr fontId="2"/>
  </si>
  <si>
    <t>TN-200部組作業／改造　※諸経費</t>
    <phoneticPr fontId="2"/>
  </si>
  <si>
    <t xml:space="preserve">TE01332272 </t>
    <phoneticPr fontId="2"/>
  </si>
  <si>
    <t xml:space="preserve">TE01332337 </t>
    <phoneticPr fontId="2"/>
  </si>
  <si>
    <t>(有)インフォックス</t>
    <phoneticPr fontId="2"/>
  </si>
  <si>
    <t>習志野店、なんば本館</t>
    <phoneticPr fontId="2"/>
  </si>
  <si>
    <t>0065</t>
    <phoneticPr fontId="2"/>
  </si>
  <si>
    <t>P増減台（20台）へのホールコン対応作業</t>
    <phoneticPr fontId="2"/>
  </si>
  <si>
    <t>4941</t>
    <phoneticPr fontId="2"/>
  </si>
  <si>
    <t>FF:丸亀店で処理</t>
    <phoneticPr fontId="2"/>
  </si>
  <si>
    <t xml:space="preserve">TE01333428 </t>
    <phoneticPr fontId="2"/>
  </si>
  <si>
    <t xml:space="preserve">TE01333435 </t>
    <phoneticPr fontId="2"/>
  </si>
  <si>
    <t xml:space="preserve">TE01333434 </t>
    <phoneticPr fontId="2"/>
  </si>
  <si>
    <t>0183</t>
    <phoneticPr fontId="2"/>
  </si>
  <si>
    <t>千歳</t>
    <phoneticPr fontId="2"/>
  </si>
  <si>
    <t>11月</t>
  </si>
  <si>
    <t>0120</t>
    <phoneticPr fontId="2"/>
  </si>
  <si>
    <t>TOC-200M部組作業／4流路①</t>
    <phoneticPr fontId="2"/>
  </si>
  <si>
    <t>0121</t>
    <phoneticPr fontId="2"/>
  </si>
  <si>
    <t>TOC-200M部組作業／4流路②</t>
    <phoneticPr fontId="2"/>
  </si>
  <si>
    <t>0122</t>
    <phoneticPr fontId="2"/>
  </si>
  <si>
    <t>TOC-200M部組作業／4流路①②　※諸経費</t>
    <phoneticPr fontId="2"/>
  </si>
  <si>
    <t>0163</t>
    <phoneticPr fontId="2"/>
  </si>
  <si>
    <t>函館港</t>
    <phoneticPr fontId="2"/>
  </si>
  <si>
    <t>TE01333749</t>
    <phoneticPr fontId="2"/>
  </si>
  <si>
    <t>TE01333751</t>
    <phoneticPr fontId="2"/>
  </si>
  <si>
    <t>0160</t>
    <phoneticPr fontId="2"/>
  </si>
  <si>
    <t>試験用遊技台</t>
    <phoneticPr fontId="2"/>
  </si>
  <si>
    <t>0031</t>
    <phoneticPr fontId="2"/>
  </si>
  <si>
    <t>明石大久保</t>
    <phoneticPr fontId="2"/>
  </si>
  <si>
    <t>P→S（40台）／玉貸しC（40台）へのホールコン対応作業</t>
    <phoneticPr fontId="2"/>
  </si>
  <si>
    <t>4926</t>
    <phoneticPr fontId="2"/>
  </si>
  <si>
    <t>0174</t>
    <phoneticPr fontId="2"/>
  </si>
  <si>
    <t>上小田井駅前</t>
    <phoneticPr fontId="2"/>
  </si>
  <si>
    <t>P増台（31台）へのホールコン対応作業</t>
    <phoneticPr fontId="2"/>
  </si>
  <si>
    <t>4969</t>
    <phoneticPr fontId="2"/>
  </si>
  <si>
    <t>0008</t>
    <phoneticPr fontId="2"/>
  </si>
  <si>
    <t>Ｐ→Ｓ(64台)／液晶ランプ増設(64台)に伴うホールコン変更工事</t>
    <phoneticPr fontId="2"/>
  </si>
  <si>
    <t>4921</t>
    <phoneticPr fontId="2"/>
  </si>
  <si>
    <t>0080</t>
    <phoneticPr fontId="2"/>
  </si>
  <si>
    <t>たばこ交換機撤去（1台）へのホールコン対応作業</t>
    <phoneticPr fontId="2"/>
  </si>
  <si>
    <t>4946</t>
    <phoneticPr fontId="2"/>
  </si>
  <si>
    <t>0066</t>
    <phoneticPr fontId="2"/>
  </si>
  <si>
    <t>東新田</t>
    <phoneticPr fontId="2"/>
  </si>
  <si>
    <t>P増台（20台）へのホールコン対応作業</t>
    <phoneticPr fontId="2"/>
  </si>
  <si>
    <t>4942</t>
    <phoneticPr fontId="2"/>
  </si>
  <si>
    <t>0190</t>
    <phoneticPr fontId="2"/>
  </si>
  <si>
    <t>千葉みなと</t>
    <phoneticPr fontId="2"/>
  </si>
  <si>
    <t>S→P（40台）／メダル貸しC（29台）へのホールコン対応作業</t>
    <phoneticPr fontId="2"/>
  </si>
  <si>
    <t>11</t>
  </si>
  <si>
    <t>0199</t>
    <phoneticPr fontId="2"/>
  </si>
  <si>
    <t>0200</t>
    <phoneticPr fontId="2"/>
  </si>
  <si>
    <t xml:space="preserve">TE01331247 </t>
    <phoneticPr fontId="2"/>
  </si>
  <si>
    <t>0048</t>
    <phoneticPr fontId="2"/>
  </si>
  <si>
    <t>貝塚北</t>
    <phoneticPr fontId="2"/>
  </si>
  <si>
    <t>メダル貸しC（15台）へのホールコン対応作業</t>
    <phoneticPr fontId="2"/>
  </si>
  <si>
    <t>4934</t>
    <phoneticPr fontId="2"/>
  </si>
  <si>
    <t>0090</t>
    <phoneticPr fontId="2"/>
  </si>
  <si>
    <t>青梅</t>
    <phoneticPr fontId="2"/>
  </si>
  <si>
    <t>玉貸しC（40台）へのホールコン対応作業</t>
    <phoneticPr fontId="2"/>
  </si>
  <si>
    <t>4951</t>
    <phoneticPr fontId="2"/>
  </si>
  <si>
    <t>0103</t>
    <phoneticPr fontId="2"/>
  </si>
  <si>
    <t>0141</t>
    <phoneticPr fontId="2"/>
  </si>
  <si>
    <t>茨木</t>
    <phoneticPr fontId="2"/>
  </si>
  <si>
    <t>KKS老朽化更新（POS）</t>
    <phoneticPr fontId="2"/>
  </si>
  <si>
    <t xml:space="preserve">TE01334004 </t>
    <phoneticPr fontId="2"/>
  </si>
  <si>
    <t xml:space="preserve">TE01334009 </t>
    <phoneticPr fontId="2"/>
  </si>
  <si>
    <t>0202</t>
    <phoneticPr fontId="2"/>
  </si>
  <si>
    <t>TPI-SR1 スケジューラ機能改造</t>
    <phoneticPr fontId="2"/>
  </si>
  <si>
    <t>0164</t>
    <phoneticPr fontId="2"/>
  </si>
  <si>
    <t>0181</t>
    <phoneticPr fontId="2"/>
  </si>
  <si>
    <t>0179</t>
    <phoneticPr fontId="2"/>
  </si>
  <si>
    <t>TOC-200M部組作業／4流路③</t>
    <phoneticPr fontId="2"/>
  </si>
  <si>
    <t>0180</t>
    <phoneticPr fontId="2"/>
  </si>
  <si>
    <t>TOC-200M部組作業／4流路③　※諸経費</t>
    <phoneticPr fontId="2"/>
  </si>
  <si>
    <t>0203</t>
    <phoneticPr fontId="2"/>
  </si>
  <si>
    <t>液晶ディスプレ（ホスト用）／動作確認作業</t>
    <phoneticPr fontId="2"/>
  </si>
  <si>
    <t>0135</t>
    <phoneticPr fontId="2"/>
  </si>
  <si>
    <t>堺遠里小野</t>
    <phoneticPr fontId="2"/>
  </si>
  <si>
    <t>液晶ランプ撤去品／動作確認・点検清掃作業</t>
    <phoneticPr fontId="2"/>
  </si>
  <si>
    <t xml:space="preserve">TE01334278 </t>
    <phoneticPr fontId="2"/>
  </si>
  <si>
    <t xml:space="preserve">TE01334216 </t>
    <phoneticPr fontId="2"/>
  </si>
  <si>
    <t xml:space="preserve">TE01334002 </t>
    <phoneticPr fontId="2"/>
  </si>
  <si>
    <t>(有)遊ワークス</t>
    <phoneticPr fontId="2"/>
  </si>
  <si>
    <t>0170</t>
    <phoneticPr fontId="2"/>
  </si>
  <si>
    <t>八戸</t>
    <phoneticPr fontId="2"/>
  </si>
  <si>
    <t>4957</t>
    <phoneticPr fontId="2"/>
  </si>
  <si>
    <t>0093</t>
    <phoneticPr fontId="2"/>
  </si>
  <si>
    <t>M'sネット（TMDV一体型：1台）撤去／TMDV（一体型：1台）移設</t>
    <phoneticPr fontId="2"/>
  </si>
  <si>
    <t>4952</t>
    <phoneticPr fontId="2"/>
  </si>
  <si>
    <t>TEK</t>
  </si>
  <si>
    <t>酸素計／調整・検査</t>
  </si>
  <si>
    <t>0206</t>
  </si>
  <si>
    <t>0207</t>
    <phoneticPr fontId="2"/>
  </si>
  <si>
    <t>液晶ランプ整備費用(11月)</t>
    <phoneticPr fontId="2"/>
  </si>
  <si>
    <t>0208</t>
    <phoneticPr fontId="2"/>
  </si>
  <si>
    <t>液晶ランプ整備費用(12月)</t>
    <phoneticPr fontId="2"/>
  </si>
  <si>
    <t>0209</t>
    <phoneticPr fontId="2"/>
  </si>
  <si>
    <t>東大和</t>
    <phoneticPr fontId="2"/>
  </si>
  <si>
    <t>0210</t>
    <phoneticPr fontId="2"/>
  </si>
  <si>
    <t>苫小牧東</t>
    <phoneticPr fontId="2"/>
  </si>
  <si>
    <t>メダル貸しC（20台）へのホールコン対応作業</t>
    <phoneticPr fontId="2"/>
  </si>
  <si>
    <t>0211</t>
    <phoneticPr fontId="2"/>
  </si>
  <si>
    <t>新名張</t>
    <phoneticPr fontId="2"/>
  </si>
  <si>
    <t>ロッカー監視システム／変更工事</t>
    <phoneticPr fontId="2"/>
  </si>
  <si>
    <t>0212</t>
    <phoneticPr fontId="2"/>
  </si>
  <si>
    <t>島田</t>
    <phoneticPr fontId="2"/>
  </si>
  <si>
    <t>PHCサーバー保守業務委託費</t>
    <phoneticPr fontId="2"/>
  </si>
  <si>
    <t>0218</t>
    <phoneticPr fontId="2"/>
  </si>
  <si>
    <t>0222</t>
    <phoneticPr fontId="2"/>
  </si>
  <si>
    <t>0221</t>
    <phoneticPr fontId="2"/>
  </si>
  <si>
    <t>0220</t>
    <phoneticPr fontId="2"/>
  </si>
  <si>
    <t>0219</t>
    <phoneticPr fontId="2"/>
  </si>
  <si>
    <t>10個</t>
    <phoneticPr fontId="2"/>
  </si>
  <si>
    <t>池村</t>
    <phoneticPr fontId="2"/>
  </si>
  <si>
    <t>池村</t>
  </si>
  <si>
    <t>依頼無</t>
    <phoneticPr fontId="2"/>
  </si>
  <si>
    <t>0223</t>
    <phoneticPr fontId="2"/>
  </si>
  <si>
    <t>0224</t>
    <phoneticPr fontId="2"/>
  </si>
  <si>
    <t>西田</t>
  </si>
  <si>
    <t xml:space="preserve">TE01335704 </t>
    <phoneticPr fontId="2"/>
  </si>
  <si>
    <t>TE01335705</t>
    <phoneticPr fontId="2"/>
  </si>
  <si>
    <t xml:space="preserve">TE01335706 </t>
    <phoneticPr fontId="2"/>
  </si>
  <si>
    <t>TE01335744</t>
    <phoneticPr fontId="2"/>
  </si>
  <si>
    <t xml:space="preserve">TE01335746 </t>
    <phoneticPr fontId="2"/>
  </si>
  <si>
    <t>0226</t>
    <phoneticPr fontId="2"/>
  </si>
  <si>
    <t>0227</t>
    <phoneticPr fontId="2"/>
  </si>
  <si>
    <t>0228</t>
    <phoneticPr fontId="2"/>
  </si>
  <si>
    <t>0229</t>
    <phoneticPr fontId="2"/>
  </si>
  <si>
    <t>0230</t>
    <phoneticPr fontId="2"/>
  </si>
  <si>
    <t>0231</t>
    <phoneticPr fontId="2"/>
  </si>
  <si>
    <t>津山</t>
    <phoneticPr fontId="2"/>
  </si>
  <si>
    <t>メダル貸しC（40台）へのホールコン対応作業</t>
    <phoneticPr fontId="2"/>
  </si>
  <si>
    <t>4993</t>
    <phoneticPr fontId="2"/>
  </si>
  <si>
    <t>0233</t>
    <phoneticPr fontId="2"/>
  </si>
  <si>
    <t>個別計数機増設（80台）へのホールコン対応作業</t>
    <phoneticPr fontId="2"/>
  </si>
  <si>
    <t>4995</t>
    <phoneticPr fontId="2"/>
  </si>
  <si>
    <t>0119</t>
    <phoneticPr fontId="2"/>
  </si>
  <si>
    <t>佐賀</t>
    <phoneticPr fontId="2"/>
  </si>
  <si>
    <t>ロッカー監視システム／改造工事</t>
    <phoneticPr fontId="2"/>
  </si>
  <si>
    <t>0236</t>
    <phoneticPr fontId="2"/>
  </si>
  <si>
    <t>0237</t>
    <phoneticPr fontId="2"/>
  </si>
  <si>
    <t>0055</t>
    <phoneticPr fontId="2"/>
  </si>
  <si>
    <t>鶴見</t>
    <phoneticPr fontId="2"/>
  </si>
  <si>
    <t>4936k</t>
    <phoneticPr fontId="2"/>
  </si>
  <si>
    <t>0081</t>
    <phoneticPr fontId="2"/>
  </si>
  <si>
    <t>川越</t>
    <phoneticPr fontId="2"/>
  </si>
  <si>
    <t>個別計数機撤去（120台）へのホールコン対応作業</t>
    <phoneticPr fontId="2"/>
  </si>
  <si>
    <t>4947</t>
    <phoneticPr fontId="2"/>
  </si>
  <si>
    <t>11/8中止</t>
  </si>
  <si>
    <t>0159</t>
    <phoneticPr fontId="2"/>
  </si>
  <si>
    <t>ホールコンピュータ保守対応業務</t>
    <phoneticPr fontId="2"/>
  </si>
  <si>
    <t>辻氏石巻店対応費用／№217～222に含む</t>
    <phoneticPr fontId="2"/>
  </si>
  <si>
    <t>0242</t>
    <phoneticPr fontId="2"/>
  </si>
  <si>
    <t xml:space="preserve">TE01336276 </t>
    <phoneticPr fontId="2"/>
  </si>
  <si>
    <t xml:space="preserve">TE01336163 </t>
    <phoneticPr fontId="2"/>
  </si>
  <si>
    <t>1</t>
    <phoneticPr fontId="2"/>
  </si>
  <si>
    <t>30台→15台に変更</t>
    <phoneticPr fontId="2"/>
  </si>
  <si>
    <t>0038</t>
    <phoneticPr fontId="2"/>
  </si>
  <si>
    <t>吉原</t>
    <phoneticPr fontId="2"/>
  </si>
  <si>
    <t>4928</t>
    <phoneticPr fontId="2"/>
  </si>
  <si>
    <t>0171</t>
    <phoneticPr fontId="2"/>
  </si>
  <si>
    <t>摂津ライト館</t>
    <phoneticPr fontId="2"/>
  </si>
  <si>
    <t>玉貸しC（16台）へのホールコン対応作業</t>
    <phoneticPr fontId="2"/>
  </si>
  <si>
    <t>4965</t>
    <phoneticPr fontId="2"/>
  </si>
  <si>
    <t>0094</t>
    <phoneticPr fontId="2"/>
  </si>
  <si>
    <t>老朽化更新：セキュリティコンピュータ導入工事</t>
    <phoneticPr fontId="2"/>
  </si>
  <si>
    <t>0175</t>
    <phoneticPr fontId="2"/>
  </si>
  <si>
    <t>松島</t>
    <phoneticPr fontId="2"/>
  </si>
  <si>
    <t>P増台（4台）へのホールコン対応作業</t>
    <phoneticPr fontId="2"/>
  </si>
  <si>
    <t>4970</t>
    <phoneticPr fontId="2"/>
  </si>
  <si>
    <t>(有)高橋電機商会</t>
  </si>
  <si>
    <t>(株)プライムシステム</t>
  </si>
  <si>
    <t>0246</t>
    <phoneticPr fontId="2"/>
  </si>
  <si>
    <t>製造仕様変更に伴う、端末機セットアップ評価作業(HSC)</t>
    <phoneticPr fontId="2"/>
  </si>
  <si>
    <t>0248</t>
    <phoneticPr fontId="2"/>
  </si>
  <si>
    <t>0249</t>
    <phoneticPr fontId="2"/>
  </si>
  <si>
    <t>TE01337044</t>
    <phoneticPr fontId="2"/>
  </si>
  <si>
    <t>\121000→\113000に訂正</t>
    <phoneticPr fontId="2"/>
  </si>
  <si>
    <t>0251</t>
    <phoneticPr fontId="2"/>
  </si>
  <si>
    <t>0252</t>
    <phoneticPr fontId="2"/>
  </si>
  <si>
    <t>0053</t>
    <phoneticPr fontId="2"/>
  </si>
  <si>
    <t>保守作業／TMDV-S　タッチパネルモニタ撤去･設置／代替機なし</t>
    <phoneticPr fontId="2"/>
  </si>
  <si>
    <t>№0251、0253で再発行</t>
  </si>
  <si>
    <t>情報端末　整備費用①</t>
    <phoneticPr fontId="2"/>
  </si>
  <si>
    <t>情報端末　整備費用②</t>
    <phoneticPr fontId="2"/>
  </si>
  <si>
    <t>0254</t>
    <phoneticPr fontId="2"/>
  </si>
  <si>
    <t>都城</t>
    <phoneticPr fontId="2"/>
  </si>
  <si>
    <t>5本</t>
    <phoneticPr fontId="2"/>
  </si>
  <si>
    <t>0217</t>
    <phoneticPr fontId="2"/>
  </si>
  <si>
    <t>0255</t>
    <phoneticPr fontId="2"/>
  </si>
  <si>
    <t>旭川永山</t>
    <phoneticPr fontId="2"/>
  </si>
  <si>
    <t>S変換ハーネス(5)</t>
    <phoneticPr fontId="2"/>
  </si>
  <si>
    <t>0197</t>
    <phoneticPr fontId="2"/>
  </si>
  <si>
    <t>P増台（40台）へのホールコン対応作業</t>
    <phoneticPr fontId="2"/>
  </si>
  <si>
    <t>4987</t>
    <phoneticPr fontId="2"/>
  </si>
  <si>
    <t>0253</t>
    <phoneticPr fontId="2"/>
  </si>
  <si>
    <t>0247</t>
    <phoneticPr fontId="2"/>
  </si>
  <si>
    <t>0032</t>
    <phoneticPr fontId="2"/>
  </si>
  <si>
    <t>大型計数機移設（1台）へのホールコン対応作業</t>
    <phoneticPr fontId="2"/>
  </si>
  <si>
    <t>4927</t>
    <phoneticPr fontId="2"/>
  </si>
  <si>
    <t>12月</t>
  </si>
  <si>
    <t>0177</t>
    <phoneticPr fontId="2"/>
  </si>
  <si>
    <t>S増台（4台）へのホールコン対応作業</t>
    <phoneticPr fontId="2"/>
  </si>
  <si>
    <t>4972</t>
    <phoneticPr fontId="2"/>
  </si>
  <si>
    <t>10本</t>
    <phoneticPr fontId="2"/>
  </si>
  <si>
    <t>0244</t>
    <phoneticPr fontId="2"/>
  </si>
  <si>
    <t>液晶ランプ撤去（400台）に伴うホールコンピュータ変更</t>
    <phoneticPr fontId="2"/>
  </si>
  <si>
    <t>5002</t>
    <phoneticPr fontId="2"/>
  </si>
  <si>
    <t>延期のため実施時に再発行</t>
  </si>
  <si>
    <t>0043</t>
    <phoneticPr fontId="2"/>
  </si>
  <si>
    <t>上里</t>
    <phoneticPr fontId="2"/>
  </si>
  <si>
    <t>液晶ランプ撤去（285台）に伴うホールコンピュータ変更</t>
    <phoneticPr fontId="2"/>
  </si>
  <si>
    <t>4931</t>
    <phoneticPr fontId="2"/>
  </si>
  <si>
    <t>0187</t>
    <phoneticPr fontId="2"/>
  </si>
  <si>
    <t>前橋天川大島</t>
    <phoneticPr fontId="2"/>
  </si>
  <si>
    <t>個別計数機増設（32台）へのホールコン対応作業</t>
    <phoneticPr fontId="2"/>
  </si>
  <si>
    <t>4976</t>
    <phoneticPr fontId="2"/>
  </si>
  <si>
    <t xml:space="preserve">TE01338473 </t>
    <phoneticPr fontId="2"/>
  </si>
  <si>
    <t xml:space="preserve">TE01338468 </t>
    <phoneticPr fontId="2"/>
  </si>
  <si>
    <t>0250</t>
    <phoneticPr fontId="2"/>
  </si>
  <si>
    <t>岐阜六条</t>
    <phoneticPr fontId="2"/>
  </si>
  <si>
    <t>S変換ハーネス(10)</t>
    <phoneticPr fontId="2"/>
  </si>
  <si>
    <t>0271</t>
    <phoneticPr fontId="2"/>
  </si>
  <si>
    <t xml:space="preserve">TE01338915 </t>
    <phoneticPr fontId="2"/>
  </si>
  <si>
    <t>0068</t>
    <phoneticPr fontId="2"/>
  </si>
  <si>
    <t>新田</t>
    <phoneticPr fontId="2"/>
  </si>
  <si>
    <t>老朽化更新：カウンタコンピュータ導入工事</t>
    <phoneticPr fontId="2"/>
  </si>
  <si>
    <t xml:space="preserve">TE01339262 </t>
    <phoneticPr fontId="2"/>
  </si>
  <si>
    <t xml:space="preserve">TE01339399 </t>
    <phoneticPr fontId="2"/>
  </si>
  <si>
    <t xml:space="preserve">TE01339412 </t>
    <phoneticPr fontId="2"/>
  </si>
  <si>
    <t>0272</t>
    <phoneticPr fontId="2"/>
  </si>
  <si>
    <t>0273</t>
    <phoneticPr fontId="2"/>
  </si>
  <si>
    <t>0274</t>
    <phoneticPr fontId="2"/>
  </si>
  <si>
    <t>S変換ハーネス(1)</t>
    <phoneticPr fontId="2"/>
  </si>
  <si>
    <t>0216</t>
    <phoneticPr fontId="2"/>
  </si>
  <si>
    <t>中標津</t>
    <phoneticPr fontId="2"/>
  </si>
  <si>
    <t>0173</t>
    <phoneticPr fontId="2"/>
  </si>
  <si>
    <t>青森下田</t>
    <phoneticPr fontId="2"/>
  </si>
  <si>
    <t>4968</t>
    <phoneticPr fontId="2"/>
  </si>
  <si>
    <t>0076</t>
    <phoneticPr fontId="2"/>
  </si>
  <si>
    <t>伊達</t>
    <phoneticPr fontId="2"/>
  </si>
  <si>
    <t>S増台（40台）／メダル貸しC（40台）へのホールコン対応作業</t>
    <phoneticPr fontId="2"/>
  </si>
  <si>
    <t>4944</t>
    <phoneticPr fontId="2"/>
  </si>
  <si>
    <t xml:space="preserve">TE01339881 </t>
    <phoneticPr fontId="2"/>
  </si>
  <si>
    <t>0277</t>
    <phoneticPr fontId="2"/>
  </si>
  <si>
    <t>浜田</t>
    <phoneticPr fontId="2"/>
  </si>
  <si>
    <t>№0278に変更</t>
  </si>
  <si>
    <t>0295</t>
    <phoneticPr fontId="2"/>
  </si>
  <si>
    <t>0306</t>
    <phoneticPr fontId="2"/>
  </si>
  <si>
    <t>0296</t>
    <phoneticPr fontId="2"/>
  </si>
  <si>
    <t>中川</t>
    <phoneticPr fontId="2"/>
  </si>
  <si>
    <t>液晶ランプ（TMDV-K）リフレッシュ作業</t>
    <phoneticPr fontId="2"/>
  </si>
  <si>
    <t>見積書は店舗名なしで作成</t>
    <phoneticPr fontId="2"/>
  </si>
  <si>
    <t>0297</t>
    <phoneticPr fontId="2"/>
  </si>
  <si>
    <t>箱崎</t>
    <phoneticPr fontId="2"/>
  </si>
  <si>
    <t>0298</t>
    <phoneticPr fontId="2"/>
  </si>
  <si>
    <t>水走</t>
    <phoneticPr fontId="2"/>
  </si>
  <si>
    <t>0299</t>
    <phoneticPr fontId="2"/>
  </si>
  <si>
    <t>岸和田</t>
    <phoneticPr fontId="2"/>
  </si>
  <si>
    <t>0300</t>
    <phoneticPr fontId="2"/>
  </si>
  <si>
    <t>0301</t>
    <phoneticPr fontId="2"/>
  </si>
  <si>
    <t>西条</t>
    <phoneticPr fontId="2"/>
  </si>
  <si>
    <t>0302</t>
    <phoneticPr fontId="2"/>
  </si>
  <si>
    <t>加古川</t>
    <phoneticPr fontId="2"/>
  </si>
  <si>
    <t>0303</t>
    <phoneticPr fontId="2"/>
  </si>
  <si>
    <t>堺</t>
    <phoneticPr fontId="2"/>
  </si>
  <si>
    <t>0304</t>
    <phoneticPr fontId="2"/>
  </si>
  <si>
    <t>0278</t>
    <phoneticPr fontId="2"/>
  </si>
  <si>
    <t>S変換ハーネス</t>
    <phoneticPr fontId="2"/>
  </si>
  <si>
    <t>1本／旭川永山店</t>
    <phoneticPr fontId="2"/>
  </si>
  <si>
    <t xml:space="preserve">TE01340185 </t>
    <phoneticPr fontId="2"/>
  </si>
  <si>
    <t xml:space="preserve">TE01340210 </t>
    <phoneticPr fontId="2"/>
  </si>
  <si>
    <t>0308</t>
    <phoneticPr fontId="2"/>
  </si>
  <si>
    <t>四日市北</t>
    <phoneticPr fontId="2"/>
  </si>
  <si>
    <t>0256</t>
    <phoneticPr fontId="2"/>
  </si>
  <si>
    <t>0257</t>
    <phoneticPr fontId="2"/>
  </si>
  <si>
    <t>0258</t>
    <phoneticPr fontId="2"/>
  </si>
  <si>
    <t>0259</t>
    <phoneticPr fontId="2"/>
  </si>
  <si>
    <t>TOC-200M部組作業／4流路①②③　※諸経費</t>
    <phoneticPr fontId="2"/>
  </si>
  <si>
    <t>0309</t>
    <phoneticPr fontId="2"/>
  </si>
  <si>
    <t>0310</t>
    <phoneticPr fontId="2"/>
  </si>
  <si>
    <t>ワイド画面作成</t>
    <phoneticPr fontId="2"/>
  </si>
  <si>
    <t>35,000×0.65</t>
    <phoneticPr fontId="2"/>
  </si>
  <si>
    <t>現地対応経費あり</t>
    <phoneticPr fontId="2"/>
  </si>
  <si>
    <t xml:space="preserve">TE01340883 </t>
    <phoneticPr fontId="2"/>
  </si>
  <si>
    <t xml:space="preserve">TE01340891 </t>
    <phoneticPr fontId="2"/>
  </si>
  <si>
    <t xml:space="preserve">TE01340969 </t>
    <phoneticPr fontId="2"/>
  </si>
  <si>
    <t xml:space="preserve">TE01340984 </t>
    <phoneticPr fontId="2"/>
  </si>
  <si>
    <t>8本</t>
    <phoneticPr fontId="2"/>
  </si>
  <si>
    <t>2本</t>
    <phoneticPr fontId="2"/>
  </si>
  <si>
    <t xml:space="preserve">TE01339879 </t>
    <phoneticPr fontId="2"/>
  </si>
  <si>
    <t>0201</t>
    <phoneticPr fontId="2"/>
  </si>
  <si>
    <t>釧路</t>
    <phoneticPr fontId="2"/>
  </si>
  <si>
    <t>台コン更新(D／E→F)に伴う工事</t>
    <phoneticPr fontId="2"/>
  </si>
  <si>
    <t>4891</t>
    <phoneticPr fontId="2"/>
  </si>
  <si>
    <t>0311</t>
    <phoneticPr fontId="2"/>
  </si>
  <si>
    <t>鳥取①</t>
    <phoneticPr fontId="2"/>
  </si>
  <si>
    <t>YREM</t>
    <phoneticPr fontId="2"/>
  </si>
  <si>
    <t>5109</t>
    <phoneticPr fontId="2"/>
  </si>
  <si>
    <t>0312</t>
    <phoneticPr fontId="2"/>
  </si>
  <si>
    <t>鳥取②</t>
    <phoneticPr fontId="2"/>
  </si>
  <si>
    <t>メダル貸しC’（114台）へのホールコン対応作業</t>
    <phoneticPr fontId="2"/>
  </si>
  <si>
    <t>0294</t>
    <phoneticPr fontId="2"/>
  </si>
  <si>
    <t>鹿児島新港</t>
    <phoneticPr fontId="2"/>
  </si>
  <si>
    <t>保守作業／カウンタコンピュータ 代替機／修理完了品セットアップ</t>
    <phoneticPr fontId="2"/>
  </si>
  <si>
    <t>0313</t>
    <phoneticPr fontId="2"/>
  </si>
  <si>
    <t>0314</t>
    <phoneticPr fontId="2"/>
  </si>
  <si>
    <t>追加工事</t>
    <phoneticPr fontId="2"/>
  </si>
  <si>
    <t>0316</t>
    <phoneticPr fontId="2"/>
  </si>
  <si>
    <t>0318</t>
    <phoneticPr fontId="2"/>
  </si>
  <si>
    <t>液晶ランプ整備費用(1月)</t>
    <phoneticPr fontId="2"/>
  </si>
  <si>
    <t>0319</t>
    <phoneticPr fontId="2"/>
  </si>
  <si>
    <t>液晶ランプ整備費用(2月)</t>
    <phoneticPr fontId="2"/>
  </si>
  <si>
    <t>TE01341946</t>
    <phoneticPr fontId="2"/>
  </si>
  <si>
    <t>0320</t>
    <phoneticPr fontId="2"/>
  </si>
  <si>
    <t>名取</t>
    <phoneticPr fontId="2"/>
  </si>
  <si>
    <t xml:space="preserve">TE01342201 </t>
    <phoneticPr fontId="2"/>
  </si>
  <si>
    <t xml:space="preserve">TE01342206 </t>
    <phoneticPr fontId="2"/>
  </si>
  <si>
    <t>0321</t>
    <phoneticPr fontId="2"/>
  </si>
  <si>
    <t>店内アナウンス機能導入／工事設計</t>
    <phoneticPr fontId="2"/>
  </si>
  <si>
    <t>0322</t>
    <phoneticPr fontId="2"/>
  </si>
  <si>
    <t>POS老朽化更新／11月分</t>
    <phoneticPr fontId="2"/>
  </si>
  <si>
    <t>レイシステム</t>
  </si>
  <si>
    <t>0326</t>
    <phoneticPr fontId="2"/>
  </si>
  <si>
    <t>0305</t>
    <phoneticPr fontId="2"/>
  </si>
  <si>
    <t>ロッカー監視工事の導入に伴う、HSC変更作業</t>
    <phoneticPr fontId="2"/>
  </si>
  <si>
    <t>0327</t>
    <phoneticPr fontId="2"/>
  </si>
  <si>
    <t>所沢</t>
    <phoneticPr fontId="2"/>
  </si>
  <si>
    <t>0328</t>
    <phoneticPr fontId="2"/>
  </si>
  <si>
    <t>上牧</t>
    <phoneticPr fontId="2"/>
  </si>
  <si>
    <t>精算機移設（1台）へのホールコン対応作業</t>
    <phoneticPr fontId="2"/>
  </si>
  <si>
    <t>4871</t>
    <phoneticPr fontId="2"/>
  </si>
  <si>
    <t>今期の番号で再作成</t>
    <phoneticPr fontId="2"/>
  </si>
  <si>
    <t>0041</t>
    <phoneticPr fontId="2"/>
  </si>
  <si>
    <t>沼津</t>
    <phoneticPr fontId="2"/>
  </si>
  <si>
    <t>既存ランプ交換（240台：既存ランプ→ビグモプレミアムⅡ）へのホールコン対応作業</t>
    <phoneticPr fontId="2"/>
  </si>
  <si>
    <t>4929</t>
    <phoneticPr fontId="2"/>
  </si>
  <si>
    <t>0092</t>
    <phoneticPr fontId="2"/>
  </si>
  <si>
    <t>川崎桜本</t>
    <phoneticPr fontId="2"/>
  </si>
  <si>
    <t>Ｐ→Ｓ(40台)／液晶ランプ増設(40台)に伴うホールコン変更工事</t>
    <phoneticPr fontId="2"/>
  </si>
  <si>
    <t>4950</t>
    <phoneticPr fontId="2"/>
  </si>
  <si>
    <t>0192</t>
    <phoneticPr fontId="2"/>
  </si>
  <si>
    <t>本城②</t>
    <phoneticPr fontId="2"/>
  </si>
  <si>
    <t>S増台（20台）／メダル貸しC(40台）へのホールコン対応作業</t>
    <phoneticPr fontId="2"/>
  </si>
  <si>
    <t>4981</t>
    <phoneticPr fontId="2"/>
  </si>
  <si>
    <t>0238</t>
    <phoneticPr fontId="2"/>
  </si>
  <si>
    <t>端野</t>
    <phoneticPr fontId="2"/>
  </si>
  <si>
    <t>売上機変更（80台）へのホールコン対応作業</t>
    <phoneticPr fontId="2"/>
  </si>
  <si>
    <t>4998</t>
    <phoneticPr fontId="2"/>
  </si>
  <si>
    <t>0189</t>
    <phoneticPr fontId="2"/>
  </si>
  <si>
    <t>川口</t>
    <phoneticPr fontId="2"/>
  </si>
  <si>
    <t>4979</t>
    <phoneticPr fontId="2"/>
  </si>
  <si>
    <t>4989</t>
    <phoneticPr fontId="2"/>
  </si>
  <si>
    <t>0191</t>
    <phoneticPr fontId="2"/>
  </si>
  <si>
    <t>本城①</t>
    <phoneticPr fontId="2"/>
  </si>
  <si>
    <t>P台間拡張（20島）へのホールコン対応作業</t>
    <phoneticPr fontId="2"/>
  </si>
  <si>
    <t>4980</t>
    <phoneticPr fontId="2"/>
  </si>
  <si>
    <t>4967</t>
    <phoneticPr fontId="2"/>
  </si>
  <si>
    <t>0317</t>
    <phoneticPr fontId="2"/>
  </si>
  <si>
    <t>0329</t>
    <phoneticPr fontId="2"/>
  </si>
  <si>
    <t>0204</t>
    <phoneticPr fontId="2"/>
  </si>
  <si>
    <t>大東</t>
    <phoneticPr fontId="2"/>
  </si>
  <si>
    <t xml:space="preserve">TE01342691 </t>
    <phoneticPr fontId="2"/>
  </si>
  <si>
    <t>0188</t>
    <phoneticPr fontId="2"/>
  </si>
  <si>
    <t>メダル貸しC'（70台）へのホールコン対応作業</t>
    <phoneticPr fontId="2"/>
  </si>
  <si>
    <t>4978</t>
    <phoneticPr fontId="2"/>
  </si>
  <si>
    <t>0097</t>
    <phoneticPr fontId="2"/>
  </si>
  <si>
    <t>老朽化更新：情報端末機（ＴＭＤＶ４２型：1台）導入工事</t>
    <phoneticPr fontId="2"/>
  </si>
  <si>
    <t>№0146に含む</t>
  </si>
  <si>
    <t>0198</t>
    <phoneticPr fontId="2"/>
  </si>
  <si>
    <t>山鹿</t>
    <phoneticPr fontId="2"/>
  </si>
  <si>
    <t>Ｓ増設(14台)に伴うホールコン変更工事</t>
    <phoneticPr fontId="2"/>
  </si>
  <si>
    <t>4985</t>
    <phoneticPr fontId="2"/>
  </si>
  <si>
    <t>11月5日島コン交換後の再発</t>
    <phoneticPr fontId="2"/>
  </si>
  <si>
    <t>0331</t>
    <phoneticPr fontId="2"/>
  </si>
  <si>
    <t>メダル貸しC（16台）へのホールコン対応作業</t>
    <phoneticPr fontId="2"/>
  </si>
  <si>
    <t>5024</t>
    <phoneticPr fontId="2"/>
  </si>
  <si>
    <t>0058</t>
    <phoneticPr fontId="2"/>
  </si>
  <si>
    <t>4937</t>
    <phoneticPr fontId="2"/>
  </si>
  <si>
    <t>11/28：工事中止</t>
  </si>
  <si>
    <t>0337</t>
    <phoneticPr fontId="2"/>
  </si>
  <si>
    <t>PHCセットアップ作業補助／11月度分</t>
    <phoneticPr fontId="2"/>
  </si>
  <si>
    <t>その他</t>
    <phoneticPr fontId="2"/>
  </si>
  <si>
    <t>0281</t>
    <phoneticPr fontId="2"/>
  </si>
  <si>
    <t>小牧</t>
    <phoneticPr fontId="2"/>
  </si>
  <si>
    <t>0282</t>
    <phoneticPr fontId="2"/>
  </si>
  <si>
    <t>新守山駅前</t>
    <phoneticPr fontId="2"/>
  </si>
  <si>
    <t>0283</t>
    <phoneticPr fontId="2"/>
  </si>
  <si>
    <t>KKS老朽化更新（SV＋ＰＯＳ）</t>
    <phoneticPr fontId="2"/>
  </si>
  <si>
    <t>0284</t>
    <phoneticPr fontId="2"/>
  </si>
  <si>
    <t>高浜</t>
    <phoneticPr fontId="2"/>
  </si>
  <si>
    <t>0285</t>
    <phoneticPr fontId="2"/>
  </si>
  <si>
    <t>0286</t>
    <phoneticPr fontId="2"/>
  </si>
  <si>
    <t>上野</t>
    <phoneticPr fontId="2"/>
  </si>
  <si>
    <t>0287</t>
    <phoneticPr fontId="2"/>
  </si>
  <si>
    <t>津</t>
    <phoneticPr fontId="2"/>
  </si>
  <si>
    <t>0288</t>
    <phoneticPr fontId="2"/>
  </si>
  <si>
    <t>天理</t>
    <phoneticPr fontId="2"/>
  </si>
  <si>
    <t>KKS老朽化更新（SV＋POS＋MDF）</t>
    <phoneticPr fontId="2"/>
  </si>
  <si>
    <t>0289</t>
    <phoneticPr fontId="2"/>
  </si>
  <si>
    <t>和歌山湊</t>
    <phoneticPr fontId="2"/>
  </si>
  <si>
    <t>KKS老朽化更新（MDF）</t>
    <phoneticPr fontId="2"/>
  </si>
  <si>
    <t>0290</t>
    <phoneticPr fontId="2"/>
  </si>
  <si>
    <t>姫路</t>
    <phoneticPr fontId="2"/>
  </si>
  <si>
    <t>KKS老朽化更新（SV＋CL）</t>
    <phoneticPr fontId="2"/>
  </si>
  <si>
    <t>0291</t>
    <phoneticPr fontId="2"/>
  </si>
  <si>
    <t>明石</t>
    <phoneticPr fontId="2"/>
  </si>
  <si>
    <t>0292</t>
    <phoneticPr fontId="2"/>
  </si>
  <si>
    <t>長田</t>
    <phoneticPr fontId="2"/>
  </si>
  <si>
    <t>0293</t>
    <phoneticPr fontId="2"/>
  </si>
  <si>
    <t>袖師</t>
    <phoneticPr fontId="2"/>
  </si>
  <si>
    <t>0267</t>
    <phoneticPr fontId="2"/>
  </si>
  <si>
    <t>バックヤードLAN敷設作業</t>
    <phoneticPr fontId="2"/>
  </si>
  <si>
    <t>5014</t>
    <phoneticPr fontId="2"/>
  </si>
  <si>
    <t>0232</t>
    <phoneticPr fontId="2"/>
  </si>
  <si>
    <t>川中島</t>
    <phoneticPr fontId="2"/>
  </si>
  <si>
    <t>メダル貸しC（60台）へのホールコン対応作業</t>
    <phoneticPr fontId="2"/>
  </si>
  <si>
    <t>4994</t>
    <phoneticPr fontId="2"/>
  </si>
  <si>
    <t>0075</t>
    <phoneticPr fontId="2"/>
  </si>
  <si>
    <t>大型リプレイ機増設（3台）へのホールコン対応作業</t>
    <phoneticPr fontId="2"/>
  </si>
  <si>
    <t>4945</t>
    <phoneticPr fontId="2"/>
  </si>
  <si>
    <t>0336</t>
    <phoneticPr fontId="2"/>
  </si>
  <si>
    <t>前橋西片貝</t>
    <phoneticPr fontId="2"/>
  </si>
  <si>
    <t>売上機変更（160台）へのホールコン対応作業</t>
    <phoneticPr fontId="2"/>
  </si>
  <si>
    <t>5028k</t>
    <phoneticPr fontId="2"/>
  </si>
  <si>
    <t>0339</t>
    <phoneticPr fontId="2"/>
  </si>
  <si>
    <t>メダル貸しC（36台）へのホールコン対応作業</t>
    <phoneticPr fontId="2"/>
  </si>
  <si>
    <t>0340</t>
    <phoneticPr fontId="2"/>
  </si>
  <si>
    <t>森友北</t>
    <phoneticPr fontId="2"/>
  </si>
  <si>
    <t>0245</t>
    <phoneticPr fontId="2"/>
  </si>
  <si>
    <t>室蘭</t>
    <phoneticPr fontId="2"/>
  </si>
  <si>
    <t>5003</t>
    <phoneticPr fontId="2"/>
  </si>
  <si>
    <t>0133</t>
    <phoneticPr fontId="2"/>
  </si>
  <si>
    <t>メダル貸しC（11台）へのホールコン対応作業</t>
    <phoneticPr fontId="2"/>
  </si>
  <si>
    <t>4955</t>
    <phoneticPr fontId="2"/>
  </si>
  <si>
    <t>0172</t>
    <phoneticPr fontId="2"/>
  </si>
  <si>
    <t>4966</t>
    <phoneticPr fontId="2"/>
  </si>
  <si>
    <t>0344</t>
    <phoneticPr fontId="2"/>
  </si>
  <si>
    <t>ディスプレイコントローラ（TMDV-S用）／動作確認作業</t>
    <phoneticPr fontId="2"/>
  </si>
  <si>
    <t>0195</t>
    <phoneticPr fontId="2"/>
  </si>
  <si>
    <t>新宿東宝ビル</t>
    <phoneticPr fontId="2"/>
  </si>
  <si>
    <t>個別計数機撤去（36台）へのホールコン対応作業</t>
    <phoneticPr fontId="2"/>
  </si>
  <si>
    <t>4984</t>
    <phoneticPr fontId="2"/>
  </si>
  <si>
    <t>4964</t>
    <phoneticPr fontId="2"/>
  </si>
  <si>
    <t>0196</t>
    <phoneticPr fontId="2"/>
  </si>
  <si>
    <t>新世界</t>
    <phoneticPr fontId="2"/>
  </si>
  <si>
    <t>4986</t>
    <phoneticPr fontId="2"/>
  </si>
  <si>
    <t>0345</t>
    <phoneticPr fontId="2"/>
  </si>
  <si>
    <t>平塚</t>
    <phoneticPr fontId="2"/>
  </si>
  <si>
    <t>0346</t>
    <phoneticPr fontId="2"/>
  </si>
  <si>
    <t>液晶ランプ整備費用(3月)</t>
    <phoneticPr fontId="2"/>
  </si>
  <si>
    <t>0347</t>
    <phoneticPr fontId="2"/>
  </si>
  <si>
    <t>携帯システム関連／保守料（11月分）</t>
    <phoneticPr fontId="2"/>
  </si>
  <si>
    <t>携帯システム関連／保守料（12月分）</t>
    <phoneticPr fontId="2"/>
  </si>
  <si>
    <t>0205</t>
    <phoneticPr fontId="2"/>
  </si>
  <si>
    <t>TE01335726</t>
    <phoneticPr fontId="2"/>
  </si>
  <si>
    <t>0069</t>
    <phoneticPr fontId="2"/>
  </si>
  <si>
    <t>入間</t>
    <phoneticPr fontId="2"/>
  </si>
  <si>
    <t>老朽化更新：マルチデータビジョンコンピュータ導入工事</t>
    <phoneticPr fontId="2"/>
  </si>
  <si>
    <t>№0053を分割再発行</t>
    <phoneticPr fontId="2"/>
  </si>
  <si>
    <t>0348</t>
    <phoneticPr fontId="2"/>
  </si>
  <si>
    <t>0351</t>
    <phoneticPr fontId="2"/>
  </si>
  <si>
    <t>0350</t>
    <phoneticPr fontId="2"/>
  </si>
  <si>
    <t>0349</t>
    <phoneticPr fontId="2"/>
  </si>
  <si>
    <t>0352</t>
    <phoneticPr fontId="2"/>
  </si>
  <si>
    <t>明和病院</t>
    <phoneticPr fontId="2"/>
  </si>
  <si>
    <t xml:space="preserve">TE01344356 </t>
    <phoneticPr fontId="2"/>
  </si>
  <si>
    <t xml:space="preserve">TE01344964 </t>
    <phoneticPr fontId="2"/>
  </si>
  <si>
    <t xml:space="preserve">TE01344977 </t>
    <phoneticPr fontId="2"/>
  </si>
  <si>
    <t xml:space="preserve">TE01344950 </t>
    <phoneticPr fontId="2"/>
  </si>
  <si>
    <t>0359</t>
    <phoneticPr fontId="2"/>
  </si>
  <si>
    <t>P台間拡張（20島）へのホールコン対応作業　※追加工事</t>
    <phoneticPr fontId="2"/>
  </si>
  <si>
    <t>4980k</t>
    <phoneticPr fontId="2"/>
  </si>
  <si>
    <t xml:space="preserve">TE01337756 </t>
    <phoneticPr fontId="2"/>
  </si>
  <si>
    <t xml:space="preserve">TE01337709 </t>
    <phoneticPr fontId="2"/>
  </si>
  <si>
    <t>1月</t>
    <phoneticPr fontId="2"/>
  </si>
  <si>
    <t>0338</t>
    <phoneticPr fontId="2"/>
  </si>
  <si>
    <t>5018k</t>
    <phoneticPr fontId="2"/>
  </si>
  <si>
    <t>0264</t>
    <phoneticPr fontId="2"/>
  </si>
  <si>
    <t>高松</t>
    <phoneticPr fontId="2"/>
  </si>
  <si>
    <t>メダル貸しC（32台）へのホールコン対応作業</t>
    <phoneticPr fontId="2"/>
  </si>
  <si>
    <t>5009</t>
    <phoneticPr fontId="2"/>
  </si>
  <si>
    <t>中止12/6</t>
  </si>
  <si>
    <t xml:space="preserve">TE01345333 </t>
    <phoneticPr fontId="2"/>
  </si>
  <si>
    <t>0279</t>
    <phoneticPr fontId="2"/>
  </si>
  <si>
    <t>茅ヶ崎</t>
    <phoneticPr fontId="2"/>
  </si>
  <si>
    <t>5015</t>
    <phoneticPr fontId="2"/>
  </si>
  <si>
    <t>0089</t>
    <phoneticPr fontId="2"/>
  </si>
  <si>
    <t>平沢</t>
    <phoneticPr fontId="2"/>
  </si>
  <si>
    <t>4948</t>
    <phoneticPr fontId="2"/>
  </si>
  <si>
    <t>0215</t>
    <phoneticPr fontId="2"/>
  </si>
  <si>
    <t>鷲宮</t>
    <phoneticPr fontId="2"/>
  </si>
  <si>
    <t>P増台（24台）へのホールコン対応作業</t>
    <phoneticPr fontId="2"/>
  </si>
  <si>
    <t>4991</t>
    <phoneticPr fontId="2"/>
  </si>
  <si>
    <t>0261</t>
    <phoneticPr fontId="2"/>
  </si>
  <si>
    <t>P増台（16台）へのホールコン対応作業</t>
    <phoneticPr fontId="2"/>
  </si>
  <si>
    <t>5006</t>
    <phoneticPr fontId="2"/>
  </si>
  <si>
    <t>0193</t>
    <phoneticPr fontId="2"/>
  </si>
  <si>
    <t>4982</t>
    <phoneticPr fontId="2"/>
  </si>
  <si>
    <t>0239</t>
    <phoneticPr fontId="2"/>
  </si>
  <si>
    <t>玉貸しC（38台）へのホールコン対応作業</t>
    <phoneticPr fontId="2"/>
  </si>
  <si>
    <t>4999</t>
    <phoneticPr fontId="2"/>
  </si>
  <si>
    <t>0213</t>
    <phoneticPr fontId="2"/>
  </si>
  <si>
    <t>個別計数機撤去（17台）へのホールコン対応作業</t>
    <phoneticPr fontId="2"/>
  </si>
  <si>
    <t>4990</t>
    <phoneticPr fontId="2"/>
  </si>
  <si>
    <t>0265</t>
    <phoneticPr fontId="2"/>
  </si>
  <si>
    <t>5010</t>
    <phoneticPr fontId="2"/>
  </si>
  <si>
    <t>0178</t>
    <phoneticPr fontId="2"/>
  </si>
  <si>
    <t>福久</t>
    <phoneticPr fontId="2"/>
  </si>
  <si>
    <t>メダル貸しC'（60台）へのホールコン対応作業</t>
    <phoneticPr fontId="2"/>
  </si>
  <si>
    <t>4973</t>
    <phoneticPr fontId="2"/>
  </si>
  <si>
    <t>5021</t>
    <phoneticPr fontId="2"/>
  </si>
  <si>
    <t>0262</t>
    <phoneticPr fontId="2"/>
  </si>
  <si>
    <t>梅田③</t>
    <phoneticPr fontId="2"/>
  </si>
  <si>
    <t>M'sネット撤去作業（TMDV/分離型：1台、TMDV-S：1台）</t>
    <phoneticPr fontId="2"/>
  </si>
  <si>
    <t>5007</t>
    <phoneticPr fontId="2"/>
  </si>
  <si>
    <t>0033</t>
    <phoneticPr fontId="2"/>
  </si>
  <si>
    <t>神戸</t>
    <phoneticPr fontId="2"/>
  </si>
  <si>
    <t>P台間拡張（6島）／玉貸しC（40台）へのホールコン対応作業</t>
    <phoneticPr fontId="2"/>
  </si>
  <si>
    <t>4923</t>
    <phoneticPr fontId="2"/>
  </si>
  <si>
    <t>0270</t>
    <phoneticPr fontId="2"/>
  </si>
  <si>
    <t>5013</t>
    <phoneticPr fontId="2"/>
  </si>
  <si>
    <t>0241</t>
    <phoneticPr fontId="2"/>
  </si>
  <si>
    <t>液晶ランプ撤去（354台）／玉貸しC（43台）に伴うホールコンピュータ変更</t>
    <phoneticPr fontId="2"/>
  </si>
  <si>
    <t>5001</t>
    <phoneticPr fontId="2"/>
  </si>
  <si>
    <t>TE01345944</t>
    <phoneticPr fontId="2"/>
  </si>
  <si>
    <t xml:space="preserve">TE01345947 </t>
    <phoneticPr fontId="2"/>
  </si>
  <si>
    <t xml:space="preserve">TE01345955 </t>
    <phoneticPr fontId="2"/>
  </si>
  <si>
    <t>谷</t>
    <phoneticPr fontId="2"/>
  </si>
  <si>
    <t>0365</t>
    <phoneticPr fontId="2"/>
  </si>
  <si>
    <t>0367</t>
    <phoneticPr fontId="2"/>
  </si>
  <si>
    <t>0366</t>
    <phoneticPr fontId="2"/>
  </si>
  <si>
    <t>0355</t>
    <phoneticPr fontId="2"/>
  </si>
  <si>
    <t>映像配信システム導入工事</t>
    <phoneticPr fontId="2"/>
  </si>
  <si>
    <t>0356</t>
    <phoneticPr fontId="2"/>
  </si>
  <si>
    <t>配信コントローラPC導入工事</t>
    <phoneticPr fontId="2"/>
  </si>
  <si>
    <t>梅田②</t>
    <phoneticPr fontId="2"/>
  </si>
  <si>
    <t>0324</t>
    <phoneticPr fontId="2"/>
  </si>
  <si>
    <t xml:space="preserve">TE01346443 </t>
    <phoneticPr fontId="2"/>
  </si>
  <si>
    <t xml:space="preserve">TE01346733 </t>
    <phoneticPr fontId="2"/>
  </si>
  <si>
    <t>0149</t>
    <phoneticPr fontId="2"/>
  </si>
  <si>
    <t>筑西</t>
    <phoneticPr fontId="2"/>
  </si>
  <si>
    <t>4962</t>
    <phoneticPr fontId="2"/>
  </si>
  <si>
    <t>0370</t>
    <phoneticPr fontId="2"/>
  </si>
  <si>
    <t>貝塚スロット館</t>
    <phoneticPr fontId="2"/>
  </si>
  <si>
    <t>0148</t>
    <phoneticPr fontId="2"/>
  </si>
  <si>
    <t>4963</t>
    <phoneticPr fontId="2"/>
  </si>
  <si>
    <t>１</t>
    <phoneticPr fontId="2"/>
  </si>
  <si>
    <t>0372</t>
    <phoneticPr fontId="2"/>
  </si>
  <si>
    <t>保守作業／再発</t>
    <phoneticPr fontId="2"/>
  </si>
  <si>
    <t>0373</t>
    <phoneticPr fontId="2"/>
  </si>
  <si>
    <t>0240</t>
    <phoneticPr fontId="2"/>
  </si>
  <si>
    <t>梅田①</t>
    <phoneticPr fontId="2"/>
  </si>
  <si>
    <t>玉貸しC（64台）へのホールコン対応作業</t>
    <phoneticPr fontId="2"/>
  </si>
  <si>
    <t>5000</t>
    <phoneticPr fontId="2"/>
  </si>
  <si>
    <t xml:space="preserve">TE01341498 </t>
    <phoneticPr fontId="2"/>
  </si>
  <si>
    <t>0082</t>
    <phoneticPr fontId="2"/>
  </si>
  <si>
    <t>南アルプス</t>
    <phoneticPr fontId="2"/>
  </si>
  <si>
    <t>S増台（20台）へのホールコン対応作業</t>
    <phoneticPr fontId="2"/>
  </si>
  <si>
    <t>4949</t>
    <phoneticPr fontId="2"/>
  </si>
  <si>
    <t>液晶ランプ撤去（431台）／メダル貸しＣ（56台）に伴うホールコンピュータ変更</t>
    <phoneticPr fontId="2"/>
  </si>
  <si>
    <t>4988</t>
    <phoneticPr fontId="2"/>
  </si>
  <si>
    <t>0044</t>
    <phoneticPr fontId="2"/>
  </si>
  <si>
    <t>函南</t>
    <phoneticPr fontId="2"/>
  </si>
  <si>
    <t>既存ランプ交換（216台：既存ランプ→ビグモプレミアムⅡ）へのホールコン対応作業</t>
    <phoneticPr fontId="2"/>
  </si>
  <si>
    <t>4932</t>
    <phoneticPr fontId="2"/>
  </si>
  <si>
    <t>0214</t>
    <phoneticPr fontId="2"/>
  </si>
  <si>
    <t>秦野元町</t>
    <phoneticPr fontId="2"/>
  </si>
  <si>
    <t>メダル貸しC'（20台）へのホールコン対応作業</t>
    <phoneticPr fontId="2"/>
  </si>
  <si>
    <t>4992</t>
    <phoneticPr fontId="2"/>
  </si>
  <si>
    <t>2月</t>
    <phoneticPr fontId="2"/>
  </si>
  <si>
    <t>0363</t>
    <phoneticPr fontId="2"/>
  </si>
  <si>
    <t>岩見沢東</t>
    <phoneticPr fontId="2"/>
  </si>
  <si>
    <t xml:space="preserve">TE01347855 </t>
    <phoneticPr fontId="2"/>
  </si>
  <si>
    <t xml:space="preserve">TE01347873 </t>
    <phoneticPr fontId="2"/>
  </si>
  <si>
    <t xml:space="preserve">TE01347890 </t>
    <phoneticPr fontId="2"/>
  </si>
  <si>
    <t>0176</t>
    <phoneticPr fontId="2"/>
  </si>
  <si>
    <t>琴似</t>
    <phoneticPr fontId="2"/>
  </si>
  <si>
    <t>M'sネット撤去作業（TMDV/分離型：1台）</t>
    <phoneticPr fontId="2"/>
  </si>
  <si>
    <t>4971</t>
    <phoneticPr fontId="2"/>
  </si>
  <si>
    <t>0374</t>
    <phoneticPr fontId="2"/>
  </si>
  <si>
    <t>0332</t>
    <phoneticPr fontId="2"/>
  </si>
  <si>
    <t>精算機移設（2台）へのホールコン対応作業</t>
    <phoneticPr fontId="2"/>
  </si>
  <si>
    <t>5023</t>
    <phoneticPr fontId="2"/>
  </si>
  <si>
    <t>0263</t>
    <phoneticPr fontId="2"/>
  </si>
  <si>
    <t>和泉</t>
    <phoneticPr fontId="2"/>
  </si>
  <si>
    <t>5008</t>
    <phoneticPr fontId="2"/>
  </si>
  <si>
    <t>0364</t>
    <phoneticPr fontId="2"/>
  </si>
  <si>
    <t>仙台泉</t>
    <phoneticPr fontId="2"/>
  </si>
  <si>
    <t>タッチペン／ワイヤー加工</t>
    <phoneticPr fontId="2"/>
  </si>
  <si>
    <t>0360</t>
    <phoneticPr fontId="2"/>
  </si>
  <si>
    <t>メダル貸しC'（60台）へのホールコン対応作業　※追加工事</t>
    <phoneticPr fontId="2"/>
  </si>
  <si>
    <t>4973k</t>
    <phoneticPr fontId="2"/>
  </si>
  <si>
    <t>0361</t>
    <phoneticPr fontId="2"/>
  </si>
  <si>
    <t>売上機変更（280台）へのホールコン対応作業　※追加工事</t>
    <phoneticPr fontId="2"/>
  </si>
  <si>
    <t>5010k</t>
    <phoneticPr fontId="2"/>
  </si>
  <si>
    <t>0376</t>
    <phoneticPr fontId="2"/>
  </si>
  <si>
    <t>0378</t>
    <phoneticPr fontId="2"/>
  </si>
  <si>
    <t xml:space="preserve">TE01347898 </t>
    <phoneticPr fontId="2"/>
  </si>
  <si>
    <t xml:space="preserve">TE01348548 </t>
    <phoneticPr fontId="2"/>
  </si>
  <si>
    <t>0379</t>
    <phoneticPr fontId="2"/>
  </si>
  <si>
    <t>小岩P館</t>
    <phoneticPr fontId="2"/>
  </si>
  <si>
    <t>5042</t>
    <phoneticPr fontId="2"/>
  </si>
  <si>
    <t>S社様向け成形工程資材管理システムロット番号機能追加</t>
    <phoneticPr fontId="2"/>
  </si>
  <si>
    <t xml:space="preserve">TE01348016 </t>
    <phoneticPr fontId="2"/>
  </si>
  <si>
    <t>3月</t>
    <phoneticPr fontId="2"/>
  </si>
  <si>
    <t>0268</t>
    <phoneticPr fontId="2"/>
  </si>
  <si>
    <t>大山</t>
    <phoneticPr fontId="2"/>
  </si>
  <si>
    <t>S増台（6台）へのホールコン対応作業</t>
    <phoneticPr fontId="2"/>
  </si>
  <si>
    <t>5012</t>
    <phoneticPr fontId="2"/>
  </si>
  <si>
    <t>0186</t>
    <phoneticPr fontId="2"/>
  </si>
  <si>
    <t>東浦</t>
    <phoneticPr fontId="2"/>
  </si>
  <si>
    <t>個別計数機増設（40台）へのホールコン対応作業</t>
    <phoneticPr fontId="2"/>
  </si>
  <si>
    <t>4977</t>
    <phoneticPr fontId="2"/>
  </si>
  <si>
    <t>0330</t>
    <phoneticPr fontId="2"/>
  </si>
  <si>
    <t>高槻</t>
    <phoneticPr fontId="2"/>
  </si>
  <si>
    <t>5025</t>
    <phoneticPr fontId="2"/>
  </si>
  <si>
    <t xml:space="preserve">TE01347877 </t>
    <phoneticPr fontId="2"/>
  </si>
  <si>
    <t>0235</t>
    <phoneticPr fontId="2"/>
  </si>
  <si>
    <t>蒲田駅東</t>
    <phoneticPr fontId="2"/>
  </si>
  <si>
    <t>売上機変更（370台）へのホールコン対応作業</t>
    <phoneticPr fontId="2"/>
  </si>
  <si>
    <t>4997</t>
    <phoneticPr fontId="2"/>
  </si>
  <si>
    <t>0059</t>
    <phoneticPr fontId="2"/>
  </si>
  <si>
    <t>荒田島</t>
    <phoneticPr fontId="2"/>
  </si>
  <si>
    <t>4938</t>
    <phoneticPr fontId="2"/>
  </si>
  <si>
    <t>0060</t>
    <phoneticPr fontId="2"/>
  </si>
  <si>
    <t>4939</t>
    <phoneticPr fontId="2"/>
  </si>
  <si>
    <t>0145</t>
    <phoneticPr fontId="2"/>
  </si>
  <si>
    <t>TMDV（分離型：1台）老朽化更新作業／TMDV（分離型：2台）撤去作業</t>
    <phoneticPr fontId="2"/>
  </si>
  <si>
    <t>4959</t>
    <phoneticPr fontId="2"/>
  </si>
  <si>
    <t>0194</t>
    <phoneticPr fontId="2"/>
  </si>
  <si>
    <t>P増台（48台）へのホールコン対応作業</t>
    <phoneticPr fontId="2"/>
  </si>
  <si>
    <t>4983</t>
    <phoneticPr fontId="2"/>
  </si>
  <si>
    <t>0269</t>
    <phoneticPr fontId="2"/>
  </si>
  <si>
    <t>液晶ランプ撤去（483台）に伴うホールコンピュータ変更</t>
    <phoneticPr fontId="2"/>
  </si>
  <si>
    <t>5011</t>
    <phoneticPr fontId="2"/>
  </si>
  <si>
    <t>5020</t>
    <phoneticPr fontId="2"/>
  </si>
  <si>
    <t>0325</t>
    <phoneticPr fontId="2"/>
  </si>
  <si>
    <t>0057</t>
    <phoneticPr fontId="2"/>
  </si>
  <si>
    <t>綾瀬上土棚</t>
    <phoneticPr fontId="2"/>
  </si>
  <si>
    <t>紙幣搬送入替（2島）へのホールコン対応作業</t>
    <phoneticPr fontId="2"/>
  </si>
  <si>
    <t>4940</t>
    <phoneticPr fontId="2"/>
  </si>
  <si>
    <t>11/14：2019年GW前に延期</t>
    <phoneticPr fontId="2"/>
  </si>
  <si>
    <t>0134</t>
    <phoneticPr fontId="2"/>
  </si>
  <si>
    <t>児島</t>
    <phoneticPr fontId="2"/>
  </si>
  <si>
    <t>大型券売機撤去（1台）へのホールコン対応作業</t>
    <phoneticPr fontId="2"/>
  </si>
  <si>
    <t>4956</t>
    <phoneticPr fontId="2"/>
  </si>
  <si>
    <t>11/16中止</t>
  </si>
  <si>
    <t>0234</t>
    <phoneticPr fontId="2"/>
  </si>
  <si>
    <t>香貫</t>
    <phoneticPr fontId="2"/>
  </si>
  <si>
    <t>4996</t>
    <phoneticPr fontId="2"/>
  </si>
  <si>
    <t xml:space="preserve">TE01349040 </t>
    <phoneticPr fontId="2"/>
  </si>
  <si>
    <t>0123</t>
    <phoneticPr fontId="2"/>
  </si>
  <si>
    <t>№179、181で再発行</t>
  </si>
  <si>
    <t>0124</t>
    <phoneticPr fontId="2"/>
  </si>
  <si>
    <t>№180、182で再発行</t>
  </si>
  <si>
    <t>0307</t>
    <phoneticPr fontId="2"/>
  </si>
  <si>
    <t>青梅新町</t>
    <phoneticPr fontId="2"/>
  </si>
  <si>
    <t>5017</t>
    <phoneticPr fontId="2"/>
  </si>
  <si>
    <t>12/17キャンセル</t>
  </si>
  <si>
    <t>0375</t>
    <phoneticPr fontId="2"/>
  </si>
  <si>
    <t>昭島</t>
    <phoneticPr fontId="2"/>
  </si>
  <si>
    <t>5041</t>
    <phoneticPr fontId="2"/>
  </si>
  <si>
    <t>0380</t>
    <phoneticPr fontId="2"/>
  </si>
  <si>
    <t>0377</t>
    <phoneticPr fontId="2"/>
  </si>
  <si>
    <t>0381</t>
    <phoneticPr fontId="2"/>
  </si>
  <si>
    <t>韮崎</t>
    <phoneticPr fontId="2"/>
  </si>
  <si>
    <t>0382</t>
    <phoneticPr fontId="2"/>
  </si>
  <si>
    <t>玉貸しC（36台）へのホールコン対応作業</t>
    <phoneticPr fontId="2"/>
  </si>
  <si>
    <t>5044</t>
    <phoneticPr fontId="2"/>
  </si>
  <si>
    <t>0384</t>
    <phoneticPr fontId="2"/>
  </si>
  <si>
    <t>0385</t>
    <phoneticPr fontId="2"/>
  </si>
  <si>
    <t>0386</t>
    <phoneticPr fontId="2"/>
  </si>
  <si>
    <t xml:space="preserve">TE01349580 </t>
    <phoneticPr fontId="2"/>
  </si>
  <si>
    <t xml:space="preserve">TE01349484 </t>
    <phoneticPr fontId="2"/>
  </si>
  <si>
    <t>電話対応で復旧</t>
  </si>
  <si>
    <t>0387</t>
    <phoneticPr fontId="2"/>
  </si>
  <si>
    <t>TEK(姫路野里)</t>
    <phoneticPr fontId="2"/>
  </si>
  <si>
    <t>6本</t>
    <phoneticPr fontId="2"/>
  </si>
  <si>
    <t xml:space="preserve">TE01349026 </t>
    <phoneticPr fontId="2"/>
  </si>
  <si>
    <t xml:space="preserve">TE01349019 </t>
    <phoneticPr fontId="2"/>
  </si>
  <si>
    <t>0342</t>
    <phoneticPr fontId="2"/>
  </si>
  <si>
    <t>店長PCセットアップ作業</t>
    <phoneticPr fontId="2"/>
  </si>
  <si>
    <t>0343</t>
    <phoneticPr fontId="2"/>
  </si>
  <si>
    <t>0388</t>
    <phoneticPr fontId="2"/>
  </si>
  <si>
    <t>本城</t>
    <phoneticPr fontId="2"/>
  </si>
  <si>
    <t xml:space="preserve">TE01350183 </t>
    <phoneticPr fontId="2"/>
  </si>
  <si>
    <t xml:space="preserve">TE01350189 </t>
    <phoneticPr fontId="2"/>
  </si>
  <si>
    <t xml:space="preserve">TE01350264 </t>
    <phoneticPr fontId="2"/>
  </si>
  <si>
    <t>0389</t>
    <phoneticPr fontId="2"/>
  </si>
  <si>
    <t>0393</t>
    <phoneticPr fontId="2"/>
  </si>
  <si>
    <t>5032</t>
    <phoneticPr fontId="2"/>
  </si>
  <si>
    <t>0280</t>
    <phoneticPr fontId="2"/>
  </si>
  <si>
    <t>廿日市</t>
    <phoneticPr fontId="2"/>
  </si>
  <si>
    <t>5016</t>
    <phoneticPr fontId="2"/>
  </si>
  <si>
    <t>0341</t>
    <phoneticPr fontId="2"/>
  </si>
  <si>
    <t>橋本台②</t>
    <phoneticPr fontId="2"/>
  </si>
  <si>
    <t>個別計数機増設（72台）へのホールコン対応作業</t>
    <phoneticPr fontId="2"/>
  </si>
  <si>
    <t>5031</t>
    <phoneticPr fontId="2"/>
  </si>
  <si>
    <t>0266</t>
    <phoneticPr fontId="2"/>
  </si>
  <si>
    <t>P台間拡張（4島）へのホールコン対応作業</t>
    <phoneticPr fontId="2"/>
  </si>
  <si>
    <t>5004</t>
    <phoneticPr fontId="2"/>
  </si>
  <si>
    <t>0353</t>
    <phoneticPr fontId="2"/>
  </si>
  <si>
    <t>高知一宮</t>
    <phoneticPr fontId="2"/>
  </si>
  <si>
    <t>P増台（12台）へのホールコン対応作業</t>
    <phoneticPr fontId="2"/>
  </si>
  <si>
    <t>5034</t>
    <phoneticPr fontId="2"/>
  </si>
  <si>
    <t>0184</t>
    <phoneticPr fontId="2"/>
  </si>
  <si>
    <t>四日市①</t>
    <phoneticPr fontId="2"/>
  </si>
  <si>
    <t>大型計数機増設（1台）へのホールコン対応作業</t>
    <phoneticPr fontId="2"/>
  </si>
  <si>
    <t>4974</t>
    <phoneticPr fontId="2"/>
  </si>
  <si>
    <t>0146</t>
    <phoneticPr fontId="2"/>
  </si>
  <si>
    <t>P台間拡張（16島）／玉貸しC（32台）へのホールコン対応作業</t>
    <phoneticPr fontId="2"/>
  </si>
  <si>
    <t>4953</t>
    <phoneticPr fontId="2"/>
  </si>
  <si>
    <t>0096</t>
    <phoneticPr fontId="2"/>
  </si>
  <si>
    <t>0095</t>
    <phoneticPr fontId="2"/>
  </si>
  <si>
    <t xml:space="preserve">TE01340970 </t>
    <phoneticPr fontId="2"/>
  </si>
  <si>
    <t>0368</t>
    <phoneticPr fontId="2"/>
  </si>
  <si>
    <t>土佐道路西</t>
    <phoneticPr fontId="2"/>
  </si>
  <si>
    <t>5038</t>
    <phoneticPr fontId="2"/>
  </si>
  <si>
    <t>0362</t>
    <phoneticPr fontId="2"/>
  </si>
  <si>
    <t>島3FY OMS仮想ネットワーク不具合 現地対応</t>
    <phoneticPr fontId="2"/>
  </si>
  <si>
    <t xml:space="preserve">TE01350650 </t>
  </si>
  <si>
    <t>0394</t>
    <phoneticPr fontId="2"/>
  </si>
  <si>
    <t>ＫＫＳ老朽化保守対応業務</t>
    <phoneticPr fontId="2"/>
  </si>
  <si>
    <t xml:space="preserve">TE01350793 </t>
    <phoneticPr fontId="2"/>
  </si>
  <si>
    <t>0396</t>
    <phoneticPr fontId="2"/>
  </si>
  <si>
    <t>5048</t>
    <phoneticPr fontId="2"/>
  </si>
  <si>
    <t>0225</t>
    <phoneticPr fontId="2"/>
  </si>
  <si>
    <t>0395</t>
    <phoneticPr fontId="2"/>
  </si>
  <si>
    <t>情報端末　代替機／修理品設置　保守作業</t>
    <phoneticPr fontId="2"/>
  </si>
  <si>
    <t>現地設置費用は№252で処理済み/保守作業TMDV-Sディスプレイコントローラ 代替機設置／修理完了品セットアップ作業</t>
    <phoneticPr fontId="2"/>
  </si>
  <si>
    <t>0403</t>
    <phoneticPr fontId="2"/>
  </si>
  <si>
    <t>0404</t>
    <phoneticPr fontId="2"/>
  </si>
  <si>
    <t>0405</t>
    <phoneticPr fontId="2"/>
  </si>
  <si>
    <t>POS老朽化補助</t>
    <phoneticPr fontId="2"/>
  </si>
  <si>
    <t>0406</t>
    <phoneticPr fontId="2"/>
  </si>
  <si>
    <t>PHCセットアップ作業補助／12月度分</t>
    <phoneticPr fontId="2"/>
  </si>
  <si>
    <t>吉田氏ご担当、1月処理？：12/18佐竹氏より</t>
    <phoneticPr fontId="2"/>
  </si>
  <si>
    <t>メダル貸しC'（60台）へのホールコン対応作業　※確認漏れ</t>
    <phoneticPr fontId="2"/>
  </si>
  <si>
    <t>B&amp;MTS確認漏れ</t>
    <phoneticPr fontId="2"/>
  </si>
  <si>
    <t>0407</t>
    <phoneticPr fontId="2"/>
  </si>
  <si>
    <t>インスペクトラ Excel出力機能の改善</t>
    <phoneticPr fontId="2"/>
  </si>
  <si>
    <t>0408</t>
    <phoneticPr fontId="2"/>
  </si>
  <si>
    <t>POS老朽化更新／12月分</t>
    <phoneticPr fontId="2"/>
  </si>
  <si>
    <t>TE01351493</t>
    <phoneticPr fontId="2"/>
  </si>
  <si>
    <t>0417</t>
    <phoneticPr fontId="2"/>
  </si>
  <si>
    <t>泉南</t>
    <phoneticPr fontId="2"/>
  </si>
  <si>
    <t>0427</t>
    <phoneticPr fontId="2"/>
  </si>
  <si>
    <t>八斗島</t>
    <phoneticPr fontId="2"/>
  </si>
  <si>
    <t>大型計数機撤去（2台）へのホールコン対応作業</t>
    <phoneticPr fontId="2"/>
  </si>
  <si>
    <t>5053</t>
    <phoneticPr fontId="2"/>
  </si>
  <si>
    <t>0369</t>
    <phoneticPr fontId="2"/>
  </si>
  <si>
    <t>5039</t>
    <phoneticPr fontId="2"/>
  </si>
  <si>
    <t>上牧①</t>
    <phoneticPr fontId="2"/>
  </si>
  <si>
    <t>上牧②</t>
    <phoneticPr fontId="2"/>
  </si>
  <si>
    <t xml:space="preserve"> TE01352274 </t>
    <phoneticPr fontId="2"/>
  </si>
  <si>
    <t>TE01352308</t>
    <phoneticPr fontId="2"/>
  </si>
  <si>
    <t>0431</t>
    <phoneticPr fontId="2"/>
  </si>
  <si>
    <t>1月</t>
  </si>
  <si>
    <t>0398</t>
    <phoneticPr fontId="2"/>
  </si>
  <si>
    <t>0399</t>
    <phoneticPr fontId="2"/>
  </si>
  <si>
    <t>0400</t>
    <phoneticPr fontId="2"/>
  </si>
  <si>
    <t>0401</t>
    <phoneticPr fontId="2"/>
  </si>
  <si>
    <t>むつ</t>
    <phoneticPr fontId="2"/>
  </si>
  <si>
    <t>0438</t>
    <phoneticPr fontId="2"/>
  </si>
  <si>
    <t>美しが丘</t>
    <phoneticPr fontId="2"/>
  </si>
  <si>
    <t>0439</t>
    <phoneticPr fontId="2"/>
  </si>
  <si>
    <t>0335</t>
    <phoneticPr fontId="2"/>
  </si>
  <si>
    <t>玉貸しC（34台）へのホールコン対応作業</t>
    <phoneticPr fontId="2"/>
  </si>
  <si>
    <t>5029</t>
    <phoneticPr fontId="2"/>
  </si>
  <si>
    <t>0260</t>
    <phoneticPr fontId="2"/>
  </si>
  <si>
    <t>5005</t>
    <phoneticPr fontId="2"/>
  </si>
  <si>
    <t>0435</t>
    <phoneticPr fontId="2"/>
  </si>
  <si>
    <t>メダル貸しC'（40台）へのホールコン対応作業／追加工事</t>
    <phoneticPr fontId="2"/>
  </si>
  <si>
    <t>営業画面製作(ワイド版)／グローリー会員分析</t>
    <phoneticPr fontId="2"/>
  </si>
  <si>
    <t>0442</t>
    <phoneticPr fontId="2"/>
  </si>
  <si>
    <t>0443</t>
    <phoneticPr fontId="2"/>
  </si>
  <si>
    <t>0444</t>
    <phoneticPr fontId="2"/>
  </si>
  <si>
    <t>0445</t>
    <phoneticPr fontId="2"/>
  </si>
  <si>
    <t>0446</t>
    <phoneticPr fontId="2"/>
  </si>
  <si>
    <t>0447</t>
    <phoneticPr fontId="2"/>
  </si>
  <si>
    <t>0448</t>
    <phoneticPr fontId="2"/>
  </si>
  <si>
    <t>0449</t>
    <phoneticPr fontId="2"/>
  </si>
  <si>
    <t>0450</t>
    <phoneticPr fontId="2"/>
  </si>
  <si>
    <t>0451</t>
    <phoneticPr fontId="2"/>
  </si>
  <si>
    <t>新庄</t>
    <phoneticPr fontId="2"/>
  </si>
  <si>
    <t>0452</t>
    <phoneticPr fontId="2"/>
  </si>
  <si>
    <t>0453</t>
    <phoneticPr fontId="2"/>
  </si>
  <si>
    <t>0454</t>
    <phoneticPr fontId="2"/>
  </si>
  <si>
    <t>0455</t>
    <phoneticPr fontId="2"/>
  </si>
  <si>
    <t>0456</t>
    <phoneticPr fontId="2"/>
  </si>
  <si>
    <t>福井</t>
    <phoneticPr fontId="2"/>
  </si>
  <si>
    <t>0457</t>
    <phoneticPr fontId="2"/>
  </si>
  <si>
    <t>0458</t>
    <phoneticPr fontId="2"/>
  </si>
  <si>
    <t>携帯システム関連／保守料（1月分）</t>
    <phoneticPr fontId="2"/>
  </si>
  <si>
    <t>0459</t>
    <phoneticPr fontId="2"/>
  </si>
  <si>
    <t>0371</t>
    <phoneticPr fontId="2"/>
  </si>
  <si>
    <t>5040k</t>
    <phoneticPr fontId="2"/>
  </si>
  <si>
    <t>12/26再提出分は取消し、追加工事分だけで再提出№435</t>
    <phoneticPr fontId="2"/>
  </si>
  <si>
    <t>TE01352801</t>
    <phoneticPr fontId="2"/>
  </si>
  <si>
    <t>0409</t>
    <phoneticPr fontId="2"/>
  </si>
  <si>
    <t>名古屋南</t>
    <phoneticPr fontId="2"/>
  </si>
  <si>
    <t>0410</t>
    <phoneticPr fontId="2"/>
  </si>
  <si>
    <t>0419</t>
    <phoneticPr fontId="2"/>
  </si>
  <si>
    <t>焼津</t>
    <phoneticPr fontId="2"/>
  </si>
  <si>
    <t>KKS老朽化更新（SV＋POS）</t>
    <phoneticPr fontId="2"/>
  </si>
  <si>
    <t>0422</t>
    <phoneticPr fontId="2"/>
  </si>
  <si>
    <t>和泉寺田</t>
    <phoneticPr fontId="2"/>
  </si>
  <si>
    <t>0411</t>
    <phoneticPr fontId="2"/>
  </si>
  <si>
    <t>0423</t>
    <phoneticPr fontId="2"/>
  </si>
  <si>
    <t>法隆寺インター</t>
    <phoneticPr fontId="2"/>
  </si>
  <si>
    <t>0412</t>
    <phoneticPr fontId="2"/>
  </si>
  <si>
    <t>0413</t>
    <phoneticPr fontId="2"/>
  </si>
  <si>
    <t>東大阪</t>
    <phoneticPr fontId="2"/>
  </si>
  <si>
    <t>0414</t>
    <phoneticPr fontId="2"/>
  </si>
  <si>
    <t>0415</t>
    <phoneticPr fontId="2"/>
  </si>
  <si>
    <t>0416</t>
    <phoneticPr fontId="2"/>
  </si>
  <si>
    <t>此花島屋</t>
    <phoneticPr fontId="2"/>
  </si>
  <si>
    <t>0418</t>
    <phoneticPr fontId="2"/>
  </si>
  <si>
    <t>水道町</t>
    <phoneticPr fontId="2"/>
  </si>
  <si>
    <t>0420</t>
    <phoneticPr fontId="2"/>
  </si>
  <si>
    <t>0421</t>
    <phoneticPr fontId="2"/>
  </si>
  <si>
    <t>0424</t>
    <phoneticPr fontId="2"/>
  </si>
  <si>
    <t>ぶらくり丁</t>
    <phoneticPr fontId="2"/>
  </si>
  <si>
    <t>0323</t>
    <phoneticPr fontId="2"/>
  </si>
  <si>
    <t>メダル貸しC（38台）へのホールコン対応作業</t>
    <phoneticPr fontId="2"/>
  </si>
  <si>
    <t>5022</t>
    <phoneticPr fontId="2"/>
  </si>
  <si>
    <t>0315</t>
    <phoneticPr fontId="2"/>
  </si>
  <si>
    <t>廃棄処分（M社向け預かり品）</t>
    <phoneticPr fontId="2"/>
  </si>
  <si>
    <t>0402</t>
    <phoneticPr fontId="2"/>
  </si>
  <si>
    <t>個別計数機増設（294台）へのホールコン対応作業</t>
    <phoneticPr fontId="2"/>
  </si>
  <si>
    <t>5050</t>
    <phoneticPr fontId="2"/>
  </si>
  <si>
    <t>谷</t>
  </si>
  <si>
    <t>KKS老朽化補助</t>
    <phoneticPr fontId="2"/>
  </si>
  <si>
    <t>内藤</t>
    <phoneticPr fontId="2"/>
  </si>
  <si>
    <t>0462</t>
    <phoneticPr fontId="2"/>
  </si>
  <si>
    <t>保守作業　TMDV-Sディスプレイコントローラ 代替機／修理完了品セットアップ作業</t>
    <phoneticPr fontId="2"/>
  </si>
  <si>
    <t>0275</t>
    <phoneticPr fontId="2"/>
  </si>
  <si>
    <t>症状落ち着いているためキャンセル</t>
  </si>
  <si>
    <t>0276</t>
    <phoneticPr fontId="2"/>
  </si>
  <si>
    <t>保守作業　TMDV-Sディスプレイコントローラ 修理完了品セットアップ作業</t>
    <phoneticPr fontId="2"/>
  </si>
  <si>
    <t>症状落ち着いているためキャンセル</t>
    <phoneticPr fontId="2"/>
  </si>
  <si>
    <t>0463</t>
    <phoneticPr fontId="2"/>
  </si>
  <si>
    <t>5057</t>
    <phoneticPr fontId="2"/>
  </si>
  <si>
    <t xml:space="preserve">TE01353561 </t>
    <phoneticPr fontId="2"/>
  </si>
  <si>
    <t xml:space="preserve">TE01353562 </t>
    <phoneticPr fontId="2"/>
  </si>
  <si>
    <t xml:space="preserve">TE01353566 </t>
    <phoneticPr fontId="2"/>
  </si>
  <si>
    <t>0430</t>
    <phoneticPr fontId="2"/>
  </si>
  <si>
    <t>TMDV-K／光センサーハーネス端末処理（40）</t>
    <phoneticPr fontId="2"/>
  </si>
  <si>
    <t>0464</t>
    <phoneticPr fontId="2"/>
  </si>
  <si>
    <t>0432</t>
    <phoneticPr fontId="2"/>
  </si>
  <si>
    <t>0433</t>
    <phoneticPr fontId="2"/>
  </si>
  <si>
    <t>保守作業／精算機誤差</t>
    <phoneticPr fontId="2"/>
  </si>
  <si>
    <t xml:space="preserve">TE01353581 </t>
    <phoneticPr fontId="2"/>
  </si>
  <si>
    <t>0397</t>
    <phoneticPr fontId="2"/>
  </si>
  <si>
    <t>稚内</t>
    <phoneticPr fontId="2"/>
  </si>
  <si>
    <t>5049</t>
    <phoneticPr fontId="2"/>
  </si>
  <si>
    <t>0437</t>
    <phoneticPr fontId="2"/>
  </si>
  <si>
    <t>1月処理：12/18早川氏より</t>
    <phoneticPr fontId="2"/>
  </si>
  <si>
    <t>館林</t>
    <phoneticPr fontId="2"/>
  </si>
  <si>
    <t>吉田</t>
    <phoneticPr fontId="2"/>
  </si>
  <si>
    <t xml:space="preserve">TE01353991 </t>
    <phoneticPr fontId="2"/>
  </si>
  <si>
    <t>0461</t>
    <phoneticPr fontId="2"/>
  </si>
  <si>
    <t>TFNL1 POY糸切れ原因入力GOT端末更新</t>
    <phoneticPr fontId="2"/>
  </si>
  <si>
    <t>0466</t>
    <phoneticPr fontId="2"/>
  </si>
  <si>
    <t>TFC工程フロー作成(VZP/PA1)</t>
    <phoneticPr fontId="2"/>
  </si>
  <si>
    <t>0334</t>
    <phoneticPr fontId="2"/>
  </si>
  <si>
    <t>鹿屋</t>
    <phoneticPr fontId="2"/>
  </si>
  <si>
    <t>5207</t>
    <phoneticPr fontId="2"/>
  </si>
  <si>
    <t>0467</t>
    <phoneticPr fontId="2"/>
  </si>
  <si>
    <t>0468</t>
    <phoneticPr fontId="2"/>
  </si>
  <si>
    <t>0469</t>
    <phoneticPr fontId="2"/>
  </si>
  <si>
    <t>紙幣搬送入替（4島）へのホールコン対応作業</t>
    <phoneticPr fontId="2"/>
  </si>
  <si>
    <t>0333</t>
    <phoneticPr fontId="2"/>
  </si>
  <si>
    <t>5026</t>
    <phoneticPr fontId="2"/>
  </si>
  <si>
    <t>0434</t>
    <phoneticPr fontId="2"/>
  </si>
  <si>
    <t>赤塚</t>
    <phoneticPr fontId="2"/>
  </si>
  <si>
    <t>保守作業／TMDV-S ディスプレイコントローラ セットアップ作業</t>
    <phoneticPr fontId="2"/>
  </si>
  <si>
    <t>0436</t>
    <phoneticPr fontId="2"/>
  </si>
  <si>
    <t>卸本町</t>
    <phoneticPr fontId="2"/>
  </si>
  <si>
    <t>0243</t>
    <phoneticPr fontId="2"/>
  </si>
  <si>
    <t>再発行／見積有効期限切れ</t>
    <phoneticPr fontId="2"/>
  </si>
  <si>
    <t>0470</t>
    <phoneticPr fontId="2"/>
  </si>
  <si>
    <t>0474</t>
    <phoneticPr fontId="2"/>
  </si>
  <si>
    <t>0475</t>
    <phoneticPr fontId="2"/>
  </si>
  <si>
    <t>0476</t>
    <phoneticPr fontId="2"/>
  </si>
  <si>
    <t>高城</t>
  </si>
  <si>
    <t>0034</t>
    <phoneticPr fontId="2"/>
  </si>
  <si>
    <t>名古屋市総合リハビリテーションセンター</t>
    <phoneticPr fontId="2"/>
  </si>
  <si>
    <t>LAN配線工事</t>
    <phoneticPr fontId="2"/>
  </si>
  <si>
    <t xml:space="preserve">TE01355483 </t>
    <phoneticPr fontId="2"/>
  </si>
  <si>
    <t>0185</t>
    <phoneticPr fontId="2"/>
  </si>
  <si>
    <t>四日市②</t>
    <phoneticPr fontId="2"/>
  </si>
  <si>
    <t>紙幣搬送入替（12島）へのホールコン対応作業</t>
    <phoneticPr fontId="2"/>
  </si>
  <si>
    <t>4975</t>
    <phoneticPr fontId="2"/>
  </si>
  <si>
    <t>見積り間違い、実際はセットアップ作業なし</t>
    <phoneticPr fontId="2"/>
  </si>
  <si>
    <t>2月</t>
  </si>
  <si>
    <t>吉田氏依頼</t>
    <phoneticPr fontId="2"/>
  </si>
  <si>
    <t xml:space="preserve">TE01355485 </t>
    <phoneticPr fontId="2"/>
  </si>
  <si>
    <t>1/17中止</t>
  </si>
  <si>
    <t>橋本台</t>
    <phoneticPr fontId="2"/>
  </si>
  <si>
    <t>液晶ランプ撤去（280台）に伴うホールコンピュータ変更</t>
    <phoneticPr fontId="2"/>
  </si>
  <si>
    <t>5030k</t>
    <phoneticPr fontId="2"/>
  </si>
  <si>
    <t xml:space="preserve">TE01360992 </t>
    <phoneticPr fontId="2"/>
  </si>
  <si>
    <t>3月</t>
  </si>
  <si>
    <t>0354</t>
    <phoneticPr fontId="2"/>
  </si>
  <si>
    <t>郡山</t>
    <phoneticPr fontId="2"/>
  </si>
  <si>
    <t>5035</t>
    <phoneticPr fontId="2"/>
  </si>
  <si>
    <t>0357</t>
    <phoneticPr fontId="2"/>
  </si>
  <si>
    <t>倉賀野①</t>
    <phoneticPr fontId="2"/>
  </si>
  <si>
    <t>売上機変更（120台）へのホールコン対応作業</t>
    <phoneticPr fontId="2"/>
  </si>
  <si>
    <t>5036</t>
    <phoneticPr fontId="2"/>
  </si>
  <si>
    <t>0358</t>
    <phoneticPr fontId="2"/>
  </si>
  <si>
    <t>倉賀野②</t>
    <phoneticPr fontId="2"/>
  </si>
  <si>
    <t>5307</t>
    <phoneticPr fontId="2"/>
  </si>
  <si>
    <t xml:space="preserve">TE01374282 </t>
    <phoneticPr fontId="2"/>
  </si>
  <si>
    <t>4月</t>
    <phoneticPr fontId="2"/>
  </si>
  <si>
    <t>見積有効期限切れ再発行</t>
    <phoneticPr fontId="2"/>
  </si>
  <si>
    <t xml:space="preserve">TE01360621 </t>
    <phoneticPr fontId="2"/>
  </si>
  <si>
    <t>0383</t>
    <phoneticPr fontId="2"/>
  </si>
  <si>
    <t>ディスプレイコントローラ（1台）増設作業</t>
    <phoneticPr fontId="2"/>
  </si>
  <si>
    <t>5043</t>
    <phoneticPr fontId="2"/>
  </si>
  <si>
    <t>見積有効期限切れ</t>
  </si>
  <si>
    <t>0390</t>
    <phoneticPr fontId="2"/>
  </si>
  <si>
    <t>弘前石渡</t>
    <phoneticPr fontId="2"/>
  </si>
  <si>
    <t>個別計数機撤去（16台）へのホールコン対応作業</t>
    <phoneticPr fontId="2"/>
  </si>
  <si>
    <t>5045</t>
    <phoneticPr fontId="2"/>
  </si>
  <si>
    <t>0391</t>
    <phoneticPr fontId="2"/>
  </si>
  <si>
    <t>東与賀</t>
    <phoneticPr fontId="2"/>
  </si>
  <si>
    <t>P増台（8台）／売上機変更（120台）へのホールコン対応作業</t>
    <phoneticPr fontId="2"/>
  </si>
  <si>
    <t>5046</t>
    <phoneticPr fontId="2"/>
  </si>
  <si>
    <t xml:space="preserve">TE01357073 </t>
    <phoneticPr fontId="2"/>
  </si>
  <si>
    <t>0392</t>
    <phoneticPr fontId="2"/>
  </si>
  <si>
    <t>5047</t>
    <phoneticPr fontId="2"/>
  </si>
  <si>
    <t xml:space="preserve">TE01357543 </t>
    <phoneticPr fontId="2"/>
  </si>
  <si>
    <t xml:space="preserve">TE01353175 </t>
    <phoneticPr fontId="2"/>
  </si>
  <si>
    <t>なんば本館P</t>
    <phoneticPr fontId="2"/>
  </si>
  <si>
    <t>0425</t>
    <phoneticPr fontId="2"/>
  </si>
  <si>
    <t>液晶ランプ撤去（257台）に伴うホールコンピュータ変更</t>
    <phoneticPr fontId="2"/>
  </si>
  <si>
    <t>5055</t>
    <phoneticPr fontId="2"/>
  </si>
  <si>
    <t xml:space="preserve">TE01357944 </t>
    <phoneticPr fontId="2"/>
  </si>
  <si>
    <t>0426</t>
    <phoneticPr fontId="2"/>
  </si>
  <si>
    <t>5054</t>
    <phoneticPr fontId="2"/>
  </si>
  <si>
    <t xml:space="preserve">TE01360619 </t>
    <phoneticPr fontId="2"/>
  </si>
  <si>
    <t xml:space="preserve">TE01363727 </t>
    <phoneticPr fontId="2"/>
  </si>
  <si>
    <t>0428</t>
    <phoneticPr fontId="2"/>
  </si>
  <si>
    <t>売上機変更（12台）へのホールコン対応作業</t>
    <phoneticPr fontId="2"/>
  </si>
  <si>
    <t>5051</t>
    <phoneticPr fontId="2"/>
  </si>
  <si>
    <t xml:space="preserve">TE01356486 </t>
    <phoneticPr fontId="2"/>
  </si>
  <si>
    <t>0429</t>
    <phoneticPr fontId="2"/>
  </si>
  <si>
    <t>5052</t>
    <phoneticPr fontId="2"/>
  </si>
  <si>
    <t>1/7：信渡りハーネス断線が原因と判明、キャンセル</t>
  </si>
  <si>
    <t>0440</t>
    <phoneticPr fontId="2"/>
  </si>
  <si>
    <t xml:space="preserve">TE01360573 </t>
    <phoneticPr fontId="2"/>
  </si>
  <si>
    <t>0441</t>
    <phoneticPr fontId="2"/>
  </si>
  <si>
    <t>小岩S館</t>
    <phoneticPr fontId="2"/>
  </si>
  <si>
    <t>中原</t>
    <phoneticPr fontId="2"/>
  </si>
  <si>
    <t>赤穂</t>
    <phoneticPr fontId="2"/>
  </si>
  <si>
    <t xml:space="preserve">TE01356110 </t>
    <phoneticPr fontId="2"/>
  </si>
  <si>
    <t>善通寺</t>
    <phoneticPr fontId="2"/>
  </si>
  <si>
    <t xml:space="preserve">TE01371811 </t>
    <phoneticPr fontId="2"/>
  </si>
  <si>
    <t>早川氏紛失の為再発行</t>
    <phoneticPr fontId="2"/>
  </si>
  <si>
    <t>0460</t>
    <phoneticPr fontId="2"/>
  </si>
  <si>
    <t>宇部</t>
    <phoneticPr fontId="2"/>
  </si>
  <si>
    <t>玉_メダル貸しC（200台）へのホールコン対応作業</t>
    <phoneticPr fontId="2"/>
  </si>
  <si>
    <t>5056</t>
    <phoneticPr fontId="2"/>
  </si>
  <si>
    <t xml:space="preserve">TE01355124 </t>
  </si>
  <si>
    <t>0465</t>
    <phoneticPr fontId="2"/>
  </si>
  <si>
    <t>動作確認テスト（180台）へのホールコン対応作業</t>
    <phoneticPr fontId="2"/>
  </si>
  <si>
    <t>5058</t>
    <phoneticPr fontId="2"/>
  </si>
  <si>
    <t xml:space="preserve">TE01355481 </t>
  </si>
  <si>
    <t>0471</t>
    <phoneticPr fontId="2"/>
  </si>
  <si>
    <t>個別計数機増設（120台）へのホールコン対応作業</t>
    <phoneticPr fontId="2"/>
  </si>
  <si>
    <t>5059</t>
    <phoneticPr fontId="2"/>
  </si>
  <si>
    <t xml:space="preserve">TE01365223 </t>
    <phoneticPr fontId="2"/>
  </si>
  <si>
    <t>0472</t>
    <phoneticPr fontId="2"/>
  </si>
  <si>
    <t>5060</t>
    <phoneticPr fontId="2"/>
  </si>
  <si>
    <t>0473</t>
    <phoneticPr fontId="2"/>
  </si>
  <si>
    <t>光明池</t>
    <phoneticPr fontId="2"/>
  </si>
  <si>
    <t>個別計数機増設（20台）へのホールコン対応作業</t>
    <phoneticPr fontId="2"/>
  </si>
  <si>
    <t>5061</t>
    <phoneticPr fontId="2"/>
  </si>
  <si>
    <t xml:space="preserve">TE01359475 </t>
    <phoneticPr fontId="2"/>
  </si>
  <si>
    <t>5月</t>
  </si>
  <si>
    <t>3/24～3/26から工期変更</t>
    <phoneticPr fontId="2"/>
  </si>
  <si>
    <t>0477</t>
    <phoneticPr fontId="2"/>
  </si>
  <si>
    <t>高城</t>
    <phoneticPr fontId="2"/>
  </si>
  <si>
    <t>5062</t>
    <phoneticPr fontId="2"/>
  </si>
  <si>
    <t>0478</t>
    <phoneticPr fontId="2"/>
  </si>
  <si>
    <t>0479</t>
    <phoneticPr fontId="2"/>
  </si>
  <si>
    <t>0480</t>
    <phoneticPr fontId="2"/>
  </si>
  <si>
    <t xml:space="preserve">TE01360575 </t>
    <phoneticPr fontId="2"/>
  </si>
  <si>
    <t>0481</t>
    <phoneticPr fontId="2"/>
  </si>
  <si>
    <t>岩内</t>
    <phoneticPr fontId="2"/>
  </si>
  <si>
    <t>0482</t>
    <phoneticPr fontId="2"/>
  </si>
  <si>
    <t>鳥取</t>
    <phoneticPr fontId="2"/>
  </si>
  <si>
    <t>5064</t>
    <phoneticPr fontId="2"/>
  </si>
  <si>
    <t>4月</t>
  </si>
  <si>
    <t>1/30：4月に延期／セットアップ作業済み</t>
    <phoneticPr fontId="2"/>
  </si>
  <si>
    <t>0483</t>
    <phoneticPr fontId="2"/>
  </si>
  <si>
    <t>下松</t>
    <phoneticPr fontId="2"/>
  </si>
  <si>
    <t>メダル貸しC（35台）へのホールコン対応作業</t>
    <phoneticPr fontId="2"/>
  </si>
  <si>
    <t>5065</t>
    <phoneticPr fontId="2"/>
  </si>
  <si>
    <t>0484</t>
    <phoneticPr fontId="2"/>
  </si>
  <si>
    <t>0485</t>
    <phoneticPr fontId="2"/>
  </si>
  <si>
    <t>掛川</t>
    <phoneticPr fontId="2"/>
  </si>
  <si>
    <t>精算機増設（1台）へのホールコン対応作業</t>
    <phoneticPr fontId="2"/>
  </si>
  <si>
    <t>5066</t>
    <phoneticPr fontId="2"/>
  </si>
  <si>
    <t>0486</t>
    <phoneticPr fontId="2"/>
  </si>
  <si>
    <t>5067</t>
    <phoneticPr fontId="2"/>
  </si>
  <si>
    <t xml:space="preserve">TE01363188 </t>
    <phoneticPr fontId="2"/>
  </si>
  <si>
    <t>0487</t>
    <phoneticPr fontId="2"/>
  </si>
  <si>
    <t>5068</t>
    <phoneticPr fontId="2"/>
  </si>
  <si>
    <t>0488</t>
    <phoneticPr fontId="2"/>
  </si>
  <si>
    <t>開発案件打合せ</t>
    <phoneticPr fontId="2"/>
  </si>
  <si>
    <t>0489</t>
    <phoneticPr fontId="2"/>
  </si>
  <si>
    <t>0490</t>
    <phoneticPr fontId="2"/>
  </si>
  <si>
    <t>0491</t>
    <phoneticPr fontId="2"/>
  </si>
  <si>
    <t>可児</t>
    <phoneticPr fontId="2"/>
  </si>
  <si>
    <t>HMCリカバリー復元作業①</t>
    <phoneticPr fontId="2"/>
  </si>
  <si>
    <t>№492で処理</t>
  </si>
  <si>
    <t>0492</t>
    <phoneticPr fontId="2"/>
  </si>
  <si>
    <t>HMCリカバリー復元作業②</t>
    <phoneticPr fontId="2"/>
  </si>
  <si>
    <t xml:space="preserve">TE01357990 </t>
    <phoneticPr fontId="2"/>
  </si>
  <si>
    <t>0493</t>
    <phoneticPr fontId="2"/>
  </si>
  <si>
    <t>0494</t>
    <phoneticPr fontId="2"/>
  </si>
  <si>
    <t>河渡</t>
    <phoneticPr fontId="2"/>
  </si>
  <si>
    <t>(有)遊ワークス</t>
  </si>
  <si>
    <t>0495</t>
    <phoneticPr fontId="2"/>
  </si>
  <si>
    <t>TMDV-S用カードリーダー／動作確認作業</t>
    <phoneticPr fontId="2"/>
  </si>
  <si>
    <t xml:space="preserve">TE01379701 </t>
    <phoneticPr fontId="2"/>
  </si>
  <si>
    <t>0496</t>
    <phoneticPr fontId="2"/>
  </si>
  <si>
    <t>改造割付追加工（ワイド画面）</t>
    <phoneticPr fontId="2"/>
  </si>
  <si>
    <t>0497</t>
    <phoneticPr fontId="2"/>
  </si>
  <si>
    <t>0498</t>
    <phoneticPr fontId="2"/>
  </si>
  <si>
    <t>苗穂</t>
    <phoneticPr fontId="2"/>
  </si>
  <si>
    <t>0499</t>
    <phoneticPr fontId="2"/>
  </si>
  <si>
    <t>3/21:見積有効期限切れ</t>
  </si>
  <si>
    <t>0500</t>
    <phoneticPr fontId="2"/>
  </si>
  <si>
    <t>保守作業／MDV ディスプレイコントローラ セットアップ作業</t>
    <phoneticPr fontId="2"/>
  </si>
  <si>
    <t xml:space="preserve">TE01360594 </t>
    <phoneticPr fontId="2"/>
  </si>
  <si>
    <t>0501</t>
    <phoneticPr fontId="2"/>
  </si>
  <si>
    <t>POS老朽化更新／1月分</t>
    <phoneticPr fontId="2"/>
  </si>
  <si>
    <t>0502</t>
    <phoneticPr fontId="2"/>
  </si>
  <si>
    <t xml:space="preserve">TE01358639 </t>
    <phoneticPr fontId="2"/>
  </si>
  <si>
    <t>0503</t>
    <phoneticPr fontId="2"/>
  </si>
  <si>
    <t>保守作業／TMDV-S ディスプレイコントローラ 撤去・設置・セットアップ作業</t>
    <phoneticPr fontId="2"/>
  </si>
  <si>
    <t>№0502で対応</t>
  </si>
  <si>
    <t>0504</t>
    <phoneticPr fontId="2"/>
  </si>
  <si>
    <t xml:space="preserve">TE01356974 </t>
    <phoneticPr fontId="2"/>
  </si>
  <si>
    <t>0505</t>
    <phoneticPr fontId="2"/>
  </si>
  <si>
    <t>MDV用ディスプレイコントローラ／動作確認作業</t>
    <phoneticPr fontId="2"/>
  </si>
  <si>
    <t>0506</t>
    <phoneticPr fontId="2"/>
  </si>
  <si>
    <t>液晶ランプ撤去／廃材処理</t>
    <phoneticPr fontId="2"/>
  </si>
  <si>
    <t>0507</t>
    <phoneticPr fontId="2"/>
  </si>
  <si>
    <t>加島</t>
    <phoneticPr fontId="2"/>
  </si>
  <si>
    <t>HMC交換作業</t>
    <phoneticPr fontId="2"/>
  </si>
  <si>
    <t>0508</t>
    <phoneticPr fontId="2"/>
  </si>
  <si>
    <t>KKS老朽化更新（CL＋POS）</t>
    <phoneticPr fontId="2"/>
  </si>
  <si>
    <t>0509</t>
    <phoneticPr fontId="2"/>
  </si>
  <si>
    <t>今治</t>
    <phoneticPr fontId="2"/>
  </si>
  <si>
    <t>0510</t>
    <phoneticPr fontId="2"/>
  </si>
  <si>
    <t>高知高須</t>
    <phoneticPr fontId="2"/>
  </si>
  <si>
    <t>0511</t>
    <phoneticPr fontId="2"/>
  </si>
  <si>
    <t>0512</t>
    <phoneticPr fontId="2"/>
  </si>
  <si>
    <t>0513</t>
    <phoneticPr fontId="2"/>
  </si>
  <si>
    <t>0514</t>
    <phoneticPr fontId="2"/>
  </si>
  <si>
    <t>伊川谷</t>
    <phoneticPr fontId="2"/>
  </si>
  <si>
    <t>0515</t>
    <phoneticPr fontId="2"/>
  </si>
  <si>
    <t>赤松台</t>
    <phoneticPr fontId="2"/>
  </si>
  <si>
    <t>2/6キャンセル</t>
  </si>
  <si>
    <t>0516</t>
    <phoneticPr fontId="2"/>
  </si>
  <si>
    <t>0517</t>
    <phoneticPr fontId="2"/>
  </si>
  <si>
    <t>原山台</t>
    <phoneticPr fontId="2"/>
  </si>
  <si>
    <t>0518</t>
    <phoneticPr fontId="2"/>
  </si>
  <si>
    <t>きずり</t>
    <phoneticPr fontId="2"/>
  </si>
  <si>
    <t>0519</t>
    <phoneticPr fontId="2"/>
  </si>
  <si>
    <t>中石切</t>
    <phoneticPr fontId="2"/>
  </si>
  <si>
    <t>0520</t>
    <phoneticPr fontId="2"/>
  </si>
  <si>
    <t>今福</t>
    <phoneticPr fontId="2"/>
  </si>
  <si>
    <t>0521</t>
    <phoneticPr fontId="2"/>
  </si>
  <si>
    <t>小山千駄塚</t>
    <phoneticPr fontId="2"/>
  </si>
  <si>
    <t>0522</t>
    <phoneticPr fontId="2"/>
  </si>
  <si>
    <t>5070</t>
    <phoneticPr fontId="2"/>
  </si>
  <si>
    <t xml:space="preserve">TE01363171 </t>
    <phoneticPr fontId="2"/>
  </si>
  <si>
    <t>0523</t>
    <phoneticPr fontId="2"/>
  </si>
  <si>
    <t>彦根</t>
    <phoneticPr fontId="2"/>
  </si>
  <si>
    <t>個別計数機増設（80台）／P増台（16台）へのホールコン対応作業</t>
    <phoneticPr fontId="2"/>
  </si>
  <si>
    <t>5071k</t>
    <phoneticPr fontId="2"/>
  </si>
  <si>
    <t xml:space="preserve">TE01367983 </t>
    <phoneticPr fontId="2"/>
  </si>
  <si>
    <t>0524</t>
    <phoneticPr fontId="2"/>
  </si>
  <si>
    <t>寝屋川</t>
    <phoneticPr fontId="2"/>
  </si>
  <si>
    <t>既存ランプ交換（442台：既存ランプ→ビグモプレミアムⅡ）へのホールコン対応作業</t>
    <phoneticPr fontId="2"/>
  </si>
  <si>
    <t>5072</t>
    <phoneticPr fontId="2"/>
  </si>
  <si>
    <t xml:space="preserve">TE01368875 </t>
    <phoneticPr fontId="2"/>
  </si>
  <si>
    <t>0525</t>
    <phoneticPr fontId="2"/>
  </si>
  <si>
    <t>中之郷</t>
    <phoneticPr fontId="2"/>
  </si>
  <si>
    <t>事務机下配線の整線作業</t>
    <phoneticPr fontId="2"/>
  </si>
  <si>
    <t>5073</t>
    <phoneticPr fontId="2"/>
  </si>
  <si>
    <t xml:space="preserve">TE01364208 </t>
    <phoneticPr fontId="2"/>
  </si>
  <si>
    <t>0526</t>
    <phoneticPr fontId="2"/>
  </si>
  <si>
    <t>小松</t>
    <phoneticPr fontId="2"/>
  </si>
  <si>
    <t>0527</t>
    <phoneticPr fontId="2"/>
  </si>
  <si>
    <t>5113</t>
    <phoneticPr fontId="2"/>
  </si>
  <si>
    <t>1/25キャンセル</t>
  </si>
  <si>
    <t>0528</t>
    <phoneticPr fontId="2"/>
  </si>
  <si>
    <t>5114</t>
    <phoneticPr fontId="2"/>
  </si>
  <si>
    <t>0529</t>
    <phoneticPr fontId="2"/>
  </si>
  <si>
    <t>5115</t>
    <phoneticPr fontId="2"/>
  </si>
  <si>
    <t xml:space="preserve">TE01361852 </t>
    <phoneticPr fontId="2"/>
  </si>
  <si>
    <t>0530</t>
    <phoneticPr fontId="2"/>
  </si>
  <si>
    <t>メダル貸しC（34台）へのホールコン対応作業</t>
    <phoneticPr fontId="2"/>
  </si>
  <si>
    <t>5116</t>
    <phoneticPr fontId="2"/>
  </si>
  <si>
    <t xml:space="preserve">TE01381695 </t>
    <phoneticPr fontId="2"/>
  </si>
  <si>
    <t>0531</t>
    <phoneticPr fontId="2"/>
  </si>
  <si>
    <t xml:space="preserve">TE01361461 </t>
    <phoneticPr fontId="2"/>
  </si>
  <si>
    <t>0532</t>
    <phoneticPr fontId="2"/>
  </si>
  <si>
    <t>指宿</t>
    <phoneticPr fontId="2"/>
  </si>
  <si>
    <t>3/25：見積有効期限切れ</t>
  </si>
  <si>
    <t>0533</t>
    <phoneticPr fontId="2"/>
  </si>
  <si>
    <t>売上機変更（147台）へのホールコン対応作業</t>
    <phoneticPr fontId="2"/>
  </si>
  <si>
    <t>5117ｋ</t>
    <phoneticPr fontId="2"/>
  </si>
  <si>
    <t xml:space="preserve">TE01369931 </t>
    <phoneticPr fontId="2"/>
  </si>
  <si>
    <t>0534</t>
    <phoneticPr fontId="2"/>
  </si>
  <si>
    <t>TMDV-S用ディスプレイコントローラ／動作確認作業</t>
    <phoneticPr fontId="2"/>
  </si>
  <si>
    <t>0535</t>
    <phoneticPr fontId="2"/>
  </si>
  <si>
    <t>個別計数機増設（224台）へのホールコン対応作業</t>
    <phoneticPr fontId="2"/>
  </si>
  <si>
    <t>5119</t>
    <phoneticPr fontId="2"/>
  </si>
  <si>
    <t>0536</t>
    <phoneticPr fontId="2"/>
  </si>
  <si>
    <t>0537</t>
    <phoneticPr fontId="2"/>
  </si>
  <si>
    <t>精算機移設（2台）へのホールコン対応作業／追加工事</t>
    <phoneticPr fontId="2"/>
  </si>
  <si>
    <t>№0332の追加工事</t>
    <phoneticPr fontId="2"/>
  </si>
  <si>
    <t>0538</t>
    <phoneticPr fontId="2"/>
  </si>
  <si>
    <t>5120</t>
    <phoneticPr fontId="2"/>
  </si>
  <si>
    <t>0539</t>
    <phoneticPr fontId="2"/>
  </si>
  <si>
    <t xml:space="preserve">TE01360213 </t>
    <phoneticPr fontId="2"/>
  </si>
  <si>
    <t>0540</t>
    <phoneticPr fontId="2"/>
  </si>
  <si>
    <t>個別計数機増設（200台）へのホールコン対応作業</t>
    <phoneticPr fontId="2"/>
  </si>
  <si>
    <t>5121</t>
    <phoneticPr fontId="2"/>
  </si>
  <si>
    <t xml:space="preserve">TE01365795 </t>
    <phoneticPr fontId="2"/>
  </si>
  <si>
    <t>0541</t>
    <phoneticPr fontId="2"/>
  </si>
  <si>
    <t>玉補給機交換（パルコン→TCP1／40台）へのホールコン対応作業</t>
    <phoneticPr fontId="2"/>
  </si>
  <si>
    <t>5133</t>
    <phoneticPr fontId="2"/>
  </si>
  <si>
    <t>2/28一旦保留⇒中止</t>
  </si>
  <si>
    <t>0542</t>
    <phoneticPr fontId="2"/>
  </si>
  <si>
    <t>P→S（60台）／液晶ランプ撤去（272台）へのホールコン対応作業</t>
    <phoneticPr fontId="2"/>
  </si>
  <si>
    <t>5118</t>
    <phoneticPr fontId="2"/>
  </si>
  <si>
    <t xml:space="preserve">TE01367250 </t>
    <phoneticPr fontId="2"/>
  </si>
  <si>
    <t>№0607に含まれている為キャンセル</t>
    <phoneticPr fontId="2"/>
  </si>
  <si>
    <t>0543</t>
    <phoneticPr fontId="2"/>
  </si>
  <si>
    <t>5134</t>
    <phoneticPr fontId="2"/>
  </si>
  <si>
    <t>0544</t>
    <phoneticPr fontId="2"/>
  </si>
  <si>
    <t>P→S（40台）へのホールコン対応作業</t>
    <phoneticPr fontId="2"/>
  </si>
  <si>
    <t>5135</t>
    <phoneticPr fontId="2"/>
  </si>
  <si>
    <t>0545</t>
    <phoneticPr fontId="2"/>
  </si>
  <si>
    <t>PHCセットアップ作業補助／1月度分</t>
    <phoneticPr fontId="2"/>
  </si>
  <si>
    <t>0546</t>
    <phoneticPr fontId="2"/>
  </si>
  <si>
    <t>黒磯</t>
    <phoneticPr fontId="2"/>
  </si>
  <si>
    <t xml:space="preserve">TE01363143 </t>
    <phoneticPr fontId="2"/>
  </si>
  <si>
    <t>0547</t>
    <phoneticPr fontId="2"/>
  </si>
  <si>
    <t>精算機増設（2台）へのホールコン対応作業</t>
    <phoneticPr fontId="2"/>
  </si>
  <si>
    <t>5136</t>
    <phoneticPr fontId="2"/>
  </si>
  <si>
    <t>0548</t>
    <phoneticPr fontId="2"/>
  </si>
  <si>
    <t>個別計数機撤去移設（81台）へのホールコン対応作業</t>
    <phoneticPr fontId="2"/>
  </si>
  <si>
    <t>5137</t>
    <phoneticPr fontId="2"/>
  </si>
  <si>
    <t>0549</t>
    <phoneticPr fontId="2"/>
  </si>
  <si>
    <t>個別計数機撤去（240台）／売上機変更（14台）へのホールコン対応作業</t>
    <phoneticPr fontId="2"/>
  </si>
  <si>
    <t>5138</t>
    <phoneticPr fontId="2"/>
  </si>
  <si>
    <t>0550</t>
    <phoneticPr fontId="2"/>
  </si>
  <si>
    <t>綾瀬上土棚①</t>
    <phoneticPr fontId="2"/>
  </si>
  <si>
    <t>5139</t>
    <phoneticPr fontId="2"/>
  </si>
  <si>
    <t>0551</t>
    <phoneticPr fontId="2"/>
  </si>
  <si>
    <t>綾瀬上土棚②</t>
    <phoneticPr fontId="2"/>
  </si>
  <si>
    <t>5140</t>
    <phoneticPr fontId="2"/>
  </si>
  <si>
    <t xml:space="preserve">TE01374773 </t>
    <phoneticPr fontId="2"/>
  </si>
  <si>
    <t>0552</t>
    <phoneticPr fontId="2"/>
  </si>
  <si>
    <t>5141</t>
    <phoneticPr fontId="2"/>
  </si>
  <si>
    <t>0553</t>
    <phoneticPr fontId="2"/>
  </si>
  <si>
    <t>佐世保</t>
    <phoneticPr fontId="2"/>
  </si>
  <si>
    <t>5142</t>
    <phoneticPr fontId="2"/>
  </si>
  <si>
    <t>0554</t>
    <phoneticPr fontId="2"/>
  </si>
  <si>
    <t>5143</t>
    <phoneticPr fontId="2"/>
  </si>
  <si>
    <t>0555</t>
    <phoneticPr fontId="2"/>
  </si>
  <si>
    <t>市原</t>
    <phoneticPr fontId="2"/>
  </si>
  <si>
    <t>紙幣搬送入替（3島）へのホールコン対応作業</t>
    <phoneticPr fontId="2"/>
  </si>
  <si>
    <t>5144</t>
    <phoneticPr fontId="2"/>
  </si>
  <si>
    <t>0556</t>
    <phoneticPr fontId="2"/>
  </si>
  <si>
    <t>メダル貸しC（31台）へのホールコン対応作業</t>
    <phoneticPr fontId="2"/>
  </si>
  <si>
    <t>5145</t>
    <phoneticPr fontId="2"/>
  </si>
  <si>
    <t>0557</t>
    <phoneticPr fontId="2"/>
  </si>
  <si>
    <t>携帯システム関連／保守料（2月分）</t>
    <phoneticPr fontId="2"/>
  </si>
  <si>
    <t xml:space="preserve">TE01363190 </t>
    <phoneticPr fontId="2"/>
  </si>
  <si>
    <t>0558</t>
    <phoneticPr fontId="2"/>
  </si>
  <si>
    <t>木曽川</t>
    <phoneticPr fontId="2"/>
  </si>
  <si>
    <t>5147</t>
    <phoneticPr fontId="2"/>
  </si>
  <si>
    <t>№560で提出</t>
  </si>
  <si>
    <t>0559</t>
    <phoneticPr fontId="2"/>
  </si>
  <si>
    <t>台コン更新（E→F）／P→S（60）に伴う工事</t>
    <phoneticPr fontId="2"/>
  </si>
  <si>
    <t>5146</t>
    <phoneticPr fontId="2"/>
  </si>
  <si>
    <t>№607,608で再提出</t>
  </si>
  <si>
    <t>0560</t>
    <phoneticPr fontId="2"/>
  </si>
  <si>
    <t xml:space="preserve">TE01369972 </t>
    <phoneticPr fontId="2"/>
  </si>
  <si>
    <t>0561</t>
    <phoneticPr fontId="2"/>
  </si>
  <si>
    <t>0562</t>
    <phoneticPr fontId="2"/>
  </si>
  <si>
    <t>売上機変更（374台）へのホールコン対応作業</t>
    <phoneticPr fontId="2"/>
  </si>
  <si>
    <t>5148</t>
    <phoneticPr fontId="2"/>
  </si>
  <si>
    <t>0563</t>
    <phoneticPr fontId="2"/>
  </si>
  <si>
    <t xml:space="preserve">TE01363175 </t>
    <phoneticPr fontId="2"/>
  </si>
  <si>
    <t>0564</t>
    <phoneticPr fontId="2"/>
  </si>
  <si>
    <t>0565</t>
    <phoneticPr fontId="2"/>
  </si>
  <si>
    <t>茂原</t>
    <phoneticPr fontId="2"/>
  </si>
  <si>
    <t>紙幣搬送入替（8島）へのホールコン対応作業</t>
    <phoneticPr fontId="2"/>
  </si>
  <si>
    <t>5149</t>
    <phoneticPr fontId="2"/>
  </si>
  <si>
    <t>0566</t>
    <phoneticPr fontId="2"/>
  </si>
  <si>
    <t>日野</t>
    <phoneticPr fontId="2"/>
  </si>
  <si>
    <t>5150</t>
    <phoneticPr fontId="2"/>
  </si>
  <si>
    <t>0567</t>
    <phoneticPr fontId="2"/>
  </si>
  <si>
    <t>M'sネット撤去作業（TMDV/一体型：1台）</t>
    <phoneticPr fontId="2"/>
  </si>
  <si>
    <t>5151</t>
    <phoneticPr fontId="2"/>
  </si>
  <si>
    <t>0568</t>
    <phoneticPr fontId="2"/>
  </si>
  <si>
    <t>個別計数機撤去（20台）へのホールコン対応作業</t>
    <phoneticPr fontId="2"/>
  </si>
  <si>
    <t>5152</t>
    <phoneticPr fontId="2"/>
  </si>
  <si>
    <t>0569</t>
    <phoneticPr fontId="2"/>
  </si>
  <si>
    <t>0570</t>
    <phoneticPr fontId="2"/>
  </si>
  <si>
    <t>0571</t>
    <phoneticPr fontId="2"/>
  </si>
  <si>
    <t>インスペクトラ S時計様向けシステム改善</t>
    <phoneticPr fontId="2"/>
  </si>
  <si>
    <t>0572</t>
    <phoneticPr fontId="2"/>
  </si>
  <si>
    <t>模擬島試験機据付工事</t>
    <phoneticPr fontId="2"/>
  </si>
  <si>
    <t>0573</t>
    <phoneticPr fontId="2"/>
  </si>
  <si>
    <t>大間々</t>
    <phoneticPr fontId="2"/>
  </si>
  <si>
    <t>0574</t>
    <phoneticPr fontId="2"/>
  </si>
  <si>
    <t>Web会議セット</t>
    <phoneticPr fontId="2"/>
  </si>
  <si>
    <t>吉田氏依頼／未購入</t>
    <phoneticPr fontId="2"/>
  </si>
  <si>
    <t>0575</t>
    <phoneticPr fontId="2"/>
  </si>
  <si>
    <t>柏</t>
    <phoneticPr fontId="2"/>
  </si>
  <si>
    <t>売上機変更（332台）へのホールコン対応作業</t>
    <phoneticPr fontId="2"/>
  </si>
  <si>
    <t>5157</t>
    <phoneticPr fontId="2"/>
  </si>
  <si>
    <t>0576</t>
    <phoneticPr fontId="2"/>
  </si>
  <si>
    <t>古河</t>
    <phoneticPr fontId="2"/>
  </si>
  <si>
    <t>売上機変更（20台）へのホールコン対応作業</t>
    <phoneticPr fontId="2"/>
  </si>
  <si>
    <t>5074</t>
    <phoneticPr fontId="2"/>
  </si>
  <si>
    <t>0577</t>
    <phoneticPr fontId="2"/>
  </si>
  <si>
    <t>売上機変更（136台）へのホールコン対応作業</t>
    <phoneticPr fontId="2"/>
  </si>
  <si>
    <t>5081</t>
    <phoneticPr fontId="2"/>
  </si>
  <si>
    <t xml:space="preserve">TE01367245 </t>
    <phoneticPr fontId="2"/>
  </si>
  <si>
    <t>0578</t>
    <phoneticPr fontId="2"/>
  </si>
  <si>
    <t>裾野北</t>
    <phoneticPr fontId="2"/>
  </si>
  <si>
    <t>5084</t>
    <phoneticPr fontId="2"/>
  </si>
  <si>
    <t>0579</t>
    <phoneticPr fontId="2"/>
  </si>
  <si>
    <t>その他工事／紙幣搬送入替（3島）へのホールコン対応作業</t>
    <phoneticPr fontId="2"/>
  </si>
  <si>
    <t>5158</t>
    <phoneticPr fontId="2"/>
  </si>
  <si>
    <t>0580</t>
    <phoneticPr fontId="2"/>
  </si>
  <si>
    <t>若林</t>
    <phoneticPr fontId="2"/>
  </si>
  <si>
    <t>売上機変更（360台）へのホールコン対応作業</t>
    <phoneticPr fontId="2"/>
  </si>
  <si>
    <t>5093</t>
    <phoneticPr fontId="2"/>
  </si>
  <si>
    <t>0581</t>
    <phoneticPr fontId="2"/>
  </si>
  <si>
    <t>売上機変更（240台）へのホールコン対応作業</t>
    <phoneticPr fontId="2"/>
  </si>
  <si>
    <t>5094</t>
    <phoneticPr fontId="2"/>
  </si>
  <si>
    <t>0582</t>
    <phoneticPr fontId="2"/>
  </si>
  <si>
    <t>貝塚南</t>
    <phoneticPr fontId="2"/>
  </si>
  <si>
    <t>0583</t>
    <phoneticPr fontId="2"/>
  </si>
  <si>
    <t>苫小牧</t>
    <phoneticPr fontId="2"/>
  </si>
  <si>
    <t>0584</t>
    <phoneticPr fontId="2"/>
  </si>
  <si>
    <t>保守作業／代表ランプ動作不良</t>
    <phoneticPr fontId="2"/>
  </si>
  <si>
    <t>復旧</t>
  </si>
  <si>
    <t>0585</t>
    <phoneticPr fontId="2"/>
  </si>
  <si>
    <t>萩原東</t>
    <phoneticPr fontId="2"/>
  </si>
  <si>
    <t>5085</t>
    <phoneticPr fontId="2"/>
  </si>
  <si>
    <t xml:space="preserve">TE01372234 </t>
    <phoneticPr fontId="2"/>
  </si>
  <si>
    <t>0586</t>
    <phoneticPr fontId="2"/>
  </si>
  <si>
    <t>個別計数機増設（240台）へのホールコン対応作業</t>
    <phoneticPr fontId="2"/>
  </si>
  <si>
    <t>5153</t>
    <phoneticPr fontId="2"/>
  </si>
  <si>
    <t>0587</t>
    <phoneticPr fontId="2"/>
  </si>
  <si>
    <t>西脇</t>
    <phoneticPr fontId="2"/>
  </si>
  <si>
    <t>5154</t>
    <phoneticPr fontId="2"/>
  </si>
  <si>
    <t>0588</t>
    <phoneticPr fontId="2"/>
  </si>
  <si>
    <t>紙幣搬送入替（6島）へのホールコン対応作業</t>
    <phoneticPr fontId="2"/>
  </si>
  <si>
    <t>5155</t>
    <phoneticPr fontId="2"/>
  </si>
  <si>
    <t>0589</t>
    <phoneticPr fontId="2"/>
  </si>
  <si>
    <t>5156</t>
    <phoneticPr fontId="2"/>
  </si>
  <si>
    <t>0590</t>
    <phoneticPr fontId="2"/>
  </si>
  <si>
    <t>P増台（8台）へのホールコン対応作業</t>
    <phoneticPr fontId="2"/>
  </si>
  <si>
    <t>5159</t>
    <phoneticPr fontId="2"/>
  </si>
  <si>
    <t>0591</t>
    <phoneticPr fontId="2"/>
  </si>
  <si>
    <t>厚木</t>
    <phoneticPr fontId="2"/>
  </si>
  <si>
    <t>5160</t>
    <phoneticPr fontId="2"/>
  </si>
  <si>
    <t xml:space="preserve">TE01374278 </t>
    <phoneticPr fontId="2"/>
  </si>
  <si>
    <t>0592</t>
    <phoneticPr fontId="2"/>
  </si>
  <si>
    <t>大型計数機撤去（5台）へのホールコン対応作業</t>
    <phoneticPr fontId="2"/>
  </si>
  <si>
    <t>5161</t>
    <phoneticPr fontId="2"/>
  </si>
  <si>
    <t>4/12中止</t>
  </si>
  <si>
    <t>0593</t>
    <phoneticPr fontId="2"/>
  </si>
  <si>
    <t>5162</t>
    <phoneticPr fontId="2"/>
  </si>
  <si>
    <t xml:space="preserve">TE01373656 </t>
    <phoneticPr fontId="2"/>
  </si>
  <si>
    <t>0594</t>
    <phoneticPr fontId="2"/>
  </si>
  <si>
    <t>模擬島／セキュリティー部屋　KVMスイッチ</t>
    <phoneticPr fontId="2"/>
  </si>
  <si>
    <t xml:space="preserve">TE01366310 </t>
    <phoneticPr fontId="2"/>
  </si>
  <si>
    <t>FF件名：開発部材設置</t>
    <phoneticPr fontId="2"/>
  </si>
  <si>
    <t>0595</t>
    <phoneticPr fontId="2"/>
  </si>
  <si>
    <t>5105</t>
    <phoneticPr fontId="2"/>
  </si>
  <si>
    <t>0596</t>
    <phoneticPr fontId="2"/>
  </si>
  <si>
    <t>5165</t>
    <phoneticPr fontId="2"/>
  </si>
  <si>
    <t>0597</t>
    <phoneticPr fontId="2"/>
  </si>
  <si>
    <t>玉補給機交換（パルコン→TCP1／156台）へのホールコン対応作業</t>
    <phoneticPr fontId="2"/>
  </si>
  <si>
    <t>5164</t>
    <phoneticPr fontId="2"/>
  </si>
  <si>
    <t>0598</t>
    <phoneticPr fontId="2"/>
  </si>
  <si>
    <t>3/4中止</t>
  </si>
  <si>
    <t>0599</t>
    <phoneticPr fontId="2"/>
  </si>
  <si>
    <t>新発田</t>
    <phoneticPr fontId="2"/>
  </si>
  <si>
    <t>メダル貸しC（25台）へのホールコン対応作業</t>
    <phoneticPr fontId="2"/>
  </si>
  <si>
    <t>5166</t>
    <phoneticPr fontId="2"/>
  </si>
  <si>
    <t>0600</t>
    <phoneticPr fontId="2"/>
  </si>
  <si>
    <t>5169</t>
    <phoneticPr fontId="2"/>
  </si>
  <si>
    <t>0601</t>
    <phoneticPr fontId="2"/>
  </si>
  <si>
    <t>5168</t>
    <phoneticPr fontId="2"/>
  </si>
  <si>
    <t>3/18：作業なし、エース電研のみ入店</t>
  </si>
  <si>
    <t>0602</t>
    <phoneticPr fontId="2"/>
  </si>
  <si>
    <t>金沢</t>
    <phoneticPr fontId="2"/>
  </si>
  <si>
    <t>メダル貸しC（75台）へのホールコン対応作業</t>
    <phoneticPr fontId="2"/>
  </si>
  <si>
    <t>5167</t>
    <phoneticPr fontId="2"/>
  </si>
  <si>
    <t>0603</t>
    <phoneticPr fontId="2"/>
  </si>
  <si>
    <t>玉補給機交換（パルコン→TCP1／720台）へのホールコン対応作業</t>
    <phoneticPr fontId="2"/>
  </si>
  <si>
    <t>5170</t>
    <phoneticPr fontId="2"/>
  </si>
  <si>
    <t>0604</t>
    <phoneticPr fontId="2"/>
  </si>
  <si>
    <t>鹿浜</t>
    <phoneticPr fontId="2"/>
  </si>
  <si>
    <t>5124</t>
    <phoneticPr fontId="2"/>
  </si>
  <si>
    <t xml:space="preserve">TE01367781 </t>
    <phoneticPr fontId="2"/>
  </si>
  <si>
    <t>0605</t>
    <phoneticPr fontId="2"/>
  </si>
  <si>
    <t>石和</t>
    <phoneticPr fontId="2"/>
  </si>
  <si>
    <t>5131</t>
    <phoneticPr fontId="2"/>
  </si>
  <si>
    <t xml:space="preserve">TE01368297 </t>
    <phoneticPr fontId="2"/>
  </si>
  <si>
    <t>0606</t>
    <phoneticPr fontId="2"/>
  </si>
  <si>
    <t>0607</t>
    <phoneticPr fontId="2"/>
  </si>
  <si>
    <t>堺①</t>
    <phoneticPr fontId="2"/>
  </si>
  <si>
    <t>台コン更新（E→F）／P→S（60）に伴う工事／施工業務</t>
    <phoneticPr fontId="2"/>
  </si>
  <si>
    <t>5146k①</t>
    <phoneticPr fontId="2"/>
  </si>
  <si>
    <t xml:space="preserve">TE01367252 </t>
    <phoneticPr fontId="2"/>
  </si>
  <si>
    <t>0608</t>
    <phoneticPr fontId="2"/>
  </si>
  <si>
    <t>堺②</t>
    <phoneticPr fontId="2"/>
  </si>
  <si>
    <t>台コン更新（E→F）／P→S（60）に伴う工事／管理・セットアップ業務</t>
    <phoneticPr fontId="2"/>
  </si>
  <si>
    <t>5146k②</t>
    <phoneticPr fontId="2"/>
  </si>
  <si>
    <t xml:space="preserve">TE01367256 </t>
    <phoneticPr fontId="2"/>
  </si>
  <si>
    <t>0609</t>
    <phoneticPr fontId="2"/>
  </si>
  <si>
    <t>個別計数機増設（78台）へのホールコン対応作業</t>
    <phoneticPr fontId="2"/>
  </si>
  <si>
    <t>5122</t>
    <phoneticPr fontId="2"/>
  </si>
  <si>
    <t>0610</t>
    <phoneticPr fontId="2"/>
  </si>
  <si>
    <t>個別計数機増設（198台）へのホールコン対応作業</t>
    <phoneticPr fontId="2"/>
  </si>
  <si>
    <t>5123</t>
    <phoneticPr fontId="2"/>
  </si>
  <si>
    <t>0611</t>
    <phoneticPr fontId="2"/>
  </si>
  <si>
    <t>5132</t>
    <phoneticPr fontId="2"/>
  </si>
  <si>
    <t>0612</t>
    <phoneticPr fontId="2"/>
  </si>
  <si>
    <t>5127</t>
    <phoneticPr fontId="2"/>
  </si>
  <si>
    <t>0613</t>
    <phoneticPr fontId="2"/>
  </si>
  <si>
    <t>個別計数機増設（160台）へのホールコン対応作業</t>
    <phoneticPr fontId="2"/>
  </si>
  <si>
    <t>5125</t>
    <phoneticPr fontId="2"/>
  </si>
  <si>
    <t>0614</t>
    <phoneticPr fontId="2"/>
  </si>
  <si>
    <t>個別計数機増設（64台）へのホールコン対応作業</t>
    <phoneticPr fontId="2"/>
  </si>
  <si>
    <t>5129</t>
    <phoneticPr fontId="2"/>
  </si>
  <si>
    <t>0615</t>
    <phoneticPr fontId="2"/>
  </si>
  <si>
    <t>千葉ニュータウン</t>
    <phoneticPr fontId="2"/>
  </si>
  <si>
    <t>売上機変更（140台）へのホールコン対応作業</t>
    <phoneticPr fontId="2"/>
  </si>
  <si>
    <t>5078</t>
    <phoneticPr fontId="2"/>
  </si>
  <si>
    <t xml:space="preserve">TE01368877 </t>
    <phoneticPr fontId="2"/>
  </si>
  <si>
    <t>0616</t>
    <phoneticPr fontId="2"/>
  </si>
  <si>
    <t>古河②</t>
    <phoneticPr fontId="2"/>
  </si>
  <si>
    <t>5174</t>
    <phoneticPr fontId="2"/>
  </si>
  <si>
    <t>0617</t>
    <phoneticPr fontId="2"/>
  </si>
  <si>
    <t>5128</t>
    <phoneticPr fontId="2"/>
  </si>
  <si>
    <t>0618</t>
    <phoneticPr fontId="2"/>
  </si>
  <si>
    <t>5082</t>
    <phoneticPr fontId="2"/>
  </si>
  <si>
    <t>0619</t>
    <phoneticPr fontId="2"/>
  </si>
  <si>
    <t>函南①</t>
    <phoneticPr fontId="2"/>
  </si>
  <si>
    <t>売上機変更（144台）へのホールコン対応作業</t>
    <phoneticPr fontId="2"/>
  </si>
  <si>
    <t>5086</t>
    <phoneticPr fontId="2"/>
  </si>
  <si>
    <t>0620</t>
    <phoneticPr fontId="2"/>
  </si>
  <si>
    <t>函南②</t>
    <phoneticPr fontId="2"/>
  </si>
  <si>
    <t>売上機変更（108台）へのホールコン対応作業</t>
    <phoneticPr fontId="2"/>
  </si>
  <si>
    <t>0621</t>
    <phoneticPr fontId="2"/>
  </si>
  <si>
    <t>5087</t>
    <phoneticPr fontId="2"/>
  </si>
  <si>
    <t>0622</t>
    <phoneticPr fontId="2"/>
  </si>
  <si>
    <t>静岡①</t>
    <phoneticPr fontId="2"/>
  </si>
  <si>
    <t>売上機変更（440台）へのホールコン対応作業</t>
    <phoneticPr fontId="2"/>
  </si>
  <si>
    <t>5088</t>
    <phoneticPr fontId="2"/>
  </si>
  <si>
    <t>0623</t>
    <phoneticPr fontId="2"/>
  </si>
  <si>
    <t>静岡②</t>
    <phoneticPr fontId="2"/>
  </si>
  <si>
    <t>その他工事／紙幣搬送入替（1島）へのホールコン対応作業</t>
    <phoneticPr fontId="2"/>
  </si>
  <si>
    <t>5173</t>
    <phoneticPr fontId="2"/>
  </si>
  <si>
    <t>0624</t>
    <phoneticPr fontId="2"/>
  </si>
  <si>
    <t>鳥坂</t>
    <phoneticPr fontId="2"/>
  </si>
  <si>
    <t>5089</t>
    <phoneticPr fontId="2"/>
  </si>
  <si>
    <t>0625</t>
    <phoneticPr fontId="2"/>
  </si>
  <si>
    <t>5102</t>
    <phoneticPr fontId="2"/>
  </si>
  <si>
    <t>0626</t>
    <phoneticPr fontId="2"/>
  </si>
  <si>
    <t>売上機変更（560台）へのホールコン対応作業</t>
    <phoneticPr fontId="2"/>
  </si>
  <si>
    <t>5106</t>
    <phoneticPr fontId="2"/>
  </si>
  <si>
    <t>0627</t>
    <phoneticPr fontId="2"/>
  </si>
  <si>
    <t>加治木①</t>
    <phoneticPr fontId="2"/>
  </si>
  <si>
    <t>5111</t>
    <phoneticPr fontId="2"/>
  </si>
  <si>
    <t>0628</t>
    <phoneticPr fontId="2"/>
  </si>
  <si>
    <t>加治木②</t>
    <phoneticPr fontId="2"/>
  </si>
  <si>
    <t>その他工事／紙幣搬送入替（6島）へのホールコン対応作業</t>
    <phoneticPr fontId="2"/>
  </si>
  <si>
    <t>5172</t>
    <phoneticPr fontId="2"/>
  </si>
  <si>
    <t>0629</t>
    <phoneticPr fontId="2"/>
  </si>
  <si>
    <t>店舗運用／保守定例会①</t>
    <phoneticPr fontId="2"/>
  </si>
  <si>
    <t>0630</t>
    <phoneticPr fontId="2"/>
  </si>
  <si>
    <t>店舗運用／保守定例会②</t>
    <phoneticPr fontId="2"/>
  </si>
  <si>
    <t>交通費2/3／吉田氏</t>
    <phoneticPr fontId="2"/>
  </si>
  <si>
    <t>0631</t>
    <phoneticPr fontId="2"/>
  </si>
  <si>
    <t>店舗運用／保守定例会③</t>
    <phoneticPr fontId="2"/>
  </si>
  <si>
    <t>交通費3/3／吉田氏</t>
    <phoneticPr fontId="2"/>
  </si>
  <si>
    <t>0632</t>
    <phoneticPr fontId="2"/>
  </si>
  <si>
    <t>0633</t>
    <phoneticPr fontId="2"/>
  </si>
  <si>
    <t>0634</t>
    <phoneticPr fontId="2"/>
  </si>
  <si>
    <t>鷹岡</t>
    <phoneticPr fontId="2"/>
  </si>
  <si>
    <t xml:space="preserve">TE01367205 </t>
    <phoneticPr fontId="2"/>
  </si>
  <si>
    <t>0635</t>
    <phoneticPr fontId="2"/>
  </si>
  <si>
    <t>5090</t>
    <phoneticPr fontId="2"/>
  </si>
  <si>
    <t>0636</t>
    <phoneticPr fontId="2"/>
  </si>
  <si>
    <t>5076</t>
    <phoneticPr fontId="2"/>
  </si>
  <si>
    <t>0637</t>
    <phoneticPr fontId="2"/>
  </si>
  <si>
    <t>メダル貸しC（37台）へのホールコン対応作業</t>
    <phoneticPr fontId="2"/>
  </si>
  <si>
    <t>5176</t>
    <phoneticPr fontId="2"/>
  </si>
  <si>
    <t>0638</t>
    <phoneticPr fontId="2"/>
  </si>
  <si>
    <t>5175</t>
    <phoneticPr fontId="2"/>
  </si>
  <si>
    <t>0639</t>
    <phoneticPr fontId="2"/>
  </si>
  <si>
    <t>保守作業／無償対応</t>
    <phoneticPr fontId="2"/>
  </si>
  <si>
    <t>0640</t>
    <phoneticPr fontId="2"/>
  </si>
  <si>
    <t>動作確認／CNT用タブレット</t>
    <phoneticPr fontId="2"/>
  </si>
  <si>
    <t xml:space="preserve">TE01385827 </t>
    <phoneticPr fontId="2"/>
  </si>
  <si>
    <t>0641</t>
    <phoneticPr fontId="2"/>
  </si>
  <si>
    <t>動作確認／CNTタッチパネル</t>
    <phoneticPr fontId="2"/>
  </si>
  <si>
    <t xml:space="preserve">TE01372238 </t>
    <phoneticPr fontId="2"/>
  </si>
  <si>
    <t>0642</t>
    <phoneticPr fontId="2"/>
  </si>
  <si>
    <t xml:space="preserve">TE01367239 </t>
    <phoneticPr fontId="2"/>
  </si>
  <si>
    <t>0643</t>
    <phoneticPr fontId="2"/>
  </si>
  <si>
    <t>動作確認／TMDV-D</t>
    <phoneticPr fontId="2"/>
  </si>
  <si>
    <t>0644</t>
    <phoneticPr fontId="2"/>
  </si>
  <si>
    <t xml:space="preserve">TE01365999 </t>
    <phoneticPr fontId="2"/>
  </si>
  <si>
    <t>0645</t>
    <phoneticPr fontId="2"/>
  </si>
  <si>
    <t>個別計数機増設（434台）へのホールコン対応作業</t>
    <phoneticPr fontId="2"/>
  </si>
  <si>
    <t>5079</t>
    <phoneticPr fontId="2"/>
  </si>
  <si>
    <t>0646</t>
    <phoneticPr fontId="2"/>
  </si>
  <si>
    <t>八千代東①</t>
    <phoneticPr fontId="2"/>
  </si>
  <si>
    <t>売上機変更（320台）へのホールコン対応作業</t>
    <phoneticPr fontId="2"/>
  </si>
  <si>
    <t>5077</t>
    <phoneticPr fontId="2"/>
  </si>
  <si>
    <t>0647</t>
    <phoneticPr fontId="2"/>
  </si>
  <si>
    <t>八千代東②</t>
    <phoneticPr fontId="2"/>
  </si>
  <si>
    <t>その他工事／紙幣搬送入替（4島）へのホールコン対応作業</t>
    <phoneticPr fontId="2"/>
  </si>
  <si>
    <t>5177</t>
    <phoneticPr fontId="2"/>
  </si>
  <si>
    <t>0648</t>
    <phoneticPr fontId="2"/>
  </si>
  <si>
    <t>富士宮駅南</t>
    <phoneticPr fontId="2"/>
  </si>
  <si>
    <t>マルハン富士宮駅南店</t>
    <phoneticPr fontId="2"/>
  </si>
  <si>
    <t>5083</t>
    <phoneticPr fontId="2"/>
  </si>
  <si>
    <t>0649</t>
    <phoneticPr fontId="2"/>
  </si>
  <si>
    <t>萩原東②</t>
    <phoneticPr fontId="2"/>
  </si>
  <si>
    <t>その他工事／紙幣搬送入替（5島）へのホールコン対応作業</t>
    <phoneticPr fontId="2"/>
  </si>
  <si>
    <t>5179</t>
    <phoneticPr fontId="2"/>
  </si>
  <si>
    <t>0650</t>
    <phoneticPr fontId="2"/>
  </si>
  <si>
    <t>島田②</t>
    <phoneticPr fontId="2"/>
  </si>
  <si>
    <t>その他工事／紙幣搬送入替（8島）へのホールコン対応作業</t>
    <phoneticPr fontId="2"/>
  </si>
  <si>
    <t>5178</t>
    <phoneticPr fontId="2"/>
  </si>
  <si>
    <t>0651</t>
    <phoneticPr fontId="2"/>
  </si>
  <si>
    <t>島田①</t>
    <phoneticPr fontId="2"/>
  </si>
  <si>
    <t>5091</t>
    <phoneticPr fontId="2"/>
  </si>
  <si>
    <t>0652</t>
    <phoneticPr fontId="2"/>
  </si>
  <si>
    <t>5095</t>
    <phoneticPr fontId="2"/>
  </si>
  <si>
    <t>0653</t>
    <phoneticPr fontId="2"/>
  </si>
  <si>
    <t>売上機変更（180台）へのホールコン対応作業</t>
    <phoneticPr fontId="2"/>
  </si>
  <si>
    <t>5104</t>
    <phoneticPr fontId="2"/>
  </si>
  <si>
    <t>0654</t>
    <phoneticPr fontId="2"/>
  </si>
  <si>
    <t>宮崎</t>
    <phoneticPr fontId="2"/>
  </si>
  <si>
    <t>0655</t>
    <phoneticPr fontId="2"/>
  </si>
  <si>
    <t>5110</t>
    <phoneticPr fontId="2"/>
  </si>
  <si>
    <t>0656</t>
    <phoneticPr fontId="2"/>
  </si>
  <si>
    <t>保守作業／カウンタコンピュータ代替機セットアップ</t>
    <phoneticPr fontId="2"/>
  </si>
  <si>
    <t>0657</t>
    <phoneticPr fontId="2"/>
  </si>
  <si>
    <t>POS老朽化更新／2月分</t>
    <phoneticPr fontId="2"/>
  </si>
  <si>
    <t>0658</t>
    <phoneticPr fontId="2"/>
  </si>
  <si>
    <t>保守作業／初期対応</t>
    <phoneticPr fontId="2"/>
  </si>
  <si>
    <t>0659</t>
    <phoneticPr fontId="2"/>
  </si>
  <si>
    <t>保守作業／故障品引上げ</t>
    <phoneticPr fontId="2"/>
  </si>
  <si>
    <t>0660</t>
    <phoneticPr fontId="2"/>
  </si>
  <si>
    <t>TMDV-K／リフレッシュ作業</t>
    <phoneticPr fontId="2"/>
  </si>
  <si>
    <t>0661</t>
    <phoneticPr fontId="2"/>
  </si>
  <si>
    <t>TFC工程フロー作成(VP1/VUP/VHP)</t>
    <phoneticPr fontId="2"/>
  </si>
  <si>
    <t xml:space="preserve">TE01368296 </t>
    <phoneticPr fontId="2"/>
  </si>
  <si>
    <t>0662</t>
    <phoneticPr fontId="2"/>
  </si>
  <si>
    <t>アクトシステムズ：メール集計処理</t>
    <phoneticPr fontId="2"/>
  </si>
  <si>
    <t>0663</t>
    <phoneticPr fontId="2"/>
  </si>
  <si>
    <t>アクトシステムズ：物件確認シートマクロ</t>
    <phoneticPr fontId="2"/>
  </si>
  <si>
    <t>0664</t>
    <phoneticPr fontId="2"/>
  </si>
  <si>
    <t>5180</t>
    <phoneticPr fontId="2"/>
  </si>
  <si>
    <t>0665</t>
    <phoneticPr fontId="2"/>
  </si>
  <si>
    <t>0666</t>
    <phoneticPr fontId="2"/>
  </si>
  <si>
    <t>高知桟橋</t>
    <phoneticPr fontId="2"/>
  </si>
  <si>
    <t>0667</t>
    <phoneticPr fontId="2"/>
  </si>
  <si>
    <t>0668</t>
    <phoneticPr fontId="2"/>
  </si>
  <si>
    <t>0669</t>
    <phoneticPr fontId="2"/>
  </si>
  <si>
    <t>0670</t>
    <phoneticPr fontId="2"/>
  </si>
  <si>
    <t>橿原南</t>
    <phoneticPr fontId="2"/>
  </si>
  <si>
    <t>0671</t>
    <phoneticPr fontId="2"/>
  </si>
  <si>
    <t>0672</t>
    <phoneticPr fontId="2"/>
  </si>
  <si>
    <t>0673</t>
    <phoneticPr fontId="2"/>
  </si>
  <si>
    <t>0674</t>
    <phoneticPr fontId="2"/>
  </si>
  <si>
    <t>0675</t>
    <phoneticPr fontId="2"/>
  </si>
  <si>
    <t>保守作業／UPS交換作業</t>
    <phoneticPr fontId="2"/>
  </si>
  <si>
    <t>0676</t>
    <phoneticPr fontId="2"/>
  </si>
  <si>
    <t>インスペクトラ S時計様向けシステム改善（表示機能改良）</t>
    <phoneticPr fontId="2"/>
  </si>
  <si>
    <t xml:space="preserve">TE01368912 </t>
    <phoneticPr fontId="2"/>
  </si>
  <si>
    <t>0677</t>
    <phoneticPr fontId="2"/>
  </si>
  <si>
    <t>インスペクトラ S時計様向けシステム改善（出力・印刷機能改良）</t>
    <phoneticPr fontId="2"/>
  </si>
  <si>
    <t>0678</t>
    <phoneticPr fontId="2"/>
  </si>
  <si>
    <t>滋賀県販売士協会</t>
    <phoneticPr fontId="2"/>
  </si>
  <si>
    <t>販売士の活かし方セミナー</t>
    <phoneticPr fontId="2"/>
  </si>
  <si>
    <t>64,800円⇒講師代30,000円</t>
  </si>
  <si>
    <t>0679</t>
    <phoneticPr fontId="2"/>
  </si>
  <si>
    <t>PHCセットアップ作業補助／2月度分</t>
    <phoneticPr fontId="2"/>
  </si>
  <si>
    <t>0680</t>
    <phoneticPr fontId="2"/>
  </si>
  <si>
    <t>4/27:見積有効期限切れ</t>
    <phoneticPr fontId="2"/>
  </si>
  <si>
    <t>0681</t>
    <phoneticPr fontId="2"/>
  </si>
  <si>
    <t>LM5サーバー管理端末セットアップ</t>
    <phoneticPr fontId="2"/>
  </si>
  <si>
    <t>0682</t>
    <phoneticPr fontId="2"/>
  </si>
  <si>
    <t>なんば本館S</t>
    <phoneticPr fontId="2"/>
  </si>
  <si>
    <t>老朽化更新：マルチコントローラ導入工事　※緊急対応</t>
    <phoneticPr fontId="2"/>
  </si>
  <si>
    <t>0683</t>
    <phoneticPr fontId="2"/>
  </si>
  <si>
    <t>5182</t>
    <phoneticPr fontId="2"/>
  </si>
  <si>
    <t>0684</t>
    <phoneticPr fontId="2"/>
  </si>
  <si>
    <t>その他工事／紙幣搬送入替（22島）へのホールコン対応作業</t>
    <phoneticPr fontId="2"/>
  </si>
  <si>
    <t>5183</t>
    <phoneticPr fontId="2"/>
  </si>
  <si>
    <t>0685</t>
    <phoneticPr fontId="2"/>
  </si>
  <si>
    <t>新大蔵谷</t>
    <phoneticPr fontId="2"/>
  </si>
  <si>
    <t>PHC_新店舗工事施工業務</t>
    <phoneticPr fontId="2"/>
  </si>
  <si>
    <t xml:space="preserve">TE01368870 </t>
    <phoneticPr fontId="2"/>
  </si>
  <si>
    <t>0686</t>
    <phoneticPr fontId="2"/>
  </si>
  <si>
    <t>PHC_新店舗オープン対応業務</t>
    <phoneticPr fontId="2"/>
  </si>
  <si>
    <t>5月</t>
    <phoneticPr fontId="2"/>
  </si>
  <si>
    <t>0687</t>
    <phoneticPr fontId="2"/>
  </si>
  <si>
    <t>長岡平島</t>
    <phoneticPr fontId="2"/>
  </si>
  <si>
    <t>0688</t>
    <phoneticPr fontId="2"/>
  </si>
  <si>
    <t>ディスプレイコントローラ（3台）増設作業</t>
    <phoneticPr fontId="2"/>
  </si>
  <si>
    <t>5185</t>
    <phoneticPr fontId="2"/>
  </si>
  <si>
    <t>4/27：見積有効期限切れ</t>
  </si>
  <si>
    <t>0689</t>
    <phoneticPr fontId="2"/>
  </si>
  <si>
    <t>保守対応業務</t>
    <phoneticPr fontId="2"/>
  </si>
  <si>
    <t>4/18返却</t>
  </si>
  <si>
    <t>0690</t>
    <phoneticPr fontId="2"/>
  </si>
  <si>
    <t>5181</t>
    <phoneticPr fontId="2"/>
  </si>
  <si>
    <t>0691</t>
    <phoneticPr fontId="2"/>
  </si>
  <si>
    <t>富山</t>
    <phoneticPr fontId="2"/>
  </si>
  <si>
    <t>個別計数機撤去（160台）へのホールコン対応作業</t>
    <phoneticPr fontId="2"/>
  </si>
  <si>
    <t>5186</t>
    <phoneticPr fontId="2"/>
  </si>
  <si>
    <t xml:space="preserve">TE01378044 </t>
    <phoneticPr fontId="2"/>
  </si>
  <si>
    <t>0692</t>
    <phoneticPr fontId="2"/>
  </si>
  <si>
    <t>加治木</t>
    <phoneticPr fontId="2"/>
  </si>
  <si>
    <t>KKS工事／サンド交換対応</t>
    <phoneticPr fontId="2"/>
  </si>
  <si>
    <t>YPORM</t>
    <phoneticPr fontId="2"/>
  </si>
  <si>
    <t>1059k</t>
    <phoneticPr fontId="2"/>
  </si>
  <si>
    <t>テンペストシステムズ</t>
  </si>
  <si>
    <t>0693</t>
    <phoneticPr fontId="2"/>
  </si>
  <si>
    <t>0694</t>
    <phoneticPr fontId="2"/>
  </si>
  <si>
    <t>裾野北②</t>
    <phoneticPr fontId="2"/>
  </si>
  <si>
    <t>紙幣搬送入替えに伴う工事／追加作業</t>
    <phoneticPr fontId="2"/>
  </si>
  <si>
    <t>金庫割付追加作業(3/4確認)</t>
  </si>
  <si>
    <t>0695</t>
    <phoneticPr fontId="2"/>
  </si>
  <si>
    <t>携帯システム関連／保守料（3月分）</t>
    <phoneticPr fontId="2"/>
  </si>
  <si>
    <t xml:space="preserve">TE01372978 </t>
    <phoneticPr fontId="2"/>
  </si>
  <si>
    <t>0696</t>
    <phoneticPr fontId="2"/>
  </si>
  <si>
    <t>0697</t>
    <phoneticPr fontId="2"/>
  </si>
  <si>
    <t>恵庭</t>
    <phoneticPr fontId="2"/>
  </si>
  <si>
    <t>既存ランプ交換（160台：既存ランプ→レボラ）へのホールコン対応作業</t>
    <phoneticPr fontId="2"/>
  </si>
  <si>
    <t>5187</t>
    <phoneticPr fontId="2"/>
  </si>
  <si>
    <t>0698</t>
    <phoneticPr fontId="2"/>
  </si>
  <si>
    <t>七尾</t>
    <phoneticPr fontId="2"/>
  </si>
  <si>
    <t>P増台（18台）へのホールコン対応作業</t>
    <phoneticPr fontId="2"/>
  </si>
  <si>
    <t>5188</t>
    <phoneticPr fontId="2"/>
  </si>
  <si>
    <t>0699</t>
    <phoneticPr fontId="2"/>
  </si>
  <si>
    <t>M'sネット撤去作業（TMDV/分離型：2台）</t>
    <phoneticPr fontId="2"/>
  </si>
  <si>
    <t>5189</t>
    <phoneticPr fontId="2"/>
  </si>
  <si>
    <t>5/6見積有効期限切れ</t>
  </si>
  <si>
    <t>0700</t>
    <phoneticPr fontId="2"/>
  </si>
  <si>
    <t>S増台（32台）／S減台（16台）へのホールコン対応作業</t>
    <phoneticPr fontId="2"/>
  </si>
  <si>
    <t>5190</t>
    <phoneticPr fontId="2"/>
  </si>
  <si>
    <t>TE01378323</t>
    <phoneticPr fontId="2"/>
  </si>
  <si>
    <t>0701</t>
    <phoneticPr fontId="2"/>
  </si>
  <si>
    <t>5191</t>
    <phoneticPr fontId="2"/>
  </si>
  <si>
    <t>0702</t>
    <phoneticPr fontId="2"/>
  </si>
  <si>
    <t>白石</t>
    <phoneticPr fontId="2"/>
  </si>
  <si>
    <t>P増台（18台）／玉貸しC（40台）へのホールコン対応作業</t>
    <phoneticPr fontId="2"/>
  </si>
  <si>
    <t>5192</t>
    <phoneticPr fontId="2"/>
  </si>
  <si>
    <t>0703</t>
    <phoneticPr fontId="2"/>
  </si>
  <si>
    <t>個別計数機増設減台（320台）へのホールコン対応作業</t>
    <phoneticPr fontId="2"/>
  </si>
  <si>
    <t>5193</t>
    <phoneticPr fontId="2"/>
  </si>
  <si>
    <t>0704</t>
    <phoneticPr fontId="2"/>
  </si>
  <si>
    <t>5075</t>
    <phoneticPr fontId="2"/>
  </si>
  <si>
    <t>0705</t>
    <phoneticPr fontId="2"/>
  </si>
  <si>
    <t>5099</t>
    <phoneticPr fontId="2"/>
  </si>
  <si>
    <t>0706</t>
    <phoneticPr fontId="2"/>
  </si>
  <si>
    <t>袋井東西</t>
    <phoneticPr fontId="2"/>
  </si>
  <si>
    <t>売上機変更（452台）へのホールコン対応作業</t>
    <phoneticPr fontId="2"/>
  </si>
  <si>
    <t>5092</t>
    <phoneticPr fontId="2"/>
  </si>
  <si>
    <t>0707</t>
    <phoneticPr fontId="2"/>
  </si>
  <si>
    <t>紙幣搬送入替（3島）へのホールコン対応作業　※追加工事</t>
    <phoneticPr fontId="2"/>
  </si>
  <si>
    <t>5144k</t>
    <phoneticPr fontId="2"/>
  </si>
  <si>
    <t>0708</t>
    <phoneticPr fontId="2"/>
  </si>
  <si>
    <t>2/8対応(№0526)の再発</t>
    <phoneticPr fontId="2"/>
  </si>
  <si>
    <t>0709</t>
    <phoneticPr fontId="2"/>
  </si>
  <si>
    <t>0710</t>
    <phoneticPr fontId="2"/>
  </si>
  <si>
    <t>P台間拡張（8島）へのホールコン対応作業</t>
    <phoneticPr fontId="2"/>
  </si>
  <si>
    <t>5194</t>
    <phoneticPr fontId="2"/>
  </si>
  <si>
    <t xml:space="preserve">TE01379702 </t>
    <phoneticPr fontId="2"/>
  </si>
  <si>
    <t>0711</t>
    <phoneticPr fontId="2"/>
  </si>
  <si>
    <t>5195</t>
    <phoneticPr fontId="2"/>
  </si>
  <si>
    <t xml:space="preserve">TE01376876 </t>
    <phoneticPr fontId="2"/>
  </si>
  <si>
    <t>0712</t>
    <phoneticPr fontId="2"/>
  </si>
  <si>
    <t>大野</t>
    <phoneticPr fontId="2"/>
  </si>
  <si>
    <t>5196</t>
    <phoneticPr fontId="2"/>
  </si>
  <si>
    <t>0713</t>
    <phoneticPr fontId="2"/>
  </si>
  <si>
    <t>0714</t>
    <phoneticPr fontId="2"/>
  </si>
  <si>
    <t xml:space="preserve">TE01370474 </t>
    <phoneticPr fontId="2"/>
  </si>
  <si>
    <t>1本</t>
    <phoneticPr fontId="2"/>
  </si>
  <si>
    <t>0715</t>
    <phoneticPr fontId="2"/>
  </si>
  <si>
    <t xml:space="preserve">TE01373143 </t>
    <phoneticPr fontId="2"/>
  </si>
  <si>
    <t>0716</t>
    <phoneticPr fontId="2"/>
  </si>
  <si>
    <t>東レ三島工場3FYリプレース（１）</t>
    <phoneticPr fontId="2"/>
  </si>
  <si>
    <t xml:space="preserve">TE01372981 </t>
    <phoneticPr fontId="2"/>
  </si>
  <si>
    <t>0717</t>
    <phoneticPr fontId="2"/>
  </si>
  <si>
    <t>習志野</t>
    <phoneticPr fontId="2"/>
  </si>
  <si>
    <t>5200</t>
    <phoneticPr fontId="2"/>
  </si>
  <si>
    <t>0718</t>
    <phoneticPr fontId="2"/>
  </si>
  <si>
    <t>5197</t>
    <phoneticPr fontId="2"/>
  </si>
  <si>
    <t>№0748で再提出／工事内容変更</t>
  </si>
  <si>
    <t>0719</t>
    <phoneticPr fontId="2"/>
  </si>
  <si>
    <t>那須塩原</t>
    <phoneticPr fontId="2"/>
  </si>
  <si>
    <t>5198</t>
    <phoneticPr fontId="2"/>
  </si>
  <si>
    <t>0720</t>
    <phoneticPr fontId="2"/>
  </si>
  <si>
    <t>ダミー個別計数機導入（280台）へのホールコン対応作業</t>
    <phoneticPr fontId="2"/>
  </si>
  <si>
    <t>5199</t>
    <phoneticPr fontId="2"/>
  </si>
  <si>
    <t>0721</t>
    <phoneticPr fontId="2"/>
  </si>
  <si>
    <t>5201</t>
    <phoneticPr fontId="2"/>
  </si>
  <si>
    <t>0722</t>
    <phoneticPr fontId="2"/>
  </si>
  <si>
    <t>5202</t>
    <phoneticPr fontId="2"/>
  </si>
  <si>
    <t>0723</t>
    <phoneticPr fontId="2"/>
  </si>
  <si>
    <t>P増台（12台）／玉貸しC（260台）へのホールコン対応作業</t>
    <phoneticPr fontId="2"/>
  </si>
  <si>
    <t>5204</t>
    <phoneticPr fontId="2"/>
  </si>
  <si>
    <t>0724</t>
    <phoneticPr fontId="2"/>
  </si>
  <si>
    <t>液晶ランプ整備費用(4月)</t>
    <phoneticPr fontId="2"/>
  </si>
  <si>
    <t>0725</t>
    <phoneticPr fontId="2"/>
  </si>
  <si>
    <t xml:space="preserve">TE01372997 </t>
    <phoneticPr fontId="2"/>
  </si>
  <si>
    <t>0726</t>
    <phoneticPr fontId="2"/>
  </si>
  <si>
    <t>0727</t>
    <phoneticPr fontId="2"/>
  </si>
  <si>
    <t>0728</t>
    <phoneticPr fontId="2"/>
  </si>
  <si>
    <t xml:space="preserve">TE01371257 </t>
    <phoneticPr fontId="2"/>
  </si>
  <si>
    <t>0729</t>
    <phoneticPr fontId="2"/>
  </si>
  <si>
    <t>P増台（20台）／メダル貸しC（8台）へのホールコン対応作業</t>
    <phoneticPr fontId="2"/>
  </si>
  <si>
    <t>5208</t>
    <phoneticPr fontId="2"/>
  </si>
  <si>
    <t>0730</t>
    <phoneticPr fontId="2"/>
  </si>
  <si>
    <t>玉メダル貸しC（60台）へのホールコン対応作業</t>
    <phoneticPr fontId="2"/>
  </si>
  <si>
    <t>5205</t>
    <phoneticPr fontId="2"/>
  </si>
  <si>
    <t>0731</t>
    <phoneticPr fontId="2"/>
  </si>
  <si>
    <t>5206</t>
    <phoneticPr fontId="2"/>
  </si>
  <si>
    <t xml:space="preserve">TE01382810 </t>
    <phoneticPr fontId="2"/>
  </si>
  <si>
    <t>0732</t>
    <phoneticPr fontId="2"/>
  </si>
  <si>
    <t>S増台（12台）へのホールコン対応作業</t>
    <phoneticPr fontId="2"/>
  </si>
  <si>
    <t xml:space="preserve">TE01381748 </t>
    <phoneticPr fontId="2"/>
  </si>
  <si>
    <t>0733</t>
    <phoneticPr fontId="2"/>
  </si>
  <si>
    <t>P台間拡張（4島）／P増減台（36台）へのホールコン対応作業</t>
    <phoneticPr fontId="2"/>
  </si>
  <si>
    <t>5209</t>
    <phoneticPr fontId="2"/>
  </si>
  <si>
    <t xml:space="preserve">TE01378699 </t>
    <phoneticPr fontId="2"/>
  </si>
  <si>
    <t>0734</t>
    <phoneticPr fontId="2"/>
  </si>
  <si>
    <t>液晶ランプ撤去（352台）／メダル貸しC（40台）に伴うホールコンピュータ変更</t>
    <phoneticPr fontId="2"/>
  </si>
  <si>
    <t>5203</t>
    <phoneticPr fontId="2"/>
  </si>
  <si>
    <t>0735</t>
    <phoneticPr fontId="2"/>
  </si>
  <si>
    <t>ロッカー監視／追加工事</t>
    <phoneticPr fontId="2"/>
  </si>
  <si>
    <t>0736</t>
    <phoneticPr fontId="2"/>
  </si>
  <si>
    <t>保守作業／再々発</t>
    <phoneticPr fontId="2"/>
  </si>
  <si>
    <t>0737</t>
    <phoneticPr fontId="2"/>
  </si>
  <si>
    <t>0738</t>
    <phoneticPr fontId="2"/>
  </si>
  <si>
    <t>0739</t>
    <phoneticPr fontId="2"/>
  </si>
  <si>
    <t>12/18の再発</t>
    <phoneticPr fontId="2"/>
  </si>
  <si>
    <t>0740</t>
    <phoneticPr fontId="2"/>
  </si>
  <si>
    <t>HSC用ディスプレイ更新作業</t>
    <phoneticPr fontId="2"/>
  </si>
  <si>
    <t>0741</t>
    <phoneticPr fontId="2"/>
  </si>
  <si>
    <t>5211</t>
    <phoneticPr fontId="2"/>
  </si>
  <si>
    <t xml:space="preserve">TE01375552 </t>
    <phoneticPr fontId="2"/>
  </si>
  <si>
    <t>0742</t>
    <phoneticPr fontId="2"/>
  </si>
  <si>
    <t>メダル貸しC（30台）へのホールコン対応作業</t>
    <phoneticPr fontId="2"/>
  </si>
  <si>
    <t>5212</t>
    <phoneticPr fontId="2"/>
  </si>
  <si>
    <t>0743</t>
    <phoneticPr fontId="2"/>
  </si>
  <si>
    <t>5213</t>
    <phoneticPr fontId="2"/>
  </si>
  <si>
    <t>0744</t>
    <phoneticPr fontId="2"/>
  </si>
  <si>
    <t>5214</t>
    <phoneticPr fontId="2"/>
  </si>
  <si>
    <t>4/8中止</t>
  </si>
  <si>
    <t>0745</t>
    <phoneticPr fontId="2"/>
  </si>
  <si>
    <t>5215</t>
    <phoneticPr fontId="2"/>
  </si>
  <si>
    <t>0746</t>
    <phoneticPr fontId="2"/>
  </si>
  <si>
    <t>5216</t>
    <phoneticPr fontId="2"/>
  </si>
  <si>
    <t>0747</t>
    <phoneticPr fontId="2"/>
  </si>
  <si>
    <t xml:space="preserve">TE01376874 </t>
    <phoneticPr fontId="2"/>
  </si>
  <si>
    <t>0748</t>
    <phoneticPr fontId="2"/>
  </si>
  <si>
    <t>5197k</t>
    <phoneticPr fontId="2"/>
  </si>
  <si>
    <t>№0718の変更</t>
    <phoneticPr fontId="2"/>
  </si>
  <si>
    <t>0749</t>
    <phoneticPr fontId="2"/>
  </si>
  <si>
    <t>保守作業／誤差玉調査</t>
    <phoneticPr fontId="2"/>
  </si>
  <si>
    <t>3/14：キャンセル</t>
  </si>
  <si>
    <t>0750</t>
    <phoneticPr fontId="2"/>
  </si>
  <si>
    <t>紋別</t>
    <phoneticPr fontId="2"/>
  </si>
  <si>
    <t>5219</t>
    <phoneticPr fontId="2"/>
  </si>
  <si>
    <t>0751</t>
    <phoneticPr fontId="2"/>
  </si>
  <si>
    <t>5220</t>
    <phoneticPr fontId="2"/>
  </si>
  <si>
    <t>0752</t>
    <phoneticPr fontId="2"/>
  </si>
  <si>
    <t>0753</t>
    <phoneticPr fontId="2"/>
  </si>
  <si>
    <t>静内</t>
    <phoneticPr fontId="2"/>
  </si>
  <si>
    <t>5221</t>
    <phoneticPr fontId="2"/>
  </si>
  <si>
    <t>0754</t>
    <phoneticPr fontId="2"/>
  </si>
  <si>
    <t>玉補給機交換（パルコン→TCP1／688台）へのホールコン対応作業</t>
    <phoneticPr fontId="2"/>
  </si>
  <si>
    <t>5217</t>
    <phoneticPr fontId="2"/>
  </si>
  <si>
    <t xml:space="preserve">TE01374777 </t>
    <phoneticPr fontId="2"/>
  </si>
  <si>
    <t>0755</t>
    <phoneticPr fontId="2"/>
  </si>
  <si>
    <t>5218</t>
    <phoneticPr fontId="2"/>
  </si>
  <si>
    <t>0756</t>
    <phoneticPr fontId="2"/>
  </si>
  <si>
    <t>北見</t>
    <phoneticPr fontId="2"/>
  </si>
  <si>
    <t>5222</t>
    <phoneticPr fontId="2"/>
  </si>
  <si>
    <t>0757</t>
    <phoneticPr fontId="2"/>
  </si>
  <si>
    <t>5223</t>
    <phoneticPr fontId="2"/>
  </si>
  <si>
    <t>0758</t>
    <phoneticPr fontId="2"/>
  </si>
  <si>
    <t>5224</t>
    <phoneticPr fontId="2"/>
  </si>
  <si>
    <t>0759</t>
    <phoneticPr fontId="2"/>
  </si>
  <si>
    <t>5225</t>
    <phoneticPr fontId="2"/>
  </si>
  <si>
    <t>0760</t>
    <phoneticPr fontId="2"/>
  </si>
  <si>
    <t>サポートセンター導入作業</t>
    <phoneticPr fontId="2"/>
  </si>
  <si>
    <t>0761</t>
    <phoneticPr fontId="2"/>
  </si>
  <si>
    <t xml:space="preserve">TE01376244 </t>
    <phoneticPr fontId="2"/>
  </si>
  <si>
    <t>0762</t>
    <phoneticPr fontId="2"/>
  </si>
  <si>
    <t>電源BOX再利用調整</t>
    <phoneticPr fontId="2"/>
  </si>
  <si>
    <t>0763</t>
    <phoneticPr fontId="2"/>
  </si>
  <si>
    <t>5226</t>
    <phoneticPr fontId="2"/>
  </si>
  <si>
    <t>0764</t>
    <phoneticPr fontId="2"/>
  </si>
  <si>
    <t>伊勢</t>
    <phoneticPr fontId="2"/>
  </si>
  <si>
    <t>5227</t>
    <phoneticPr fontId="2"/>
  </si>
  <si>
    <t>0765</t>
    <phoneticPr fontId="2"/>
  </si>
  <si>
    <t>メダル貸しC（10台）へのホールコン対応作業</t>
    <phoneticPr fontId="2"/>
  </si>
  <si>
    <t>5228</t>
    <phoneticPr fontId="2"/>
  </si>
  <si>
    <t>0766</t>
    <phoneticPr fontId="2"/>
  </si>
  <si>
    <t>弘前</t>
    <phoneticPr fontId="2"/>
  </si>
  <si>
    <t>5229</t>
    <phoneticPr fontId="2"/>
  </si>
  <si>
    <t>0767</t>
    <phoneticPr fontId="2"/>
  </si>
  <si>
    <t>個別計数機移設（240台）へのホールコン対応作業</t>
    <phoneticPr fontId="2"/>
  </si>
  <si>
    <t>5230</t>
    <phoneticPr fontId="2"/>
  </si>
  <si>
    <t>0768</t>
    <phoneticPr fontId="2"/>
  </si>
  <si>
    <t>P増台（20台）／玉貸しC（20台）へのホールコン対応作業</t>
    <phoneticPr fontId="2"/>
  </si>
  <si>
    <t>5231</t>
    <phoneticPr fontId="2"/>
  </si>
  <si>
    <t>0769</t>
    <phoneticPr fontId="2"/>
  </si>
  <si>
    <t xml:space="preserve">TE01376195 </t>
    <phoneticPr fontId="2"/>
  </si>
  <si>
    <t>0770</t>
    <phoneticPr fontId="2"/>
  </si>
  <si>
    <t>八千代東</t>
    <phoneticPr fontId="2"/>
  </si>
  <si>
    <t>ドアセンサー24時間電源変更</t>
    <phoneticPr fontId="2"/>
  </si>
  <si>
    <t>吉田氏</t>
  </si>
  <si>
    <t>0771</t>
    <phoneticPr fontId="2"/>
  </si>
  <si>
    <t>0772</t>
    <phoneticPr fontId="2"/>
  </si>
  <si>
    <t xml:space="preserve">TE01383644 </t>
    <phoneticPr fontId="2"/>
  </si>
  <si>
    <t>0773</t>
    <phoneticPr fontId="2"/>
  </si>
  <si>
    <t>0774</t>
    <phoneticPr fontId="2"/>
  </si>
  <si>
    <t>0775</t>
    <phoneticPr fontId="2"/>
  </si>
  <si>
    <t>追加工事／精算機移設</t>
    <phoneticPr fontId="2"/>
  </si>
  <si>
    <t>№0623の追加工事</t>
    <phoneticPr fontId="2"/>
  </si>
  <si>
    <t>0776</t>
    <phoneticPr fontId="2"/>
  </si>
  <si>
    <t>追加工事／玉計数機撤去</t>
    <phoneticPr fontId="2"/>
  </si>
  <si>
    <t>№0542の追加工事</t>
    <phoneticPr fontId="2"/>
  </si>
  <si>
    <t>0777</t>
    <phoneticPr fontId="2"/>
  </si>
  <si>
    <t>新TMDV-S製造評価作業</t>
    <phoneticPr fontId="2"/>
  </si>
  <si>
    <t>0778</t>
    <phoneticPr fontId="2"/>
  </si>
  <si>
    <t>5233</t>
    <phoneticPr fontId="2"/>
  </si>
  <si>
    <t>0779</t>
    <phoneticPr fontId="2"/>
  </si>
  <si>
    <t>P増台（64台）／玉貸しC（40台）へのホールコン対応作業</t>
    <phoneticPr fontId="2"/>
  </si>
  <si>
    <t>5234</t>
    <phoneticPr fontId="2"/>
  </si>
  <si>
    <t>0780</t>
    <phoneticPr fontId="2"/>
  </si>
  <si>
    <t>5235</t>
    <phoneticPr fontId="2"/>
  </si>
  <si>
    <t>0781</t>
    <phoneticPr fontId="2"/>
  </si>
  <si>
    <t>メダル貸しC（18台）へのホールコン対応作業</t>
    <phoneticPr fontId="2"/>
  </si>
  <si>
    <t>5236</t>
    <phoneticPr fontId="2"/>
  </si>
  <si>
    <t>0782</t>
    <phoneticPr fontId="2"/>
  </si>
  <si>
    <t>玉貸しC（160台）へのホールコン対応作業</t>
    <phoneticPr fontId="2"/>
  </si>
  <si>
    <t>5237</t>
    <phoneticPr fontId="2"/>
  </si>
  <si>
    <t>0783</t>
    <phoneticPr fontId="2"/>
  </si>
  <si>
    <t>P→S（35台）／液晶ランプ撤去（410台）へのホールコン対応作業</t>
    <phoneticPr fontId="2"/>
  </si>
  <si>
    <t>5232</t>
    <phoneticPr fontId="2"/>
  </si>
  <si>
    <t xml:space="preserve">TE01379704 </t>
    <phoneticPr fontId="2"/>
  </si>
  <si>
    <t>0784</t>
    <phoneticPr fontId="2"/>
  </si>
  <si>
    <t>P台間拡張（16島）／P増台（40台）へのホールコン対応作業</t>
    <phoneticPr fontId="2"/>
  </si>
  <si>
    <t>5239</t>
    <phoneticPr fontId="2"/>
  </si>
  <si>
    <t>0785</t>
    <phoneticPr fontId="2"/>
  </si>
  <si>
    <t>四日市</t>
    <phoneticPr fontId="2"/>
  </si>
  <si>
    <t>5240</t>
    <phoneticPr fontId="2"/>
  </si>
  <si>
    <t>0786</t>
    <phoneticPr fontId="2"/>
  </si>
  <si>
    <t>メダル貸しC'（120台）へのホールコン対応作業</t>
    <phoneticPr fontId="2"/>
  </si>
  <si>
    <t>5241</t>
    <phoneticPr fontId="2"/>
  </si>
  <si>
    <t>0787</t>
    <phoneticPr fontId="2"/>
  </si>
  <si>
    <t>5242</t>
    <phoneticPr fontId="2"/>
  </si>
  <si>
    <t>0788</t>
    <phoneticPr fontId="2"/>
  </si>
  <si>
    <t>ダミー個別計数機導入（320台）へのホールコン対応作業</t>
    <phoneticPr fontId="2"/>
  </si>
  <si>
    <t>5243</t>
    <phoneticPr fontId="2"/>
  </si>
  <si>
    <t>無償対応</t>
    <phoneticPr fontId="2"/>
  </si>
  <si>
    <t>0789</t>
    <phoneticPr fontId="2"/>
  </si>
  <si>
    <t>老朽化更新：情報端末機（ＴＭＤＶ42型：1台）導入工事</t>
    <phoneticPr fontId="2"/>
  </si>
  <si>
    <t>6月</t>
    <phoneticPr fontId="2"/>
  </si>
  <si>
    <t>0790</t>
    <phoneticPr fontId="2"/>
  </si>
  <si>
    <t>姫路野里</t>
    <phoneticPr fontId="2"/>
  </si>
  <si>
    <t>5244</t>
    <phoneticPr fontId="2"/>
  </si>
  <si>
    <t>0791</t>
    <phoneticPr fontId="2"/>
  </si>
  <si>
    <t>5245</t>
    <phoneticPr fontId="2"/>
  </si>
  <si>
    <t>0792</t>
    <phoneticPr fontId="2"/>
  </si>
  <si>
    <t>P増台（31台）／玉貸しC（8台）へのホールコン対応作業</t>
    <phoneticPr fontId="2"/>
  </si>
  <si>
    <t>5246</t>
    <phoneticPr fontId="2"/>
  </si>
  <si>
    <t>0793</t>
    <phoneticPr fontId="2"/>
  </si>
  <si>
    <t>0794</t>
    <phoneticPr fontId="2"/>
  </si>
  <si>
    <t>0795</t>
    <phoneticPr fontId="2"/>
  </si>
  <si>
    <t>0796</t>
    <phoneticPr fontId="2"/>
  </si>
  <si>
    <t>新機能テスト作業／ホールコンデータ連携（D連携）</t>
    <phoneticPr fontId="2"/>
  </si>
  <si>
    <t xml:space="preserve">TE01377678 </t>
    <phoneticPr fontId="2"/>
  </si>
  <si>
    <t>0797</t>
    <phoneticPr fontId="2"/>
  </si>
  <si>
    <t>POS老朽化更新／3月分</t>
    <phoneticPr fontId="2"/>
  </si>
  <si>
    <t>0798</t>
    <phoneticPr fontId="2"/>
  </si>
  <si>
    <t>0799</t>
    <phoneticPr fontId="2"/>
  </si>
  <si>
    <t>PHCセットアップ作業補助／3月度分</t>
    <phoneticPr fontId="2"/>
  </si>
  <si>
    <t>0800</t>
    <phoneticPr fontId="2"/>
  </si>
  <si>
    <t xml:space="preserve">TE01377385 </t>
    <phoneticPr fontId="2"/>
  </si>
  <si>
    <t>0801</t>
    <phoneticPr fontId="2"/>
  </si>
  <si>
    <t>5247</t>
    <phoneticPr fontId="2"/>
  </si>
  <si>
    <t xml:space="preserve">TE01382799 </t>
    <phoneticPr fontId="2"/>
  </si>
  <si>
    <t>0802</t>
    <phoneticPr fontId="2"/>
  </si>
  <si>
    <t>みやき</t>
    <phoneticPr fontId="2"/>
  </si>
  <si>
    <t>0803</t>
    <phoneticPr fontId="2"/>
  </si>
  <si>
    <t>M'sネット撤去作業（TMDV／一体型：1台）</t>
    <phoneticPr fontId="2"/>
  </si>
  <si>
    <t>5250</t>
    <phoneticPr fontId="2"/>
  </si>
  <si>
    <t xml:space="preserve">TE01388894 </t>
    <phoneticPr fontId="2"/>
  </si>
  <si>
    <t>0804</t>
    <phoneticPr fontId="2"/>
  </si>
  <si>
    <t>松島①</t>
    <phoneticPr fontId="2"/>
  </si>
  <si>
    <t>5251</t>
    <phoneticPr fontId="2"/>
  </si>
  <si>
    <t>0805</t>
    <phoneticPr fontId="2"/>
  </si>
  <si>
    <t>5252</t>
    <phoneticPr fontId="2"/>
  </si>
  <si>
    <t>TE01382127</t>
    <phoneticPr fontId="2"/>
  </si>
  <si>
    <t>0806</t>
    <phoneticPr fontId="2"/>
  </si>
  <si>
    <t>5253</t>
    <phoneticPr fontId="2"/>
  </si>
  <si>
    <t>0807</t>
    <phoneticPr fontId="2"/>
  </si>
  <si>
    <t>0808</t>
    <phoneticPr fontId="2"/>
  </si>
  <si>
    <t>保守作業／カウンタPCwifiカード設定作業</t>
    <phoneticPr fontId="2"/>
  </si>
  <si>
    <t>0809</t>
    <phoneticPr fontId="2"/>
  </si>
  <si>
    <t>0810</t>
    <phoneticPr fontId="2"/>
  </si>
  <si>
    <t>5254</t>
    <phoneticPr fontId="2"/>
  </si>
  <si>
    <t>0811</t>
    <phoneticPr fontId="2"/>
  </si>
  <si>
    <t>袋井</t>
    <phoneticPr fontId="2"/>
  </si>
  <si>
    <t>0812</t>
    <phoneticPr fontId="2"/>
  </si>
  <si>
    <t>0813</t>
    <phoneticPr fontId="2"/>
  </si>
  <si>
    <t>新大蔵谷①</t>
    <phoneticPr fontId="2"/>
  </si>
  <si>
    <t>玉貸しC（39台）へのホールコン対応作業</t>
    <phoneticPr fontId="2"/>
  </si>
  <si>
    <t>5255</t>
    <phoneticPr fontId="2"/>
  </si>
  <si>
    <t xml:space="preserve"> TE01384545 </t>
    <phoneticPr fontId="2"/>
  </si>
  <si>
    <t>0814</t>
    <phoneticPr fontId="2"/>
  </si>
  <si>
    <t>新大蔵谷②</t>
    <phoneticPr fontId="2"/>
  </si>
  <si>
    <t>5256</t>
    <phoneticPr fontId="2"/>
  </si>
  <si>
    <t>④№0893で実施</t>
  </si>
  <si>
    <t>0815</t>
    <phoneticPr fontId="2"/>
  </si>
  <si>
    <t>新大蔵谷③</t>
    <phoneticPr fontId="2"/>
  </si>
  <si>
    <t>5257</t>
    <phoneticPr fontId="2"/>
  </si>
  <si>
    <t>5/14中止</t>
  </si>
  <si>
    <t>0816</t>
    <phoneticPr fontId="2"/>
  </si>
  <si>
    <t>新大蔵谷④</t>
    <phoneticPr fontId="2"/>
  </si>
  <si>
    <t>玉メダル貸しC（80台）へのホールコン対応作業</t>
    <phoneticPr fontId="2"/>
  </si>
  <si>
    <t>5258</t>
    <phoneticPr fontId="2"/>
  </si>
  <si>
    <t>№0893で発行</t>
  </si>
  <si>
    <t>0817</t>
    <phoneticPr fontId="2"/>
  </si>
  <si>
    <t>液晶ランプ整備費用(5月)</t>
    <phoneticPr fontId="2"/>
  </si>
  <si>
    <t>0818</t>
    <phoneticPr fontId="2"/>
  </si>
  <si>
    <t>東岡山</t>
    <phoneticPr fontId="2"/>
  </si>
  <si>
    <t>5259</t>
    <phoneticPr fontId="2"/>
  </si>
  <si>
    <t>0819</t>
    <phoneticPr fontId="2"/>
  </si>
  <si>
    <t>現地テスト作業／ホールコンデータ連携（D連携）</t>
    <phoneticPr fontId="2"/>
  </si>
  <si>
    <t xml:space="preserve">TE01381693 </t>
    <phoneticPr fontId="2"/>
  </si>
  <si>
    <t>0820</t>
    <phoneticPr fontId="2"/>
  </si>
  <si>
    <t>携帯システム関連／保守料（4月分）</t>
    <phoneticPr fontId="2"/>
  </si>
  <si>
    <t>TE01380668</t>
    <phoneticPr fontId="2"/>
  </si>
  <si>
    <t>0821</t>
    <phoneticPr fontId="2"/>
  </si>
  <si>
    <t>ダイレクトメール発送代行作業</t>
    <phoneticPr fontId="2"/>
  </si>
  <si>
    <t xml:space="preserve">TE01384515 </t>
    <phoneticPr fontId="2"/>
  </si>
  <si>
    <t>0822</t>
    <phoneticPr fontId="2"/>
  </si>
  <si>
    <t>ホストコンピューター入替工事</t>
    <phoneticPr fontId="2"/>
  </si>
  <si>
    <t>0823</t>
    <phoneticPr fontId="2"/>
  </si>
  <si>
    <t>営業画面製作（店長端末機用）</t>
    <phoneticPr fontId="2"/>
  </si>
  <si>
    <t>0824</t>
    <phoneticPr fontId="2"/>
  </si>
  <si>
    <t>保守作業／メダル計数機誤差</t>
    <phoneticPr fontId="2"/>
  </si>
  <si>
    <t>№827で処理</t>
  </si>
  <si>
    <t>0825</t>
    <phoneticPr fontId="2"/>
  </si>
  <si>
    <t>スタッフ向けウェアラブル端末機</t>
    <phoneticPr fontId="2"/>
  </si>
  <si>
    <t>0826</t>
    <phoneticPr fontId="2"/>
  </si>
  <si>
    <t>液晶ランプ整備費用(6月)</t>
    <phoneticPr fontId="2"/>
  </si>
  <si>
    <t>0827</t>
    <phoneticPr fontId="2"/>
  </si>
  <si>
    <t>0828</t>
    <phoneticPr fontId="2"/>
  </si>
  <si>
    <t>保守作業　MDVディスプレイコントローラ 代替機／修理完了品セットアップ作業</t>
    <phoneticPr fontId="2"/>
  </si>
  <si>
    <t>0829</t>
    <phoneticPr fontId="2"/>
  </si>
  <si>
    <t>保守作業　MDVディスプレイコントローラ 修理完了品セットアップ作業</t>
    <phoneticPr fontId="2"/>
  </si>
  <si>
    <t>0830</t>
    <phoneticPr fontId="2"/>
  </si>
  <si>
    <t>0831</t>
    <phoneticPr fontId="2"/>
  </si>
  <si>
    <t>藤枝駅南S館</t>
    <phoneticPr fontId="2"/>
  </si>
  <si>
    <t>メダル貸しC（57台）へのホールコン対応作業</t>
    <phoneticPr fontId="2"/>
  </si>
  <si>
    <t>5260</t>
    <phoneticPr fontId="2"/>
  </si>
  <si>
    <t>6月</t>
  </si>
  <si>
    <t>0832</t>
    <phoneticPr fontId="2"/>
  </si>
  <si>
    <t>荒尾</t>
    <phoneticPr fontId="2"/>
  </si>
  <si>
    <t>5261</t>
    <phoneticPr fontId="2"/>
  </si>
  <si>
    <t xml:space="preserve">TE01384954 </t>
    <phoneticPr fontId="2"/>
  </si>
  <si>
    <t>0833</t>
    <phoneticPr fontId="2"/>
  </si>
  <si>
    <t>0834</t>
    <phoneticPr fontId="2"/>
  </si>
  <si>
    <t xml:space="preserve">TE01380903 </t>
    <phoneticPr fontId="2"/>
  </si>
  <si>
    <t>0835</t>
    <phoneticPr fontId="2"/>
  </si>
  <si>
    <t>0836</t>
    <phoneticPr fontId="2"/>
  </si>
  <si>
    <t>S社様向け_植毛機移設に伴うシステム改造</t>
    <phoneticPr fontId="2"/>
  </si>
  <si>
    <t xml:space="preserve">TE01383682 </t>
    <phoneticPr fontId="2"/>
  </si>
  <si>
    <t>0837</t>
    <phoneticPr fontId="2"/>
  </si>
  <si>
    <t>15L020582の再発対応</t>
    <phoneticPr fontId="2"/>
  </si>
  <si>
    <t>0838</t>
    <phoneticPr fontId="2"/>
  </si>
  <si>
    <t>保守作業／再々々発</t>
    <phoneticPr fontId="2"/>
  </si>
  <si>
    <t>15L020582の再々々発対応</t>
    <phoneticPr fontId="2"/>
  </si>
  <si>
    <t>0839</t>
    <phoneticPr fontId="2"/>
  </si>
  <si>
    <t>八千代緑が丘</t>
    <phoneticPr fontId="2"/>
  </si>
  <si>
    <t>保守作業／ロッカー監視システム／修繕作業</t>
    <phoneticPr fontId="2"/>
  </si>
  <si>
    <t>0840</t>
    <phoneticPr fontId="2"/>
  </si>
  <si>
    <t>大分古国府</t>
    <phoneticPr fontId="2"/>
  </si>
  <si>
    <t>メダル貸しC（80台）へのホールコン対応作業</t>
    <phoneticPr fontId="2"/>
  </si>
  <si>
    <t>5263</t>
    <phoneticPr fontId="2"/>
  </si>
  <si>
    <t>0841</t>
    <phoneticPr fontId="2"/>
  </si>
  <si>
    <t>0842</t>
    <phoneticPr fontId="2"/>
  </si>
  <si>
    <t>0843</t>
    <phoneticPr fontId="2"/>
  </si>
  <si>
    <t>KKS関連／P台間拡張（16島）／P増台（40台）へのホールコン対応作業</t>
    <phoneticPr fontId="2"/>
  </si>
  <si>
    <t>0844</t>
    <phoneticPr fontId="2"/>
  </si>
  <si>
    <t>0845</t>
    <phoneticPr fontId="2"/>
  </si>
  <si>
    <t>0846</t>
    <phoneticPr fontId="2"/>
  </si>
  <si>
    <t>0847</t>
    <phoneticPr fontId="2"/>
  </si>
  <si>
    <t>カウンタPCタブレット(本体交換)</t>
    <phoneticPr fontId="2"/>
  </si>
  <si>
    <t>0848</t>
    <phoneticPr fontId="2"/>
  </si>
  <si>
    <t>動作確認／MDV用ディスプレイコントローラ</t>
    <phoneticPr fontId="2"/>
  </si>
  <si>
    <t>TE01398649</t>
    <phoneticPr fontId="2"/>
  </si>
  <si>
    <t>0849</t>
    <phoneticPr fontId="2"/>
  </si>
  <si>
    <t>PHC施工工事（二次）</t>
    <phoneticPr fontId="2"/>
  </si>
  <si>
    <t>0850</t>
    <phoneticPr fontId="2"/>
  </si>
  <si>
    <t>0851</t>
    <phoneticPr fontId="2"/>
  </si>
  <si>
    <t>ホールコンデータ連携（D連携）</t>
    <phoneticPr fontId="2"/>
  </si>
  <si>
    <t xml:space="preserve">TE01383685 </t>
    <phoneticPr fontId="2"/>
  </si>
  <si>
    <t>0852</t>
    <phoneticPr fontId="2"/>
  </si>
  <si>
    <t>追加工事／P台間拡張（16島）／P増台（40台）へのホールコン対応作業</t>
    <phoneticPr fontId="2"/>
  </si>
  <si>
    <t>0853</t>
    <phoneticPr fontId="2"/>
  </si>
  <si>
    <t>追加工事／P→S（35台）／液晶ランプ撤去（410台）へのホールコン対応作業</t>
    <phoneticPr fontId="2"/>
  </si>
  <si>
    <t>0854</t>
    <phoneticPr fontId="2"/>
  </si>
  <si>
    <t>追加工事／液晶ランプ撤去（352台）／メダル貸しC（40台）に伴うホールコンピュータ変更</t>
    <phoneticPr fontId="2"/>
  </si>
  <si>
    <t>0855</t>
    <phoneticPr fontId="2"/>
  </si>
  <si>
    <t>0856</t>
    <phoneticPr fontId="2"/>
  </si>
  <si>
    <t>大館</t>
    <phoneticPr fontId="2"/>
  </si>
  <si>
    <t>5264</t>
    <phoneticPr fontId="2"/>
  </si>
  <si>
    <t>TE01386409</t>
    <phoneticPr fontId="2"/>
  </si>
  <si>
    <t>0857</t>
    <phoneticPr fontId="2"/>
  </si>
  <si>
    <t>臨海</t>
    <phoneticPr fontId="2"/>
  </si>
  <si>
    <t>玉貸しC（54台）へのホールコン対応作業</t>
    <phoneticPr fontId="2"/>
  </si>
  <si>
    <t>5265</t>
    <phoneticPr fontId="2"/>
  </si>
  <si>
    <t>TE01388498</t>
    <phoneticPr fontId="2"/>
  </si>
  <si>
    <t>0858</t>
    <phoneticPr fontId="2"/>
  </si>
  <si>
    <t>メダル貸しC（44台）へのホールコン対応作業</t>
    <phoneticPr fontId="2"/>
  </si>
  <si>
    <t>5266</t>
    <phoneticPr fontId="2"/>
  </si>
  <si>
    <t>0859</t>
    <phoneticPr fontId="2"/>
  </si>
  <si>
    <t>横浜町田</t>
    <phoneticPr fontId="2"/>
  </si>
  <si>
    <t>大型計数機単価変更（1台）へのホールコン対応作業</t>
    <phoneticPr fontId="2"/>
  </si>
  <si>
    <t>5267</t>
    <phoneticPr fontId="2"/>
  </si>
  <si>
    <t xml:space="preserve">TE01387305 </t>
    <phoneticPr fontId="2"/>
  </si>
  <si>
    <t>0860</t>
    <phoneticPr fontId="2"/>
  </si>
  <si>
    <t>売上機変更（96台）へのホールコン対応作業</t>
    <phoneticPr fontId="2"/>
  </si>
  <si>
    <t>5268</t>
    <phoneticPr fontId="2"/>
  </si>
  <si>
    <t xml:space="preserve">TE01393744 </t>
    <phoneticPr fontId="2"/>
  </si>
  <si>
    <t>7月</t>
    <phoneticPr fontId="2"/>
  </si>
  <si>
    <t>0861</t>
    <phoneticPr fontId="2"/>
  </si>
  <si>
    <t>5269</t>
    <phoneticPr fontId="2"/>
  </si>
  <si>
    <t>0862</t>
    <phoneticPr fontId="2"/>
  </si>
  <si>
    <t>0863</t>
    <phoneticPr fontId="2"/>
  </si>
  <si>
    <t>森谷</t>
  </si>
  <si>
    <t>0864</t>
    <phoneticPr fontId="2"/>
  </si>
  <si>
    <t>PHCセットアップ作業補助／4月度分</t>
    <phoneticPr fontId="2"/>
  </si>
  <si>
    <t>0865</t>
    <phoneticPr fontId="2"/>
  </si>
  <si>
    <t>液晶ランプ修理補助</t>
    <phoneticPr fontId="2"/>
  </si>
  <si>
    <t>0866</t>
    <phoneticPr fontId="2"/>
  </si>
  <si>
    <t xml:space="preserve">TE01385822 </t>
    <phoneticPr fontId="2"/>
  </si>
  <si>
    <t>0867</t>
    <phoneticPr fontId="2"/>
  </si>
  <si>
    <t>ホールコンサポートセンター受付業務(4月分)</t>
    <phoneticPr fontId="2"/>
  </si>
  <si>
    <t>0868</t>
    <phoneticPr fontId="2"/>
  </si>
  <si>
    <t xml:space="preserve">TE01386411 </t>
    <phoneticPr fontId="2"/>
  </si>
  <si>
    <t>0869</t>
    <phoneticPr fontId="2"/>
  </si>
  <si>
    <t>老朽化更新：情報端末機（TMDV-S：1台）導入工事</t>
    <phoneticPr fontId="2"/>
  </si>
  <si>
    <t xml:space="preserve">TE01384521 </t>
    <phoneticPr fontId="2"/>
  </si>
  <si>
    <t>0870</t>
    <phoneticPr fontId="2"/>
  </si>
  <si>
    <t>大牟田銀水</t>
    <phoneticPr fontId="2"/>
  </si>
  <si>
    <t>5270</t>
    <phoneticPr fontId="2"/>
  </si>
  <si>
    <t xml:space="preserve">TE01391032 </t>
    <phoneticPr fontId="2"/>
  </si>
  <si>
    <t>7月</t>
  </si>
  <si>
    <t>0871</t>
    <phoneticPr fontId="2"/>
  </si>
  <si>
    <t>5271</t>
    <phoneticPr fontId="2"/>
  </si>
  <si>
    <t>5/7：日程未定延期</t>
  </si>
  <si>
    <t>0872</t>
    <phoneticPr fontId="2"/>
  </si>
  <si>
    <t>東レ三島工場3FYリプレース（2）</t>
    <phoneticPr fontId="2"/>
  </si>
  <si>
    <t xml:space="preserve">TE01387271 </t>
    <phoneticPr fontId="2"/>
  </si>
  <si>
    <t>0873</t>
    <phoneticPr fontId="2"/>
  </si>
  <si>
    <t>保守作業／TMDV-D 代替機セットアップ作業</t>
    <phoneticPr fontId="2"/>
  </si>
  <si>
    <t xml:space="preserve"> TE01391925 </t>
    <phoneticPr fontId="2"/>
  </si>
  <si>
    <t>0874</t>
    <phoneticPr fontId="2"/>
  </si>
  <si>
    <t>0875</t>
    <phoneticPr fontId="2"/>
  </si>
  <si>
    <t>172ネットワークHUB増設（来店ポイントPC用）</t>
    <phoneticPr fontId="2"/>
  </si>
  <si>
    <t>5272</t>
    <phoneticPr fontId="2"/>
  </si>
  <si>
    <t>0876</t>
    <phoneticPr fontId="2"/>
  </si>
  <si>
    <t>老朽化更新／UPS交換作業（APC製→APC製）　※管理ソフトあり</t>
    <phoneticPr fontId="2"/>
  </si>
  <si>
    <t>0877</t>
    <phoneticPr fontId="2"/>
  </si>
  <si>
    <t>老朽化更新／UPS交換作業（富士電機製→APC製）　※管理ソフトあり</t>
    <phoneticPr fontId="2"/>
  </si>
  <si>
    <t>0878</t>
    <phoneticPr fontId="2"/>
  </si>
  <si>
    <t>老朽化更新／UPS交換作業（富士電機製→APC製）　※管理ソフトなし</t>
    <phoneticPr fontId="2"/>
  </si>
  <si>
    <t>0879</t>
    <phoneticPr fontId="2"/>
  </si>
  <si>
    <t>POS老朽化更新／4月分</t>
    <phoneticPr fontId="2"/>
  </si>
  <si>
    <t>0880</t>
    <phoneticPr fontId="2"/>
  </si>
  <si>
    <t>5/9自然復旧によりキャンセル</t>
    <phoneticPr fontId="2"/>
  </si>
  <si>
    <t>0881</t>
    <phoneticPr fontId="2"/>
  </si>
  <si>
    <t>三菱鉛筆SCM-C1</t>
    <phoneticPr fontId="2"/>
  </si>
  <si>
    <t>TE01403173</t>
    <phoneticPr fontId="2"/>
  </si>
  <si>
    <t>0882</t>
    <phoneticPr fontId="2"/>
  </si>
  <si>
    <t>0883</t>
    <phoneticPr fontId="2"/>
  </si>
  <si>
    <t>5273</t>
    <phoneticPr fontId="2"/>
  </si>
  <si>
    <t xml:space="preserve">TE01389655 </t>
    <phoneticPr fontId="2"/>
  </si>
  <si>
    <t>0884</t>
    <phoneticPr fontId="2"/>
  </si>
  <si>
    <t>S社様_歯ブラシ運転管理システム更新</t>
    <phoneticPr fontId="2"/>
  </si>
  <si>
    <t xml:space="preserve">TE01386405 </t>
    <phoneticPr fontId="2"/>
  </si>
  <si>
    <t>7/29：納期変更依頼　7/31→8/30</t>
  </si>
  <si>
    <t>0885</t>
    <phoneticPr fontId="2"/>
  </si>
  <si>
    <t>加島店評価作業【ホスト】</t>
    <phoneticPr fontId="2"/>
  </si>
  <si>
    <t>0886</t>
    <phoneticPr fontId="2"/>
  </si>
  <si>
    <t>FTCSV、CLセットアップ作業</t>
    <phoneticPr fontId="2"/>
  </si>
  <si>
    <t>№911でTEKへ請求</t>
    <phoneticPr fontId="2"/>
  </si>
  <si>
    <t>0887</t>
    <phoneticPr fontId="2"/>
  </si>
  <si>
    <t>FTCSV、CLセットアップチェックリスト作成</t>
    <phoneticPr fontId="2"/>
  </si>
  <si>
    <t>№911でTEKへ請求</t>
  </si>
  <si>
    <t>0888</t>
    <phoneticPr fontId="2"/>
  </si>
  <si>
    <t>指紋認証タイプUSBメモリ購入</t>
    <phoneticPr fontId="2"/>
  </si>
  <si>
    <t>0889</t>
    <phoneticPr fontId="2"/>
  </si>
  <si>
    <t>保守作業／再発無償対応</t>
    <phoneticPr fontId="2"/>
  </si>
  <si>
    <t>№0830の4/16対応の再発</t>
    <phoneticPr fontId="2"/>
  </si>
  <si>
    <t>0890</t>
    <phoneticPr fontId="2"/>
  </si>
  <si>
    <t>0891</t>
    <phoneticPr fontId="2"/>
  </si>
  <si>
    <t>0892</t>
    <phoneticPr fontId="2"/>
  </si>
  <si>
    <t>0893</t>
    <phoneticPr fontId="2"/>
  </si>
  <si>
    <t>5275</t>
    <phoneticPr fontId="2"/>
  </si>
  <si>
    <t>0894</t>
    <phoneticPr fontId="2"/>
  </si>
  <si>
    <t>5274</t>
    <phoneticPr fontId="2"/>
  </si>
  <si>
    <t>0895</t>
    <phoneticPr fontId="2"/>
  </si>
  <si>
    <t>オープン前割付変更作業</t>
    <phoneticPr fontId="2"/>
  </si>
  <si>
    <t>0896</t>
    <phoneticPr fontId="2"/>
  </si>
  <si>
    <t>0897</t>
    <phoneticPr fontId="2"/>
  </si>
  <si>
    <t>プレンティ</t>
    <phoneticPr fontId="2"/>
  </si>
  <si>
    <t>玉貸しC（22台）へのホールコン対応作業</t>
    <phoneticPr fontId="2"/>
  </si>
  <si>
    <t>5276</t>
    <phoneticPr fontId="2"/>
  </si>
  <si>
    <t>0898</t>
    <phoneticPr fontId="2"/>
  </si>
  <si>
    <t>5277</t>
    <phoneticPr fontId="2"/>
  </si>
  <si>
    <t xml:space="preserve">TE01390176 </t>
    <phoneticPr fontId="2"/>
  </si>
  <si>
    <t>0899</t>
    <phoneticPr fontId="2"/>
  </si>
  <si>
    <t>5278</t>
    <phoneticPr fontId="2"/>
  </si>
  <si>
    <t>0900</t>
    <phoneticPr fontId="2"/>
  </si>
  <si>
    <t>5279</t>
    <phoneticPr fontId="2"/>
  </si>
  <si>
    <t>0901</t>
    <phoneticPr fontId="2"/>
  </si>
  <si>
    <t>0902</t>
    <phoneticPr fontId="2"/>
  </si>
  <si>
    <t>0903</t>
    <phoneticPr fontId="2"/>
  </si>
  <si>
    <t>苅田</t>
    <phoneticPr fontId="2"/>
  </si>
  <si>
    <t>0904</t>
    <phoneticPr fontId="2"/>
  </si>
  <si>
    <t>つくば</t>
    <phoneticPr fontId="2"/>
  </si>
  <si>
    <t xml:space="preserve">TE01389619 </t>
    <phoneticPr fontId="2"/>
  </si>
  <si>
    <t>0905</t>
    <phoneticPr fontId="2"/>
  </si>
  <si>
    <t>0906</t>
    <phoneticPr fontId="2"/>
  </si>
  <si>
    <t>0907</t>
    <phoneticPr fontId="2"/>
  </si>
  <si>
    <t>0908</t>
    <phoneticPr fontId="2"/>
  </si>
  <si>
    <t>0909</t>
    <phoneticPr fontId="2"/>
  </si>
  <si>
    <t>携帯システム関連／保守料（5月分）</t>
    <phoneticPr fontId="2"/>
  </si>
  <si>
    <t>TE01388492</t>
    <phoneticPr fontId="2"/>
  </si>
  <si>
    <t>0910</t>
    <phoneticPr fontId="2"/>
  </si>
  <si>
    <t>5263k</t>
    <phoneticPr fontId="2"/>
  </si>
  <si>
    <t>0911</t>
    <phoneticPr fontId="2"/>
  </si>
  <si>
    <t>KKS／ＦＴＣサーバ・コンソールセットアップ作業</t>
    <phoneticPr fontId="2"/>
  </si>
  <si>
    <t>フェイス支払№0886､0887分</t>
    <phoneticPr fontId="2"/>
  </si>
  <si>
    <t>0912</t>
    <phoneticPr fontId="2"/>
  </si>
  <si>
    <t>保守作業／ＫＫＳ</t>
    <phoneticPr fontId="2"/>
  </si>
  <si>
    <t>テンペストシステムズ</t>
    <phoneticPr fontId="2"/>
  </si>
  <si>
    <t>05</t>
  </si>
  <si>
    <t>0913</t>
  </si>
  <si>
    <t>改造工事／追加作業</t>
  </si>
  <si>
    <t>0914</t>
    <phoneticPr fontId="2"/>
  </si>
  <si>
    <t>スロットインターフースハーネス(SIF002)</t>
    <phoneticPr fontId="2"/>
  </si>
  <si>
    <t>単価見積</t>
    <phoneticPr fontId="2"/>
  </si>
  <si>
    <t>0915</t>
    <phoneticPr fontId="2"/>
  </si>
  <si>
    <t>S変換ハーネス(SHH002)</t>
    <phoneticPr fontId="2"/>
  </si>
  <si>
    <t>単価見積</t>
  </si>
  <si>
    <t>0916</t>
    <phoneticPr fontId="2"/>
  </si>
  <si>
    <t>メダル貸しC（24台）へのホールコン対応作業</t>
    <phoneticPr fontId="2"/>
  </si>
  <si>
    <t>yrecm</t>
    <phoneticPr fontId="2"/>
  </si>
  <si>
    <t>５２８０</t>
    <phoneticPr fontId="2"/>
  </si>
  <si>
    <t>0917</t>
    <phoneticPr fontId="2"/>
  </si>
  <si>
    <t>松飛台</t>
    <phoneticPr fontId="2"/>
  </si>
  <si>
    <t>保守作業／ロッカー監視システム 修繕作業</t>
    <phoneticPr fontId="2"/>
  </si>
  <si>
    <t>№0922で減額再発行</t>
  </si>
  <si>
    <t>0918</t>
    <phoneticPr fontId="2"/>
  </si>
  <si>
    <t>0919</t>
    <phoneticPr fontId="2"/>
  </si>
  <si>
    <t>5281k</t>
    <phoneticPr fontId="2"/>
  </si>
  <si>
    <t xml:space="preserve"> TE01393424 </t>
    <phoneticPr fontId="2"/>
  </si>
  <si>
    <t>0920</t>
    <phoneticPr fontId="2"/>
  </si>
  <si>
    <t>5282</t>
    <phoneticPr fontId="2"/>
  </si>
  <si>
    <t xml:space="preserve">TE01392844 </t>
    <phoneticPr fontId="2"/>
  </si>
  <si>
    <t>0921</t>
    <phoneticPr fontId="2"/>
  </si>
  <si>
    <t>0922</t>
    <phoneticPr fontId="2"/>
  </si>
  <si>
    <t>ロッカー監視システム／修繕作業</t>
    <phoneticPr fontId="2"/>
  </si>
  <si>
    <t>TE01393047</t>
    <phoneticPr fontId="2"/>
  </si>
  <si>
    <t>0923</t>
    <phoneticPr fontId="2"/>
  </si>
  <si>
    <t xml:space="preserve">TE01391035 </t>
    <phoneticPr fontId="2"/>
  </si>
  <si>
    <t>0924</t>
    <phoneticPr fontId="2"/>
  </si>
  <si>
    <t>S変換ハーネス(SHH002)(5)</t>
    <phoneticPr fontId="2"/>
  </si>
  <si>
    <t xml:space="preserve">TE01389712 </t>
    <phoneticPr fontId="2"/>
  </si>
  <si>
    <t>@700円で回答してみましたがNGでした。</t>
    <phoneticPr fontId="2"/>
  </si>
  <si>
    <t>0925</t>
    <phoneticPr fontId="2"/>
  </si>
  <si>
    <t>新機能テスト作業／ホールコンピュータ機能改修</t>
    <phoneticPr fontId="2"/>
  </si>
  <si>
    <t xml:space="preserve">TE01395299 </t>
    <phoneticPr fontId="2"/>
  </si>
  <si>
    <t>TEK紛失により再発行</t>
    <phoneticPr fontId="2"/>
  </si>
  <si>
    <t>0926</t>
    <phoneticPr fontId="2"/>
  </si>
  <si>
    <t>5283</t>
    <phoneticPr fontId="2"/>
  </si>
  <si>
    <t>0927</t>
    <phoneticPr fontId="2"/>
  </si>
  <si>
    <t>既存ランプ交換（240台：既存→ビグモプレミアムⅡ）へのホールコン対応作業</t>
    <phoneticPr fontId="2"/>
  </si>
  <si>
    <t>5284</t>
    <phoneticPr fontId="2"/>
  </si>
  <si>
    <t>0928</t>
    <phoneticPr fontId="2"/>
  </si>
  <si>
    <t>能代</t>
    <phoneticPr fontId="2"/>
  </si>
  <si>
    <t>保守作業／アースクリップ調査</t>
    <phoneticPr fontId="2"/>
  </si>
  <si>
    <t>0929</t>
    <phoneticPr fontId="2"/>
  </si>
  <si>
    <t>ホールコンサポートセンター受付業務(5月分)</t>
    <phoneticPr fontId="2"/>
  </si>
  <si>
    <t>0930</t>
    <phoneticPr fontId="2"/>
  </si>
  <si>
    <t>紙幣搬送入替（1島）へのホールコン対応作業</t>
    <phoneticPr fontId="2"/>
  </si>
  <si>
    <t>5289</t>
    <phoneticPr fontId="2"/>
  </si>
  <si>
    <t>0931</t>
    <phoneticPr fontId="2"/>
  </si>
  <si>
    <t>個別計数機増設（384台）へのホールコン対応作業</t>
    <phoneticPr fontId="2"/>
  </si>
  <si>
    <t>5290</t>
    <phoneticPr fontId="2"/>
  </si>
  <si>
    <t>TE01394868</t>
    <phoneticPr fontId="2"/>
  </si>
  <si>
    <t>0932</t>
    <phoneticPr fontId="2"/>
  </si>
  <si>
    <t>個別計数機移設（40台）へのホールコン対応作業</t>
    <phoneticPr fontId="2"/>
  </si>
  <si>
    <t>5291</t>
    <phoneticPr fontId="2"/>
  </si>
  <si>
    <t>0933</t>
    <phoneticPr fontId="2"/>
  </si>
  <si>
    <t>店舗運用／保守定例業務</t>
    <phoneticPr fontId="2"/>
  </si>
  <si>
    <t>0934</t>
    <phoneticPr fontId="2"/>
  </si>
  <si>
    <t>テスト用FTCCLセットアップ</t>
    <phoneticPr fontId="2"/>
  </si>
  <si>
    <t>№1047でTEK見積</t>
  </si>
  <si>
    <t>0935</t>
    <phoneticPr fontId="2"/>
  </si>
  <si>
    <t>5292</t>
    <phoneticPr fontId="2"/>
  </si>
  <si>
    <t>TE01400449</t>
    <phoneticPr fontId="2"/>
  </si>
  <si>
    <t>0936</t>
    <phoneticPr fontId="2"/>
  </si>
  <si>
    <t>5293</t>
    <phoneticPr fontId="2"/>
  </si>
  <si>
    <t>0937</t>
    <phoneticPr fontId="2"/>
  </si>
  <si>
    <t>5294</t>
    <phoneticPr fontId="2"/>
  </si>
  <si>
    <t>TE01394066</t>
    <phoneticPr fontId="2"/>
  </si>
  <si>
    <t>0938</t>
    <phoneticPr fontId="2"/>
  </si>
  <si>
    <t>保守作業／ロッカー監視修繕</t>
    <phoneticPr fontId="2"/>
  </si>
  <si>
    <t>0939</t>
    <phoneticPr fontId="2"/>
  </si>
  <si>
    <t>PHCセットアップ作業補助／5月度分</t>
    <phoneticPr fontId="2"/>
  </si>
  <si>
    <t>0940</t>
  </si>
  <si>
    <t>羽曳野</t>
  </si>
  <si>
    <t>KKS老朽化補助／5月度</t>
  </si>
  <si>
    <t>0941</t>
    <phoneticPr fontId="2"/>
  </si>
  <si>
    <t>P増台（12台）／メダル貸しC（40台）へのホールコン対応作業</t>
    <phoneticPr fontId="2"/>
  </si>
  <si>
    <t>5295</t>
    <phoneticPr fontId="2"/>
  </si>
  <si>
    <t xml:space="preserve">TE01395847 </t>
    <phoneticPr fontId="2"/>
  </si>
  <si>
    <t>0942</t>
    <phoneticPr fontId="2"/>
  </si>
  <si>
    <t>5296</t>
    <phoneticPr fontId="2"/>
  </si>
  <si>
    <t>0943</t>
    <phoneticPr fontId="2"/>
  </si>
  <si>
    <t>POS老朽化更新／5月分</t>
    <phoneticPr fontId="2"/>
  </si>
  <si>
    <t>0944</t>
    <phoneticPr fontId="2"/>
  </si>
  <si>
    <t>TE01396902</t>
    <phoneticPr fontId="2"/>
  </si>
  <si>
    <t>0945</t>
    <phoneticPr fontId="2"/>
  </si>
  <si>
    <t>メダル貸しC'（21台）へのホールコン対応作業</t>
    <phoneticPr fontId="2"/>
  </si>
  <si>
    <t>5303</t>
    <phoneticPr fontId="2"/>
  </si>
  <si>
    <t>TE01400433</t>
    <phoneticPr fontId="2"/>
  </si>
  <si>
    <t>0946</t>
    <phoneticPr fontId="2"/>
  </si>
  <si>
    <t>5304k</t>
    <phoneticPr fontId="2"/>
  </si>
  <si>
    <t xml:space="preserve">TE01396570 </t>
    <phoneticPr fontId="2"/>
  </si>
  <si>
    <t>0947</t>
    <phoneticPr fontId="2"/>
  </si>
  <si>
    <t>5305</t>
    <phoneticPr fontId="2"/>
  </si>
  <si>
    <t>TE01402888</t>
    <phoneticPr fontId="2"/>
  </si>
  <si>
    <t>8月</t>
    <phoneticPr fontId="2"/>
  </si>
  <si>
    <t>0948</t>
    <phoneticPr fontId="2"/>
  </si>
  <si>
    <t>5306</t>
    <phoneticPr fontId="2"/>
  </si>
  <si>
    <t>作業なし</t>
  </si>
  <si>
    <t>0949</t>
    <phoneticPr fontId="2"/>
  </si>
  <si>
    <t xml:space="preserve">TE01392183 </t>
    <phoneticPr fontId="2"/>
  </si>
  <si>
    <t>0950</t>
    <phoneticPr fontId="2"/>
  </si>
  <si>
    <t>5308</t>
    <phoneticPr fontId="2"/>
  </si>
  <si>
    <t>0951</t>
    <phoneticPr fontId="2"/>
  </si>
  <si>
    <t>玉貸しC（80台）へのホールコン対応作業</t>
    <phoneticPr fontId="2"/>
  </si>
  <si>
    <t>5309</t>
    <phoneticPr fontId="2"/>
  </si>
  <si>
    <t>0952</t>
    <phoneticPr fontId="2"/>
  </si>
  <si>
    <t>既存ランプ交換（384台：既存ランプ→ビグモプレミアムⅡ）へのホールコン対応作業</t>
    <phoneticPr fontId="2"/>
  </si>
  <si>
    <t>5312</t>
    <phoneticPr fontId="2"/>
  </si>
  <si>
    <t>0953</t>
    <phoneticPr fontId="2"/>
  </si>
  <si>
    <t>老朽化更新：マルチコントローラ導入工事</t>
    <phoneticPr fontId="2"/>
  </si>
  <si>
    <t>0954</t>
    <phoneticPr fontId="2"/>
  </si>
  <si>
    <t>0955</t>
    <phoneticPr fontId="2"/>
  </si>
  <si>
    <t>0956</t>
    <phoneticPr fontId="2"/>
  </si>
  <si>
    <t>0957</t>
    <phoneticPr fontId="2"/>
  </si>
  <si>
    <t>0958</t>
    <phoneticPr fontId="2"/>
  </si>
  <si>
    <t>いわき</t>
    <phoneticPr fontId="2"/>
  </si>
  <si>
    <t>0959</t>
    <phoneticPr fontId="2"/>
  </si>
  <si>
    <t>0960</t>
    <phoneticPr fontId="2"/>
  </si>
  <si>
    <t>0961</t>
    <phoneticPr fontId="2"/>
  </si>
  <si>
    <t>0962</t>
    <phoneticPr fontId="2"/>
  </si>
  <si>
    <t>0963</t>
    <phoneticPr fontId="2"/>
  </si>
  <si>
    <t>老朽化更新：ホストコンピューター導入工事</t>
    <phoneticPr fontId="2"/>
  </si>
  <si>
    <t>0964</t>
    <phoneticPr fontId="2"/>
  </si>
  <si>
    <t>梅田</t>
    <phoneticPr fontId="2"/>
  </si>
  <si>
    <t>0965</t>
    <phoneticPr fontId="2"/>
  </si>
  <si>
    <t>0966</t>
    <phoneticPr fontId="2"/>
  </si>
  <si>
    <t>5313</t>
    <phoneticPr fontId="2"/>
  </si>
  <si>
    <t>0967</t>
    <phoneticPr fontId="2"/>
  </si>
  <si>
    <t>0968</t>
    <phoneticPr fontId="2"/>
  </si>
  <si>
    <t>0969</t>
    <phoneticPr fontId="2"/>
  </si>
  <si>
    <t>KKS老朽化更新（POS＋MDF）</t>
    <phoneticPr fontId="2"/>
  </si>
  <si>
    <t>0970</t>
    <phoneticPr fontId="2"/>
  </si>
  <si>
    <t>江別</t>
    <phoneticPr fontId="2"/>
  </si>
  <si>
    <t>0971</t>
    <phoneticPr fontId="2"/>
  </si>
  <si>
    <t>KKS老朽化更新（POS＋MDF）</t>
  </si>
  <si>
    <t>0972</t>
    <phoneticPr fontId="2"/>
  </si>
  <si>
    <t>0973</t>
    <phoneticPr fontId="2"/>
  </si>
  <si>
    <t>KKS老朽化更新（CL＋POS＋MDF）</t>
  </si>
  <si>
    <t>0974</t>
    <phoneticPr fontId="2"/>
  </si>
  <si>
    <t>KKS老朽化更新（CL＋MDF）</t>
  </si>
  <si>
    <t>0975</t>
    <phoneticPr fontId="2"/>
  </si>
  <si>
    <t>KKS老朽化更新（MDF）</t>
  </si>
  <si>
    <t>0976</t>
    <phoneticPr fontId="2"/>
  </si>
  <si>
    <t>0977</t>
    <phoneticPr fontId="2"/>
  </si>
  <si>
    <t>0978</t>
    <phoneticPr fontId="2"/>
  </si>
  <si>
    <t>0979</t>
    <phoneticPr fontId="2"/>
  </si>
  <si>
    <t>0980</t>
    <phoneticPr fontId="2"/>
  </si>
  <si>
    <t>0981</t>
    <phoneticPr fontId="2"/>
  </si>
  <si>
    <t>0982</t>
    <phoneticPr fontId="2"/>
  </si>
  <si>
    <t>0983</t>
    <phoneticPr fontId="2"/>
  </si>
  <si>
    <t>根室</t>
    <phoneticPr fontId="2"/>
  </si>
  <si>
    <t>0984</t>
    <phoneticPr fontId="2"/>
  </si>
  <si>
    <t>帯広</t>
    <phoneticPr fontId="2"/>
  </si>
  <si>
    <t>0985</t>
    <phoneticPr fontId="2"/>
  </si>
  <si>
    <t>柏林台</t>
    <phoneticPr fontId="2"/>
  </si>
  <si>
    <t>KKS老朽化更新（CL＋POS）</t>
  </si>
  <si>
    <t>0986</t>
    <phoneticPr fontId="2"/>
  </si>
  <si>
    <t>0987</t>
    <phoneticPr fontId="2"/>
  </si>
  <si>
    <t>事務机下配線の整線作業（HUB交換あり）</t>
    <phoneticPr fontId="2"/>
  </si>
  <si>
    <t>0988</t>
    <phoneticPr fontId="2"/>
  </si>
  <si>
    <t>5315</t>
    <phoneticPr fontId="2"/>
  </si>
  <si>
    <t>TE01398644</t>
    <phoneticPr fontId="2"/>
  </si>
  <si>
    <t>0989</t>
    <phoneticPr fontId="2"/>
  </si>
  <si>
    <t>事務所内PC機器レイアウト変更</t>
    <phoneticPr fontId="2"/>
  </si>
  <si>
    <t>5316</t>
    <phoneticPr fontId="2"/>
  </si>
  <si>
    <t>0990</t>
    <phoneticPr fontId="2"/>
  </si>
  <si>
    <t>0991</t>
    <phoneticPr fontId="2"/>
  </si>
  <si>
    <t>0992</t>
    <phoneticPr fontId="2"/>
  </si>
  <si>
    <t>5317</t>
    <phoneticPr fontId="2"/>
  </si>
  <si>
    <t>0993</t>
    <phoneticPr fontId="2"/>
  </si>
  <si>
    <t>5318</t>
    <phoneticPr fontId="2"/>
  </si>
  <si>
    <t>TE01397753</t>
    <phoneticPr fontId="2"/>
  </si>
  <si>
    <t>0994</t>
    <phoneticPr fontId="2"/>
  </si>
  <si>
    <t>0995</t>
    <phoneticPr fontId="2"/>
  </si>
  <si>
    <t>0996</t>
    <phoneticPr fontId="2"/>
  </si>
  <si>
    <t>0997</t>
    <phoneticPr fontId="2"/>
  </si>
  <si>
    <t>0998</t>
    <phoneticPr fontId="2"/>
  </si>
  <si>
    <t>新機能テスト作業／KKSコンソール用PCI基板</t>
    <phoneticPr fontId="2"/>
  </si>
  <si>
    <t xml:space="preserve">TE01399057 </t>
    <phoneticPr fontId="2"/>
  </si>
  <si>
    <t>0999</t>
    <phoneticPr fontId="2"/>
  </si>
  <si>
    <t>矢吹</t>
    <phoneticPr fontId="2"/>
  </si>
  <si>
    <t>5320</t>
    <phoneticPr fontId="2"/>
  </si>
  <si>
    <t>1000</t>
    <phoneticPr fontId="2"/>
  </si>
  <si>
    <t>5321</t>
    <phoneticPr fontId="2"/>
  </si>
  <si>
    <t>1001</t>
    <phoneticPr fontId="2"/>
  </si>
  <si>
    <t xml:space="preserve">TE01408070 </t>
    <phoneticPr fontId="2"/>
  </si>
  <si>
    <t>1002</t>
    <phoneticPr fontId="2"/>
  </si>
  <si>
    <t>1003</t>
    <phoneticPr fontId="2"/>
  </si>
  <si>
    <t>1004</t>
    <phoneticPr fontId="2"/>
  </si>
  <si>
    <t>1005</t>
    <phoneticPr fontId="2"/>
  </si>
  <si>
    <t>S社様向け_HTプログラム機能追加</t>
    <phoneticPr fontId="2"/>
  </si>
  <si>
    <t>15Z061033に統合</t>
  </si>
  <si>
    <t>1006</t>
    <phoneticPr fontId="2"/>
  </si>
  <si>
    <t>LAN敷設作業（事務所モニタラック～ホール）</t>
    <phoneticPr fontId="2"/>
  </si>
  <si>
    <t>1007</t>
    <phoneticPr fontId="2"/>
  </si>
  <si>
    <t>携帯システム関連／保守料（6月分）</t>
    <phoneticPr fontId="2"/>
  </si>
  <si>
    <t>1008</t>
    <phoneticPr fontId="2"/>
  </si>
  <si>
    <t>老朽化更新／UPS交換作業（富士電機製）　※現地作業あり</t>
    <phoneticPr fontId="2"/>
  </si>
  <si>
    <t>1009</t>
    <phoneticPr fontId="2"/>
  </si>
  <si>
    <t>老朽化更新／UPS交換作業（富士電機製）　※現地作業なし</t>
    <phoneticPr fontId="2"/>
  </si>
  <si>
    <t>1010</t>
    <phoneticPr fontId="2"/>
  </si>
  <si>
    <t>東レ三島工場3FYリプレース（3）</t>
    <phoneticPr fontId="2"/>
  </si>
  <si>
    <t>1011</t>
    <phoneticPr fontId="2"/>
  </si>
  <si>
    <t>5322</t>
    <phoneticPr fontId="2"/>
  </si>
  <si>
    <t>1012</t>
    <phoneticPr fontId="2"/>
  </si>
  <si>
    <t>玉貸しC（120台）へのホールコン対応作業</t>
    <phoneticPr fontId="2"/>
  </si>
  <si>
    <t>5323</t>
    <phoneticPr fontId="2"/>
  </si>
  <si>
    <t>1013</t>
    <phoneticPr fontId="2"/>
  </si>
  <si>
    <t>ウェアラブル端末のフィールドテスト補助作業</t>
    <phoneticPr fontId="2"/>
  </si>
  <si>
    <t>TE01405623</t>
    <phoneticPr fontId="2"/>
  </si>
  <si>
    <t>1014</t>
    <phoneticPr fontId="2"/>
  </si>
  <si>
    <t>5324</t>
    <phoneticPr fontId="2"/>
  </si>
  <si>
    <t>TE01403722</t>
    <phoneticPr fontId="2"/>
  </si>
  <si>
    <t>1015</t>
    <phoneticPr fontId="2"/>
  </si>
  <si>
    <t>S社様向け_成形資材管理_QRスキャナ対応</t>
    <phoneticPr fontId="2"/>
  </si>
  <si>
    <t>15Z061033に統合</t>
    <phoneticPr fontId="2"/>
  </si>
  <si>
    <t>1016</t>
    <phoneticPr fontId="2"/>
  </si>
  <si>
    <t>開発案件（ウェアラブル端末）フィールドテスト用試験機</t>
    <phoneticPr fontId="2"/>
  </si>
  <si>
    <t>1017</t>
    <phoneticPr fontId="2"/>
  </si>
  <si>
    <t>新機能テスト作業／データ監視</t>
    <phoneticPr fontId="2"/>
  </si>
  <si>
    <t xml:space="preserve">TE01396879 </t>
    <phoneticPr fontId="2"/>
  </si>
  <si>
    <t>1018</t>
    <phoneticPr fontId="2"/>
  </si>
  <si>
    <t>塩尻</t>
    <phoneticPr fontId="2"/>
  </si>
  <si>
    <t>1019</t>
    <phoneticPr fontId="2"/>
  </si>
  <si>
    <t>玉貸しC（67台）へのホールコン対応作業</t>
    <phoneticPr fontId="2"/>
  </si>
  <si>
    <t>5325</t>
    <phoneticPr fontId="2"/>
  </si>
  <si>
    <t>1020</t>
    <phoneticPr fontId="2"/>
  </si>
  <si>
    <t>5326</t>
    <phoneticPr fontId="2"/>
  </si>
  <si>
    <t>1021</t>
    <phoneticPr fontId="2"/>
  </si>
  <si>
    <t>新宿東宝ビル②</t>
    <phoneticPr fontId="2"/>
  </si>
  <si>
    <t>大型計数機撤去（1台）へのホールコン対応作業</t>
    <phoneticPr fontId="2"/>
  </si>
  <si>
    <t>5327</t>
    <phoneticPr fontId="2"/>
  </si>
  <si>
    <t>TE01402496</t>
    <phoneticPr fontId="2"/>
  </si>
  <si>
    <t>1022</t>
    <phoneticPr fontId="2"/>
  </si>
  <si>
    <t>玉貸しC（192台）へのホールコン対応作業</t>
    <phoneticPr fontId="2"/>
  </si>
  <si>
    <t>5328</t>
    <phoneticPr fontId="2"/>
  </si>
  <si>
    <t>1023</t>
    <phoneticPr fontId="2"/>
  </si>
  <si>
    <t>1024</t>
    <phoneticPr fontId="2"/>
  </si>
  <si>
    <t>水沢</t>
    <phoneticPr fontId="2"/>
  </si>
  <si>
    <t>LAN敷設作業（事務所モニタラック～会議室）</t>
    <phoneticPr fontId="2"/>
  </si>
  <si>
    <t>1025</t>
    <phoneticPr fontId="2"/>
  </si>
  <si>
    <t>5329</t>
    <phoneticPr fontId="2"/>
  </si>
  <si>
    <t>TE01401660</t>
    <phoneticPr fontId="2"/>
  </si>
  <si>
    <t>1026</t>
    <phoneticPr fontId="2"/>
  </si>
  <si>
    <t>ホールコンサポートセンター受付業務(6月分)</t>
    <phoneticPr fontId="2"/>
  </si>
  <si>
    <t>6月度</t>
    <phoneticPr fontId="2"/>
  </si>
  <si>
    <t>1027</t>
    <phoneticPr fontId="2"/>
  </si>
  <si>
    <t>個別計数機増設（300台）へのホールコン対応作業</t>
    <phoneticPr fontId="2"/>
  </si>
  <si>
    <t>5330</t>
    <phoneticPr fontId="2"/>
  </si>
  <si>
    <t xml:space="preserve">TE01402114 </t>
    <phoneticPr fontId="2"/>
  </si>
  <si>
    <t>1028</t>
    <phoneticPr fontId="2"/>
  </si>
  <si>
    <t>1029</t>
    <phoneticPr fontId="2"/>
  </si>
  <si>
    <t>1030</t>
    <phoneticPr fontId="2"/>
  </si>
  <si>
    <t>1031</t>
    <phoneticPr fontId="2"/>
  </si>
  <si>
    <t>5332</t>
    <phoneticPr fontId="2"/>
  </si>
  <si>
    <t>1032</t>
    <phoneticPr fontId="2"/>
  </si>
  <si>
    <t>5331</t>
    <phoneticPr fontId="2"/>
  </si>
  <si>
    <t>1033</t>
    <phoneticPr fontId="2"/>
  </si>
  <si>
    <t>S社様向け_HTプログラムQRスキャナ機能追加</t>
    <phoneticPr fontId="2"/>
  </si>
  <si>
    <t>TE01397748</t>
    <phoneticPr fontId="2"/>
  </si>
  <si>
    <t>1034</t>
    <phoneticPr fontId="2"/>
  </si>
  <si>
    <t>萩原</t>
    <phoneticPr fontId="2"/>
  </si>
  <si>
    <t>対応前に復旧</t>
  </si>
  <si>
    <t>1035</t>
    <phoneticPr fontId="2"/>
  </si>
  <si>
    <t>薩摩川内①</t>
    <phoneticPr fontId="2"/>
  </si>
  <si>
    <t>5333</t>
    <phoneticPr fontId="2"/>
  </si>
  <si>
    <t>1036</t>
    <phoneticPr fontId="2"/>
  </si>
  <si>
    <t>薩摩川内②</t>
    <phoneticPr fontId="2"/>
  </si>
  <si>
    <t>5334</t>
    <phoneticPr fontId="2"/>
  </si>
  <si>
    <t xml:space="preserve">TE01408560 </t>
    <phoneticPr fontId="2"/>
  </si>
  <si>
    <t>1037</t>
    <phoneticPr fontId="2"/>
  </si>
  <si>
    <t>5335</t>
    <phoneticPr fontId="2"/>
  </si>
  <si>
    <t>1038</t>
    <phoneticPr fontId="2"/>
  </si>
  <si>
    <t>5336</t>
    <phoneticPr fontId="2"/>
  </si>
  <si>
    <t>1039</t>
    <phoneticPr fontId="2"/>
  </si>
  <si>
    <t>ＬＡＮ敷設作業（勤怠ＰＣ用）</t>
    <phoneticPr fontId="2"/>
  </si>
  <si>
    <t>1040</t>
    <phoneticPr fontId="2"/>
  </si>
  <si>
    <t>1041</t>
    <phoneticPr fontId="2"/>
  </si>
  <si>
    <t>函館大門</t>
    <phoneticPr fontId="2"/>
  </si>
  <si>
    <t>1042</t>
    <phoneticPr fontId="2"/>
  </si>
  <si>
    <t>TPIスケジューラ改造</t>
    <phoneticPr fontId="2"/>
  </si>
  <si>
    <t>TE01400428</t>
    <phoneticPr fontId="2"/>
  </si>
  <si>
    <t>1043</t>
    <phoneticPr fontId="2"/>
  </si>
  <si>
    <t>1044</t>
    <phoneticPr fontId="2"/>
  </si>
  <si>
    <t>5337</t>
    <phoneticPr fontId="2"/>
  </si>
  <si>
    <t>1045</t>
    <phoneticPr fontId="2"/>
  </si>
  <si>
    <t>液晶ランプ撤去（399台）／メダル貸しC（29台）に伴うホールコンピュータ変更</t>
    <phoneticPr fontId="2"/>
  </si>
  <si>
    <t>5338</t>
    <phoneticPr fontId="2"/>
  </si>
  <si>
    <t>1046</t>
    <phoneticPr fontId="2"/>
  </si>
  <si>
    <t>液晶ランプ撤去（363台）に伴うホールコンピュータ変更</t>
    <phoneticPr fontId="2"/>
  </si>
  <si>
    <t>5339</t>
    <phoneticPr fontId="2"/>
  </si>
  <si>
    <t>TE01405420</t>
    <phoneticPr fontId="2"/>
  </si>
  <si>
    <t>1047</t>
    <phoneticPr fontId="2"/>
  </si>
  <si>
    <t>製造仕様変更に伴う、端末機セットアップ評価作業(KKS)</t>
    <phoneticPr fontId="2"/>
  </si>
  <si>
    <t>№934：フェイスセットアップ費用</t>
  </si>
  <si>
    <t>1048</t>
    <phoneticPr fontId="2"/>
  </si>
  <si>
    <t xml:space="preserve"> TE01400954 </t>
    <phoneticPr fontId="2"/>
  </si>
  <si>
    <t>1049</t>
    <phoneticPr fontId="2"/>
  </si>
  <si>
    <t>玉貸しC（18台）へのホールコン対応作業</t>
    <phoneticPr fontId="2"/>
  </si>
  <si>
    <t>5340</t>
    <phoneticPr fontId="2"/>
  </si>
  <si>
    <t xml:space="preserve">TE01405586 </t>
    <phoneticPr fontId="2"/>
  </si>
  <si>
    <t>1050</t>
    <phoneticPr fontId="2"/>
  </si>
  <si>
    <t>P増台（8台）／P減台（8台）へのホールコン対応作業</t>
    <phoneticPr fontId="2"/>
  </si>
  <si>
    <t>5341</t>
    <phoneticPr fontId="2"/>
  </si>
  <si>
    <t>1051</t>
    <phoneticPr fontId="2"/>
  </si>
  <si>
    <t>松本①</t>
    <phoneticPr fontId="2"/>
  </si>
  <si>
    <t>5342</t>
    <phoneticPr fontId="2"/>
  </si>
  <si>
    <t>1052</t>
    <phoneticPr fontId="2"/>
  </si>
  <si>
    <t>1053</t>
    <phoneticPr fontId="2"/>
  </si>
  <si>
    <t xml:space="preserve">TE01402115 </t>
    <phoneticPr fontId="2"/>
  </si>
  <si>
    <t>1054</t>
    <phoneticPr fontId="2"/>
  </si>
  <si>
    <t>氷上</t>
    <phoneticPr fontId="2"/>
  </si>
  <si>
    <t>1055</t>
    <phoneticPr fontId="2"/>
  </si>
  <si>
    <t>松本②</t>
    <phoneticPr fontId="2"/>
  </si>
  <si>
    <t>玉補給機交換（パルコン→TCP1／440台）に伴う作業</t>
    <phoneticPr fontId="2"/>
  </si>
  <si>
    <t>5343</t>
    <phoneticPr fontId="2"/>
  </si>
  <si>
    <t>TE01404126</t>
    <phoneticPr fontId="2"/>
  </si>
  <si>
    <t>1056</t>
    <phoneticPr fontId="2"/>
  </si>
  <si>
    <t>5344k</t>
    <phoneticPr fontId="2"/>
  </si>
  <si>
    <t>1057</t>
    <phoneticPr fontId="2"/>
  </si>
  <si>
    <t>小岩S館①</t>
    <phoneticPr fontId="2"/>
  </si>
  <si>
    <t>5345</t>
    <phoneticPr fontId="2"/>
  </si>
  <si>
    <t>1058</t>
    <phoneticPr fontId="2"/>
  </si>
  <si>
    <t>小岩S館②</t>
    <phoneticPr fontId="2"/>
  </si>
  <si>
    <t>液晶ランプ撤去（2F：154台）に伴うホールコンピュータ変更</t>
    <phoneticPr fontId="2"/>
  </si>
  <si>
    <t>5346</t>
    <phoneticPr fontId="2"/>
  </si>
  <si>
    <t xml:space="preserve">TE01406103 </t>
    <phoneticPr fontId="2"/>
  </si>
  <si>
    <t>1060</t>
    <phoneticPr fontId="2"/>
  </si>
  <si>
    <t>TE01398555</t>
    <phoneticPr fontId="2"/>
  </si>
  <si>
    <t>1061</t>
    <phoneticPr fontId="2"/>
  </si>
  <si>
    <t>1062</t>
    <phoneticPr fontId="2"/>
  </si>
  <si>
    <t>1063</t>
    <phoneticPr fontId="2"/>
  </si>
  <si>
    <t xml:space="preserve">TE01401089 </t>
    <phoneticPr fontId="2"/>
  </si>
  <si>
    <t>1064</t>
    <phoneticPr fontId="2"/>
  </si>
  <si>
    <t>1065</t>
    <phoneticPr fontId="2"/>
  </si>
  <si>
    <t>1066</t>
    <phoneticPr fontId="2"/>
  </si>
  <si>
    <t>1067</t>
    <phoneticPr fontId="2"/>
  </si>
  <si>
    <t>1068</t>
    <phoneticPr fontId="2"/>
  </si>
  <si>
    <t>1070</t>
    <phoneticPr fontId="2"/>
  </si>
  <si>
    <t>TE01402506</t>
    <phoneticPr fontId="2"/>
  </si>
  <si>
    <t>1071</t>
    <phoneticPr fontId="2"/>
  </si>
  <si>
    <t>1072</t>
    <phoneticPr fontId="2"/>
  </si>
  <si>
    <t>1073</t>
    <phoneticPr fontId="2"/>
  </si>
  <si>
    <t>1074</t>
    <phoneticPr fontId="2"/>
  </si>
  <si>
    <t>1075</t>
    <phoneticPr fontId="2"/>
  </si>
  <si>
    <t>1076</t>
    <phoneticPr fontId="2"/>
  </si>
  <si>
    <t>1077</t>
    <phoneticPr fontId="2"/>
  </si>
  <si>
    <t>1078</t>
    <phoneticPr fontId="2"/>
  </si>
  <si>
    <t>1079</t>
    <phoneticPr fontId="2"/>
  </si>
  <si>
    <t>1080</t>
    <phoneticPr fontId="2"/>
  </si>
  <si>
    <t>1081</t>
    <phoneticPr fontId="2"/>
  </si>
  <si>
    <t>1082</t>
    <phoneticPr fontId="2"/>
  </si>
  <si>
    <t>1083</t>
    <phoneticPr fontId="2"/>
  </si>
  <si>
    <t>中止7/1</t>
  </si>
  <si>
    <t>1084</t>
    <phoneticPr fontId="2"/>
  </si>
  <si>
    <t>1085</t>
    <phoneticPr fontId="2"/>
  </si>
  <si>
    <t>1086</t>
    <phoneticPr fontId="2"/>
  </si>
  <si>
    <t>1087</t>
    <phoneticPr fontId="2"/>
  </si>
  <si>
    <t>1088</t>
    <phoneticPr fontId="2"/>
  </si>
  <si>
    <t>1089</t>
    <phoneticPr fontId="2"/>
  </si>
  <si>
    <t>1090</t>
    <phoneticPr fontId="2"/>
  </si>
  <si>
    <t>1091</t>
    <phoneticPr fontId="2"/>
  </si>
  <si>
    <t>5348</t>
    <phoneticPr fontId="2"/>
  </si>
  <si>
    <t xml:space="preserve"> TE01401092  </t>
    <phoneticPr fontId="2"/>
  </si>
  <si>
    <t>1092</t>
    <phoneticPr fontId="2"/>
  </si>
  <si>
    <t>1093</t>
    <phoneticPr fontId="2"/>
  </si>
  <si>
    <t>1094</t>
    <phoneticPr fontId="2"/>
  </si>
  <si>
    <t>製造仕様変更に伴う、端末機セットアップ評価作業(ホスト、セキュリティ)</t>
    <phoneticPr fontId="2"/>
  </si>
  <si>
    <t>1095</t>
    <phoneticPr fontId="2"/>
  </si>
  <si>
    <t>1096</t>
    <phoneticPr fontId="2"/>
  </si>
  <si>
    <t>PHCセットアップ作業補助／6月度分</t>
    <phoneticPr fontId="2"/>
  </si>
  <si>
    <t>1097</t>
    <phoneticPr fontId="2"/>
  </si>
  <si>
    <t>P増台（16台）／売上機変更（40台）へのホールコン対応作業</t>
    <phoneticPr fontId="2"/>
  </si>
  <si>
    <t>5349k</t>
    <phoneticPr fontId="2"/>
  </si>
  <si>
    <t>1098</t>
    <phoneticPr fontId="2"/>
  </si>
  <si>
    <t>紙幣搬送入替（12島）／メダル貸しC（36台）へのホールコン対応作業</t>
    <phoneticPr fontId="2"/>
  </si>
  <si>
    <t>5350</t>
    <phoneticPr fontId="2"/>
  </si>
  <si>
    <t>1099</t>
    <phoneticPr fontId="2"/>
  </si>
  <si>
    <t>液晶ランプ撤去（279台）に伴うホールコンピュータ変更</t>
    <phoneticPr fontId="2"/>
  </si>
  <si>
    <t>5351</t>
    <phoneticPr fontId="2"/>
  </si>
  <si>
    <t>TE01408562</t>
    <phoneticPr fontId="2"/>
  </si>
  <si>
    <t>1100</t>
    <phoneticPr fontId="2"/>
  </si>
  <si>
    <t>個別計数機増設（843台）へのホールコン対応作業</t>
    <phoneticPr fontId="2"/>
  </si>
  <si>
    <t>5352k</t>
    <phoneticPr fontId="2"/>
  </si>
  <si>
    <t>1101</t>
    <phoneticPr fontId="2"/>
  </si>
  <si>
    <t>TE01400372</t>
    <phoneticPr fontId="2"/>
  </si>
  <si>
    <t>1102</t>
    <phoneticPr fontId="2"/>
  </si>
  <si>
    <t>紙幣搬送入替（18島）へのホールコン対応作業</t>
    <phoneticPr fontId="2"/>
  </si>
  <si>
    <t>5353</t>
    <phoneticPr fontId="2"/>
  </si>
  <si>
    <t>TE01410521</t>
    <phoneticPr fontId="2"/>
  </si>
  <si>
    <t>1103</t>
    <phoneticPr fontId="2"/>
  </si>
  <si>
    <t>5354</t>
    <phoneticPr fontId="2"/>
  </si>
  <si>
    <t>1104</t>
    <phoneticPr fontId="2"/>
  </si>
  <si>
    <t>5355</t>
    <phoneticPr fontId="2"/>
  </si>
  <si>
    <t>1105</t>
    <phoneticPr fontId="2"/>
  </si>
  <si>
    <t>5356</t>
    <phoneticPr fontId="2"/>
  </si>
  <si>
    <t>1106</t>
    <phoneticPr fontId="2"/>
  </si>
  <si>
    <t>5357</t>
    <phoneticPr fontId="2"/>
  </si>
  <si>
    <t xml:space="preserve">TE01403174 </t>
    <phoneticPr fontId="2"/>
  </si>
  <si>
    <t>1107</t>
    <phoneticPr fontId="2"/>
  </si>
  <si>
    <t>事務所内PC機器レイアウト変更／追加作業（モニタラック内配線整理）</t>
    <phoneticPr fontId="2"/>
  </si>
  <si>
    <t>1109</t>
    <phoneticPr fontId="2"/>
  </si>
  <si>
    <t>1110</t>
    <phoneticPr fontId="2"/>
  </si>
  <si>
    <t>8月</t>
  </si>
  <si>
    <t>1111</t>
    <phoneticPr fontId="2"/>
  </si>
  <si>
    <t>1112</t>
    <phoneticPr fontId="2"/>
  </si>
  <si>
    <t>1113</t>
    <phoneticPr fontId="2"/>
  </si>
  <si>
    <t>1114</t>
    <phoneticPr fontId="2"/>
  </si>
  <si>
    <t>1115</t>
    <phoneticPr fontId="2"/>
  </si>
  <si>
    <t>1116</t>
    <phoneticPr fontId="2"/>
  </si>
  <si>
    <t>保守作業／ネットワーク異常（第二回線）</t>
    <phoneticPr fontId="2"/>
  </si>
  <si>
    <t>1117</t>
    <phoneticPr fontId="2"/>
  </si>
  <si>
    <t>1118</t>
    <phoneticPr fontId="2"/>
  </si>
  <si>
    <t>東レ三島工場3FYリプレース（3） 再見積</t>
    <phoneticPr fontId="2"/>
  </si>
  <si>
    <t>TE01402113</t>
    <phoneticPr fontId="2"/>
  </si>
  <si>
    <t>1119</t>
    <phoneticPr fontId="2"/>
  </si>
  <si>
    <t>1120</t>
    <phoneticPr fontId="2"/>
  </si>
  <si>
    <t>1121</t>
    <phoneticPr fontId="2"/>
  </si>
  <si>
    <t>P→S（40台）／メダル貸しC（94台）へのホールコン対応作業</t>
    <phoneticPr fontId="2"/>
  </si>
  <si>
    <t>5359</t>
    <phoneticPr fontId="2"/>
  </si>
  <si>
    <t>1122</t>
    <phoneticPr fontId="2"/>
  </si>
  <si>
    <t>ダミー個別計数機導入（272台）へのホールコン対応作業</t>
    <phoneticPr fontId="2"/>
  </si>
  <si>
    <t>5360</t>
    <phoneticPr fontId="2"/>
  </si>
  <si>
    <t>1123</t>
    <phoneticPr fontId="2"/>
  </si>
  <si>
    <t>P増台（28台）へのホールコン対応作業</t>
    <phoneticPr fontId="2"/>
  </si>
  <si>
    <t>5361</t>
    <phoneticPr fontId="2"/>
  </si>
  <si>
    <t>1124</t>
    <phoneticPr fontId="2"/>
  </si>
  <si>
    <t>POS老朽化更新／6月分</t>
    <phoneticPr fontId="2"/>
  </si>
  <si>
    <t>1125</t>
    <phoneticPr fontId="2"/>
  </si>
  <si>
    <t>保守作業／ユウセン不通</t>
    <phoneticPr fontId="2"/>
  </si>
  <si>
    <t>1126</t>
    <phoneticPr fontId="2"/>
  </si>
  <si>
    <t>個別計数機移設（96台）へのホールコン対応作業</t>
    <phoneticPr fontId="2"/>
  </si>
  <si>
    <t>5362k</t>
    <phoneticPr fontId="2"/>
  </si>
  <si>
    <t xml:space="preserve">TE01405424 </t>
    <phoneticPr fontId="2"/>
  </si>
  <si>
    <t>1127</t>
    <phoneticPr fontId="2"/>
  </si>
  <si>
    <t>個別計数機増設（153台）へのホールコン対応作業</t>
    <phoneticPr fontId="2"/>
  </si>
  <si>
    <t>5363</t>
    <phoneticPr fontId="2"/>
  </si>
  <si>
    <t>1128</t>
    <phoneticPr fontId="2"/>
  </si>
  <si>
    <t>5364</t>
    <phoneticPr fontId="2"/>
  </si>
  <si>
    <t>TE01409122</t>
    <phoneticPr fontId="2"/>
  </si>
  <si>
    <t>1129</t>
    <phoneticPr fontId="2"/>
  </si>
  <si>
    <t>5365</t>
    <phoneticPr fontId="2"/>
  </si>
  <si>
    <t>1130</t>
    <phoneticPr fontId="2"/>
  </si>
  <si>
    <t>1131</t>
    <phoneticPr fontId="2"/>
  </si>
  <si>
    <t>1132</t>
    <phoneticPr fontId="2"/>
  </si>
  <si>
    <t>1133</t>
    <phoneticPr fontId="2"/>
  </si>
  <si>
    <t>追加工事／周辺機器変更</t>
    <phoneticPr fontId="2"/>
  </si>
  <si>
    <t>1134</t>
    <phoneticPr fontId="2"/>
  </si>
  <si>
    <t>評価用ネットワークカメラシステム導入工事</t>
    <phoneticPr fontId="2"/>
  </si>
  <si>
    <t>TE01403725</t>
    <phoneticPr fontId="2"/>
  </si>
  <si>
    <t>1135</t>
    <phoneticPr fontId="2"/>
  </si>
  <si>
    <t>LAN敷設作業（勤怠PC用）</t>
    <phoneticPr fontId="2"/>
  </si>
  <si>
    <t>1136</t>
    <phoneticPr fontId="2"/>
  </si>
  <si>
    <t>1137</t>
    <phoneticPr fontId="2"/>
  </si>
  <si>
    <t>静岡</t>
    <phoneticPr fontId="2"/>
  </si>
  <si>
    <t>メダル貸しC（84台）へのホールコン対応作業</t>
    <phoneticPr fontId="2"/>
  </si>
  <si>
    <t>5366</t>
    <phoneticPr fontId="2"/>
  </si>
  <si>
    <t>1138</t>
    <phoneticPr fontId="2"/>
  </si>
  <si>
    <t>携帯システム関連／保守料（7月分）</t>
    <phoneticPr fontId="2"/>
  </si>
  <si>
    <t>TE01404645</t>
    <phoneticPr fontId="2"/>
  </si>
  <si>
    <t>1139</t>
    <phoneticPr fontId="2"/>
  </si>
  <si>
    <t>P増台（2台）へのホールコン対応作業</t>
    <phoneticPr fontId="2"/>
  </si>
  <si>
    <t>5367</t>
    <phoneticPr fontId="2"/>
  </si>
  <si>
    <t>07</t>
  </si>
  <si>
    <t>TE01409124</t>
    <phoneticPr fontId="2"/>
  </si>
  <si>
    <t>1141</t>
    <phoneticPr fontId="2"/>
  </si>
  <si>
    <t>5369</t>
    <phoneticPr fontId="2"/>
  </si>
  <si>
    <t>TE01404644</t>
    <phoneticPr fontId="2"/>
  </si>
  <si>
    <t>1142</t>
    <phoneticPr fontId="2"/>
  </si>
  <si>
    <t>5390</t>
    <phoneticPr fontId="2"/>
  </si>
  <si>
    <t>1143</t>
    <phoneticPr fontId="2"/>
  </si>
  <si>
    <t>TE01407090</t>
    <phoneticPr fontId="2"/>
  </si>
  <si>
    <t>1144</t>
    <phoneticPr fontId="2"/>
  </si>
  <si>
    <t>1145</t>
    <phoneticPr fontId="2"/>
  </si>
  <si>
    <t>5391</t>
    <phoneticPr fontId="2"/>
  </si>
  <si>
    <t xml:space="preserve"> TE01407082 </t>
    <phoneticPr fontId="2"/>
  </si>
  <si>
    <t>TE01409119</t>
    <phoneticPr fontId="2"/>
  </si>
  <si>
    <t>1147</t>
    <phoneticPr fontId="2"/>
  </si>
  <si>
    <t>5393</t>
    <phoneticPr fontId="2"/>
  </si>
  <si>
    <t>1148</t>
    <phoneticPr fontId="2"/>
  </si>
  <si>
    <t>1149</t>
    <phoneticPr fontId="2"/>
  </si>
  <si>
    <t>5395</t>
    <phoneticPr fontId="2"/>
  </si>
  <si>
    <t xml:space="preserve">TE01408129 </t>
    <phoneticPr fontId="2"/>
  </si>
  <si>
    <t>1150</t>
    <phoneticPr fontId="2"/>
  </si>
  <si>
    <t>1151</t>
    <phoneticPr fontId="2"/>
  </si>
  <si>
    <t>1152</t>
    <phoneticPr fontId="2"/>
  </si>
  <si>
    <t>玉_メダル貸しC（52台）へのホールコン対応作業</t>
    <phoneticPr fontId="2"/>
  </si>
  <si>
    <t>TE01410513</t>
    <phoneticPr fontId="2"/>
  </si>
  <si>
    <t>1153</t>
    <phoneticPr fontId="2"/>
  </si>
  <si>
    <t>5396</t>
    <phoneticPr fontId="2"/>
  </si>
  <si>
    <t>1154</t>
    <phoneticPr fontId="2"/>
  </si>
  <si>
    <t>個別計数機増設（188台）へのホールコン対応作業</t>
    <phoneticPr fontId="2"/>
  </si>
  <si>
    <t>5397</t>
    <phoneticPr fontId="2"/>
  </si>
  <si>
    <t>1155</t>
    <phoneticPr fontId="2"/>
  </si>
  <si>
    <t>個別計数機増設（140台）へのホールコン対応作業</t>
    <phoneticPr fontId="2"/>
  </si>
  <si>
    <t>5398</t>
    <phoneticPr fontId="2"/>
  </si>
  <si>
    <t>1156</t>
    <phoneticPr fontId="2"/>
  </si>
  <si>
    <t>7/16:復旧によりキャンセル</t>
  </si>
  <si>
    <t>1157</t>
    <phoneticPr fontId="2"/>
  </si>
  <si>
    <t>1158</t>
    <phoneticPr fontId="2"/>
  </si>
  <si>
    <t>1159</t>
    <phoneticPr fontId="2"/>
  </si>
  <si>
    <t>スロットインターフェイスハーネス</t>
    <phoneticPr fontId="2"/>
  </si>
  <si>
    <t>TE01405221</t>
    <phoneticPr fontId="2"/>
  </si>
  <si>
    <t>1160</t>
    <phoneticPr fontId="2"/>
  </si>
  <si>
    <t>1161</t>
    <phoneticPr fontId="2"/>
  </si>
  <si>
    <t>5399</t>
    <phoneticPr fontId="2"/>
  </si>
  <si>
    <t>1162</t>
    <phoneticPr fontId="2"/>
  </si>
  <si>
    <t>玉貸しC（240台）へのホールコン対応作業</t>
    <phoneticPr fontId="2"/>
  </si>
  <si>
    <t>5400</t>
    <phoneticPr fontId="2"/>
  </si>
  <si>
    <t>1163</t>
    <phoneticPr fontId="2"/>
  </si>
  <si>
    <t>1164</t>
    <phoneticPr fontId="2"/>
  </si>
  <si>
    <t>ホールコンサポートセンター受付業務(7月分)</t>
    <phoneticPr fontId="2"/>
  </si>
  <si>
    <t xml:space="preserve"> TE01406099 </t>
    <phoneticPr fontId="2"/>
  </si>
  <si>
    <t>1165</t>
    <phoneticPr fontId="2"/>
  </si>
  <si>
    <t>1166</t>
    <phoneticPr fontId="2"/>
  </si>
  <si>
    <t>工程表サポート機能開発</t>
    <phoneticPr fontId="2"/>
  </si>
  <si>
    <t>TE01411166</t>
    <phoneticPr fontId="2"/>
  </si>
  <si>
    <t>1169</t>
    <phoneticPr fontId="2"/>
  </si>
  <si>
    <t>5403</t>
    <phoneticPr fontId="2"/>
  </si>
  <si>
    <t>7/24：HC変更工事なし</t>
    <phoneticPr fontId="2"/>
  </si>
  <si>
    <t>1170</t>
    <phoneticPr fontId="2"/>
  </si>
  <si>
    <t>5404</t>
    <phoneticPr fontId="2"/>
  </si>
  <si>
    <t>1171</t>
    <phoneticPr fontId="2"/>
  </si>
  <si>
    <t>1172</t>
    <phoneticPr fontId="2"/>
  </si>
  <si>
    <t>1173</t>
    <phoneticPr fontId="2"/>
  </si>
  <si>
    <t>TE01408134</t>
    <phoneticPr fontId="2"/>
  </si>
  <si>
    <t>7/19：8月→9月に延期／7/24：FF延期処理</t>
    <phoneticPr fontId="2"/>
  </si>
  <si>
    <t>1174</t>
    <phoneticPr fontId="2"/>
  </si>
  <si>
    <t>1175</t>
    <phoneticPr fontId="2"/>
  </si>
  <si>
    <t>1176</t>
    <phoneticPr fontId="2"/>
  </si>
  <si>
    <t>1177</t>
    <phoneticPr fontId="2"/>
  </si>
  <si>
    <t>1178</t>
    <phoneticPr fontId="2"/>
  </si>
  <si>
    <t>5405</t>
    <phoneticPr fontId="2"/>
  </si>
  <si>
    <t>1180</t>
    <phoneticPr fontId="2"/>
  </si>
  <si>
    <t>LAN敷設作業（事務所モニタラック～食堂）※WifiAP用</t>
    <phoneticPr fontId="2"/>
  </si>
  <si>
    <t>1181</t>
    <phoneticPr fontId="2"/>
  </si>
  <si>
    <t>LAN敷設作業（事務所モニタラック～会議室）※Wifi AP用</t>
    <phoneticPr fontId="2"/>
  </si>
  <si>
    <t>1183</t>
    <phoneticPr fontId="2"/>
  </si>
  <si>
    <t>LAN敷設作業（事務所モニタラック～食堂）※Wifi AP用</t>
    <phoneticPr fontId="2"/>
  </si>
  <si>
    <t>1186</t>
    <phoneticPr fontId="2"/>
  </si>
  <si>
    <t>1187</t>
    <phoneticPr fontId="2"/>
  </si>
  <si>
    <t>東三条</t>
    <phoneticPr fontId="2"/>
  </si>
  <si>
    <t>1188</t>
    <phoneticPr fontId="2"/>
  </si>
  <si>
    <t>宮町</t>
    <phoneticPr fontId="2"/>
  </si>
  <si>
    <t>1189</t>
    <phoneticPr fontId="2"/>
  </si>
  <si>
    <t>1190</t>
    <phoneticPr fontId="2"/>
  </si>
  <si>
    <t>新機能テスト作業／自己申告プログラム</t>
    <phoneticPr fontId="2"/>
  </si>
  <si>
    <t>TE01410515</t>
    <phoneticPr fontId="2"/>
  </si>
  <si>
    <t>1191</t>
    <phoneticPr fontId="2"/>
  </si>
  <si>
    <t>マルハン</t>
  </si>
  <si>
    <t>エス．イー．ティー</t>
  </si>
  <si>
    <t>1192</t>
    <phoneticPr fontId="2"/>
  </si>
  <si>
    <t>液晶ランプ整備費用(7月)</t>
    <phoneticPr fontId="2"/>
  </si>
  <si>
    <t>1193</t>
    <phoneticPr fontId="2"/>
  </si>
  <si>
    <t>液晶ランプ整備費用(8月)</t>
    <phoneticPr fontId="2"/>
  </si>
  <si>
    <t>1194</t>
    <phoneticPr fontId="2"/>
  </si>
  <si>
    <t>PHCセットアップ作業補助／7月度分</t>
    <phoneticPr fontId="2"/>
  </si>
  <si>
    <t>1195</t>
    <phoneticPr fontId="2"/>
  </si>
  <si>
    <t>新保守管理システム／外部設計</t>
    <phoneticPr fontId="2"/>
  </si>
  <si>
    <t>1196</t>
    <phoneticPr fontId="2"/>
  </si>
  <si>
    <t>新保守管理システム／内部設計</t>
    <phoneticPr fontId="2"/>
  </si>
  <si>
    <t>1197</t>
    <phoneticPr fontId="2"/>
  </si>
  <si>
    <t>新保守管理システム／構築</t>
    <phoneticPr fontId="2"/>
  </si>
  <si>
    <t>1198</t>
    <phoneticPr fontId="2"/>
  </si>
  <si>
    <t>新保守管理システム／実装</t>
    <phoneticPr fontId="2"/>
  </si>
  <si>
    <t>1199</t>
    <phoneticPr fontId="2"/>
  </si>
  <si>
    <t>新保守管理システム／リリース</t>
    <phoneticPr fontId="2"/>
  </si>
  <si>
    <t>1201</t>
    <phoneticPr fontId="2"/>
  </si>
  <si>
    <t>5407</t>
    <phoneticPr fontId="2"/>
  </si>
  <si>
    <t>1203</t>
    <phoneticPr fontId="2"/>
  </si>
  <si>
    <t>1204</t>
    <phoneticPr fontId="2"/>
  </si>
  <si>
    <t>1205</t>
    <phoneticPr fontId="2"/>
  </si>
  <si>
    <t>1206</t>
    <phoneticPr fontId="2"/>
  </si>
  <si>
    <t>1207</t>
    <phoneticPr fontId="2"/>
  </si>
  <si>
    <t>1208</t>
    <phoneticPr fontId="2"/>
  </si>
  <si>
    <t>1209</t>
    <phoneticPr fontId="2"/>
  </si>
  <si>
    <t>1210</t>
    <phoneticPr fontId="2"/>
  </si>
  <si>
    <t>1211</t>
    <phoneticPr fontId="2"/>
  </si>
  <si>
    <t>1212</t>
    <phoneticPr fontId="2"/>
  </si>
  <si>
    <t>1213</t>
    <phoneticPr fontId="2"/>
  </si>
  <si>
    <t>1214</t>
    <phoneticPr fontId="2"/>
  </si>
  <si>
    <t>1215</t>
    <phoneticPr fontId="2"/>
  </si>
  <si>
    <t>1216</t>
    <phoneticPr fontId="2"/>
  </si>
  <si>
    <t>1217</t>
    <phoneticPr fontId="2"/>
  </si>
  <si>
    <t>TE01409158</t>
    <phoneticPr fontId="2"/>
  </si>
  <si>
    <t>1218</t>
    <phoneticPr fontId="2"/>
  </si>
  <si>
    <t>評価用ネットワークカメラシステムセットアップ作業</t>
    <phoneticPr fontId="2"/>
  </si>
  <si>
    <t xml:space="preserve">TE01410200 </t>
    <phoneticPr fontId="2"/>
  </si>
  <si>
    <t>1219</t>
  </si>
  <si>
    <t>台コン検査／その他</t>
  </si>
  <si>
    <t>会津若松</t>
  </si>
  <si>
    <t>焼津</t>
  </si>
  <si>
    <t>高浜</t>
  </si>
  <si>
    <t>大館</t>
  </si>
  <si>
    <t xml:space="preserve">TE01411167 </t>
    <phoneticPr fontId="2"/>
  </si>
  <si>
    <t>1229</t>
    <phoneticPr fontId="2"/>
  </si>
  <si>
    <t>1233</t>
    <phoneticPr fontId="2"/>
  </si>
  <si>
    <t>千葉北</t>
    <phoneticPr fontId="2"/>
  </si>
  <si>
    <t>1235</t>
    <phoneticPr fontId="2"/>
  </si>
  <si>
    <t>1236</t>
    <phoneticPr fontId="2"/>
  </si>
  <si>
    <t>1241</t>
    <phoneticPr fontId="2"/>
  </si>
  <si>
    <t>1245</t>
    <phoneticPr fontId="2"/>
  </si>
  <si>
    <t>5397k</t>
    <phoneticPr fontId="2"/>
  </si>
  <si>
    <t>1252</t>
    <phoneticPr fontId="2"/>
  </si>
  <si>
    <t>仙台新港</t>
    <phoneticPr fontId="2"/>
  </si>
  <si>
    <t>1253</t>
    <phoneticPr fontId="2"/>
  </si>
  <si>
    <t>十和田</t>
    <phoneticPr fontId="2"/>
  </si>
  <si>
    <t>1254</t>
    <phoneticPr fontId="2"/>
  </si>
  <si>
    <t>1257</t>
    <phoneticPr fontId="2"/>
  </si>
  <si>
    <t xml:space="preserve">TE01411002 </t>
    <phoneticPr fontId="2"/>
  </si>
  <si>
    <t>1258</t>
    <phoneticPr fontId="2"/>
  </si>
  <si>
    <t>1259</t>
    <phoneticPr fontId="2"/>
  </si>
  <si>
    <t>1261</t>
    <phoneticPr fontId="2"/>
  </si>
  <si>
    <t>携帯システム関連／保守料（8月分）</t>
    <phoneticPr fontId="2"/>
  </si>
  <si>
    <t>1267</t>
    <phoneticPr fontId="2"/>
  </si>
  <si>
    <t>1268</t>
    <phoneticPr fontId="2"/>
  </si>
  <si>
    <t>1270</t>
    <phoneticPr fontId="2"/>
  </si>
  <si>
    <t>1271</t>
    <phoneticPr fontId="2"/>
  </si>
  <si>
    <t>1272</t>
    <phoneticPr fontId="2"/>
  </si>
  <si>
    <t>1273</t>
    <phoneticPr fontId="2"/>
  </si>
  <si>
    <t>1274</t>
    <phoneticPr fontId="2"/>
  </si>
  <si>
    <t>1275</t>
    <phoneticPr fontId="2"/>
  </si>
  <si>
    <t>1276</t>
    <phoneticPr fontId="2"/>
  </si>
  <si>
    <t>1277</t>
    <phoneticPr fontId="2"/>
  </si>
  <si>
    <t>1278</t>
    <phoneticPr fontId="2"/>
  </si>
  <si>
    <t>1279</t>
    <phoneticPr fontId="2"/>
  </si>
  <si>
    <t>1282</t>
    <phoneticPr fontId="2"/>
  </si>
  <si>
    <t>1283</t>
    <phoneticPr fontId="2"/>
  </si>
  <si>
    <t>1284</t>
    <phoneticPr fontId="2"/>
  </si>
  <si>
    <t>1285</t>
    <phoneticPr fontId="2"/>
  </si>
  <si>
    <t>1286</t>
    <phoneticPr fontId="2"/>
  </si>
  <si>
    <t>1287</t>
    <phoneticPr fontId="2"/>
  </si>
  <si>
    <t>1288</t>
    <phoneticPr fontId="2"/>
  </si>
  <si>
    <t>1289</t>
    <phoneticPr fontId="2"/>
  </si>
  <si>
    <t>1291</t>
    <phoneticPr fontId="2"/>
  </si>
  <si>
    <t>1298</t>
    <phoneticPr fontId="2"/>
  </si>
  <si>
    <t>1292</t>
    <phoneticPr fontId="2"/>
  </si>
  <si>
    <t>1293</t>
    <phoneticPr fontId="2"/>
  </si>
  <si>
    <t>1294</t>
    <phoneticPr fontId="2"/>
  </si>
  <si>
    <t>1295</t>
    <phoneticPr fontId="2"/>
  </si>
  <si>
    <t>1296</t>
    <phoneticPr fontId="2"/>
  </si>
  <si>
    <t>1297</t>
    <phoneticPr fontId="2"/>
  </si>
  <si>
    <t>1140</t>
    <phoneticPr fontId="2"/>
  </si>
  <si>
    <t>砂川</t>
    <phoneticPr fontId="2"/>
  </si>
  <si>
    <t>5368</t>
    <phoneticPr fontId="2"/>
  </si>
  <si>
    <t>1302</t>
    <phoneticPr fontId="2"/>
  </si>
  <si>
    <t>1239</t>
    <phoneticPr fontId="2"/>
  </si>
  <si>
    <t>1303</t>
    <phoneticPr fontId="2"/>
  </si>
  <si>
    <t>1304</t>
    <phoneticPr fontId="2"/>
  </si>
  <si>
    <t>1305</t>
    <phoneticPr fontId="2"/>
  </si>
  <si>
    <t>1069</t>
    <phoneticPr fontId="2"/>
  </si>
  <si>
    <t>網走</t>
    <phoneticPr fontId="2"/>
  </si>
  <si>
    <t>1108</t>
    <phoneticPr fontId="2"/>
  </si>
  <si>
    <t>1146</t>
    <phoneticPr fontId="2"/>
  </si>
  <si>
    <t>5392</t>
    <phoneticPr fontId="2"/>
  </si>
  <si>
    <t>S社様 運転管理システム HT画面追加</t>
    <phoneticPr fontId="2"/>
  </si>
  <si>
    <t>1307</t>
    <phoneticPr fontId="2"/>
  </si>
  <si>
    <t>ホールコンサポートセンター受付業務(8月分)</t>
    <phoneticPr fontId="2"/>
  </si>
  <si>
    <t xml:space="preserve">TE01411932 </t>
    <phoneticPr fontId="2"/>
  </si>
  <si>
    <t>1185</t>
    <phoneticPr fontId="2"/>
  </si>
  <si>
    <t>LAN敷設作業（事務所モニタラック～応接室）※Wifi AP用</t>
    <phoneticPr fontId="2"/>
  </si>
  <si>
    <t>1184</t>
    <phoneticPr fontId="2"/>
  </si>
  <si>
    <t>1182</t>
    <phoneticPr fontId="2"/>
  </si>
  <si>
    <t>1312</t>
    <phoneticPr fontId="2"/>
  </si>
  <si>
    <t>LM5自検レビュー装置999面対応</t>
    <phoneticPr fontId="2"/>
  </si>
  <si>
    <t xml:space="preserve">TE01412588 </t>
    <phoneticPr fontId="2"/>
  </si>
  <si>
    <t xml:space="preserve"> TE01412590 </t>
    <phoneticPr fontId="2"/>
  </si>
  <si>
    <t>TE01412601</t>
    <phoneticPr fontId="2"/>
  </si>
  <si>
    <t xml:space="preserve">TE01412604 </t>
    <phoneticPr fontId="2"/>
  </si>
  <si>
    <t>1242</t>
    <phoneticPr fontId="2"/>
  </si>
  <si>
    <t>8/8:店舗様の点検で復旧</t>
  </si>
  <si>
    <t>1224</t>
    <phoneticPr fontId="2"/>
  </si>
  <si>
    <t>台コン更新(D／Ｅ→F)に伴う改装工事</t>
    <phoneticPr fontId="2"/>
  </si>
  <si>
    <t>5379</t>
    <phoneticPr fontId="2"/>
  </si>
  <si>
    <t>1306</t>
    <phoneticPr fontId="2"/>
  </si>
  <si>
    <t>8/8キャンセル</t>
  </si>
  <si>
    <t>9月</t>
    <phoneticPr fontId="2"/>
  </si>
  <si>
    <t>TE01413028</t>
    <phoneticPr fontId="2"/>
  </si>
  <si>
    <t>1313</t>
    <phoneticPr fontId="2"/>
  </si>
  <si>
    <t>上野アカデミー</t>
    <phoneticPr fontId="2"/>
  </si>
  <si>
    <t>模擬島修繕作業</t>
    <phoneticPr fontId="2"/>
  </si>
  <si>
    <t>TE01413638</t>
    <phoneticPr fontId="2"/>
  </si>
  <si>
    <t xml:space="preserve">TE01413642 </t>
    <phoneticPr fontId="2"/>
  </si>
  <si>
    <t xml:space="preserve">TE01413647 </t>
    <phoneticPr fontId="2"/>
  </si>
  <si>
    <t>1234</t>
    <phoneticPr fontId="2"/>
  </si>
  <si>
    <t>1318</t>
    <phoneticPr fontId="2"/>
  </si>
  <si>
    <t>1319</t>
    <phoneticPr fontId="2"/>
  </si>
  <si>
    <t>新機能テスト作業／自己申告プログラム（追加テスト）</t>
    <phoneticPr fontId="2"/>
  </si>
  <si>
    <t>1320</t>
    <phoneticPr fontId="2"/>
  </si>
  <si>
    <t>新機能テスト作業／統計連携</t>
    <phoneticPr fontId="2"/>
  </si>
  <si>
    <t>1321</t>
    <phoneticPr fontId="2"/>
  </si>
  <si>
    <t>大川</t>
    <phoneticPr fontId="2"/>
  </si>
  <si>
    <t>保守作業／島ＨＵＢ交換</t>
    <phoneticPr fontId="2"/>
  </si>
  <si>
    <t>1323</t>
    <phoneticPr fontId="2"/>
  </si>
  <si>
    <t>1238</t>
    <phoneticPr fontId="2"/>
  </si>
  <si>
    <t>5409</t>
    <phoneticPr fontId="2"/>
  </si>
  <si>
    <t>1243</t>
    <phoneticPr fontId="2"/>
  </si>
  <si>
    <t>大型券売機撤去（2台）へのホールコン対応作業</t>
    <phoneticPr fontId="2"/>
  </si>
  <si>
    <t>5410</t>
    <phoneticPr fontId="2"/>
  </si>
  <si>
    <t>1228</t>
    <phoneticPr fontId="2"/>
  </si>
  <si>
    <t>保守作業／カウンタタブレット 代替機</t>
    <phoneticPr fontId="2"/>
  </si>
  <si>
    <t>1324</t>
    <phoneticPr fontId="2"/>
  </si>
  <si>
    <t>1325</t>
    <phoneticPr fontId="2"/>
  </si>
  <si>
    <t>1326</t>
    <phoneticPr fontId="2"/>
  </si>
  <si>
    <t>新型カウンタPC本体／動作確認作業</t>
    <phoneticPr fontId="2"/>
  </si>
  <si>
    <t>新型カウンタタブレット／動作確認作業</t>
    <phoneticPr fontId="2"/>
  </si>
  <si>
    <t>1327</t>
    <phoneticPr fontId="2"/>
  </si>
  <si>
    <t>1328</t>
    <phoneticPr fontId="2"/>
  </si>
  <si>
    <t>TE01414316</t>
    <phoneticPr fontId="2"/>
  </si>
  <si>
    <t>TE01414238</t>
    <phoneticPr fontId="2"/>
  </si>
  <si>
    <t>1226</t>
    <phoneticPr fontId="2"/>
  </si>
  <si>
    <t>台コン更新(Ｄ→F)に伴う改装工事</t>
    <phoneticPr fontId="2"/>
  </si>
  <si>
    <t>5372</t>
    <phoneticPr fontId="2"/>
  </si>
  <si>
    <t>TE01412599</t>
    <phoneticPr fontId="2"/>
  </si>
  <si>
    <t>1227</t>
    <phoneticPr fontId="2"/>
  </si>
  <si>
    <t>5374</t>
    <phoneticPr fontId="2"/>
  </si>
  <si>
    <t>TE01412596</t>
    <phoneticPr fontId="2"/>
  </si>
  <si>
    <t>1329</t>
    <phoneticPr fontId="2"/>
  </si>
  <si>
    <t>1336</t>
    <phoneticPr fontId="2"/>
  </si>
  <si>
    <t>1202</t>
    <phoneticPr fontId="2"/>
  </si>
  <si>
    <t>5408</t>
    <phoneticPr fontId="2"/>
  </si>
  <si>
    <t>1265</t>
    <phoneticPr fontId="2"/>
  </si>
  <si>
    <t>5414</t>
    <phoneticPr fontId="2"/>
  </si>
  <si>
    <t>1232</t>
    <phoneticPr fontId="2"/>
  </si>
  <si>
    <t>1231</t>
    <phoneticPr fontId="2"/>
  </si>
  <si>
    <t>1230</t>
    <phoneticPr fontId="2"/>
  </si>
  <si>
    <t>1334</t>
    <phoneticPr fontId="2"/>
  </si>
  <si>
    <t>1339</t>
    <phoneticPr fontId="2"/>
  </si>
  <si>
    <t>富山①</t>
    <phoneticPr fontId="2"/>
  </si>
  <si>
    <t>1340</t>
    <phoneticPr fontId="2"/>
  </si>
  <si>
    <t>1341</t>
    <phoneticPr fontId="2"/>
  </si>
  <si>
    <t>1342</t>
    <phoneticPr fontId="2"/>
  </si>
  <si>
    <t>TE01414847</t>
    <phoneticPr fontId="2"/>
  </si>
  <si>
    <t xml:space="preserve">TE01414850 </t>
    <phoneticPr fontId="2"/>
  </si>
  <si>
    <t>1343</t>
    <phoneticPr fontId="2"/>
  </si>
  <si>
    <t xml:space="preserve">TE01412600 </t>
    <phoneticPr fontId="2"/>
  </si>
  <si>
    <t xml:space="preserve">TE01412602 </t>
    <phoneticPr fontId="2"/>
  </si>
  <si>
    <t xml:space="preserve"> TE01415213  </t>
    <phoneticPr fontId="2"/>
  </si>
  <si>
    <t xml:space="preserve">TE01415256 </t>
    <phoneticPr fontId="2"/>
  </si>
  <si>
    <t>1344</t>
    <phoneticPr fontId="2"/>
  </si>
  <si>
    <t>1337</t>
    <phoneticPr fontId="2"/>
  </si>
  <si>
    <t>1348</t>
    <phoneticPr fontId="2"/>
  </si>
  <si>
    <t>TE01415827</t>
    <phoneticPr fontId="2"/>
  </si>
  <si>
    <t>1349</t>
    <phoneticPr fontId="2"/>
  </si>
  <si>
    <t>1350</t>
    <phoneticPr fontId="2"/>
  </si>
  <si>
    <t>KKS老朽化補助／8月度</t>
    <phoneticPr fontId="2"/>
  </si>
  <si>
    <t xml:space="preserve">TE01413631 </t>
    <phoneticPr fontId="2"/>
  </si>
  <si>
    <t>TE01413634</t>
    <phoneticPr fontId="2"/>
  </si>
  <si>
    <t>1351</t>
    <phoneticPr fontId="2"/>
  </si>
  <si>
    <t>八千代緑ヶ丘</t>
    <phoneticPr fontId="2"/>
  </si>
  <si>
    <t>大型計数機撤去（3台）へのホールコン対応作業</t>
    <phoneticPr fontId="2"/>
  </si>
  <si>
    <t>5433</t>
    <phoneticPr fontId="2"/>
  </si>
  <si>
    <t>TE01416334</t>
    <phoneticPr fontId="2"/>
  </si>
  <si>
    <t>1335</t>
    <phoneticPr fontId="2"/>
  </si>
  <si>
    <t>1370</t>
    <phoneticPr fontId="2"/>
  </si>
  <si>
    <t>POS老朽化更新／7月分</t>
    <phoneticPr fontId="2"/>
  </si>
  <si>
    <t>1338</t>
    <phoneticPr fontId="2"/>
  </si>
  <si>
    <t>1371</t>
    <phoneticPr fontId="2"/>
  </si>
  <si>
    <t>1372</t>
    <phoneticPr fontId="2"/>
  </si>
  <si>
    <t>PHCセットアップ作業補助／8月度分</t>
    <phoneticPr fontId="2"/>
  </si>
  <si>
    <t>9月</t>
  </si>
  <si>
    <t>1168</t>
    <phoneticPr fontId="2"/>
  </si>
  <si>
    <t>P台間拡張（6島）へのホールコン対応作業</t>
    <phoneticPr fontId="2"/>
  </si>
  <si>
    <t>5402</t>
    <phoneticPr fontId="2"/>
  </si>
  <si>
    <t>1167</t>
    <phoneticPr fontId="2"/>
  </si>
  <si>
    <t>既存ランプ交換（198台：既存ランプ→ビグモプレミアムⅡ）へのホールコン対応作業</t>
    <phoneticPr fontId="2"/>
  </si>
  <si>
    <t>5401</t>
    <phoneticPr fontId="2"/>
  </si>
  <si>
    <t>1373</t>
    <phoneticPr fontId="2"/>
  </si>
  <si>
    <t>個別計数機撤去（32台）へのホールコン対応作業</t>
    <phoneticPr fontId="2"/>
  </si>
  <si>
    <t>5443</t>
    <phoneticPr fontId="2"/>
  </si>
  <si>
    <t>1311</t>
    <phoneticPr fontId="2"/>
  </si>
  <si>
    <t>5419</t>
    <phoneticPr fontId="2"/>
  </si>
  <si>
    <t>1263</t>
    <phoneticPr fontId="2"/>
  </si>
  <si>
    <t>5412</t>
    <phoneticPr fontId="2"/>
  </si>
  <si>
    <t>1380</t>
    <phoneticPr fontId="2"/>
  </si>
  <si>
    <t>呼出ランプ入替作業に伴うハーネス撤去工事（既存→スクリア：23台）に伴うホールコン工事</t>
    <phoneticPr fontId="2"/>
  </si>
  <si>
    <t>1244</t>
    <phoneticPr fontId="2"/>
  </si>
  <si>
    <t>5411</t>
    <phoneticPr fontId="2"/>
  </si>
  <si>
    <t>1382</t>
    <phoneticPr fontId="2"/>
  </si>
  <si>
    <t>液晶ディスプレ（ホスト用）／動作確認</t>
    <phoneticPr fontId="2"/>
  </si>
  <si>
    <t>TE01417371</t>
    <phoneticPr fontId="2"/>
  </si>
  <si>
    <t>1330</t>
    <phoneticPr fontId="2"/>
  </si>
  <si>
    <t>呼出ランプ入替作業に伴うハーネス撤去工事（既存→スクリア：28台）に伴うホールコン工事</t>
    <phoneticPr fontId="2"/>
  </si>
  <si>
    <t>5424</t>
    <phoneticPr fontId="2"/>
  </si>
  <si>
    <t>TE01417344</t>
    <phoneticPr fontId="2"/>
  </si>
  <si>
    <t xml:space="preserve">TE01417672 </t>
    <phoneticPr fontId="2"/>
  </si>
  <si>
    <t>新規購入</t>
    <phoneticPr fontId="2"/>
  </si>
  <si>
    <t xml:space="preserve">TE01417765 </t>
    <phoneticPr fontId="2"/>
  </si>
  <si>
    <t>1386</t>
    <phoneticPr fontId="2"/>
  </si>
  <si>
    <t>1387</t>
    <phoneticPr fontId="2"/>
  </si>
  <si>
    <t>アナウンス音源制作／定型文100種類</t>
    <phoneticPr fontId="2"/>
  </si>
  <si>
    <t>1310</t>
    <phoneticPr fontId="2"/>
  </si>
  <si>
    <t>大安寺</t>
    <phoneticPr fontId="2"/>
  </si>
  <si>
    <t>5418</t>
    <phoneticPr fontId="2"/>
  </si>
  <si>
    <t>5429</t>
    <phoneticPr fontId="2"/>
  </si>
  <si>
    <t>1179</t>
    <phoneticPr fontId="2"/>
  </si>
  <si>
    <t>5406</t>
    <phoneticPr fontId="2"/>
  </si>
  <si>
    <t>1346</t>
    <phoneticPr fontId="2"/>
  </si>
  <si>
    <t>5432</t>
    <phoneticPr fontId="2"/>
  </si>
  <si>
    <t>1331</t>
    <phoneticPr fontId="2"/>
  </si>
  <si>
    <t>5425</t>
    <phoneticPr fontId="2"/>
  </si>
  <si>
    <t>1353</t>
    <phoneticPr fontId="2"/>
  </si>
  <si>
    <t>1354</t>
    <phoneticPr fontId="2"/>
  </si>
  <si>
    <t>1352</t>
    <phoneticPr fontId="2"/>
  </si>
  <si>
    <t>1355</t>
    <phoneticPr fontId="2"/>
  </si>
  <si>
    <t>1356</t>
    <phoneticPr fontId="2"/>
  </si>
  <si>
    <t>北上</t>
    <phoneticPr fontId="2"/>
  </si>
  <si>
    <t>1357</t>
    <phoneticPr fontId="2"/>
  </si>
  <si>
    <t>1358</t>
    <phoneticPr fontId="2"/>
  </si>
  <si>
    <t>1367</t>
    <phoneticPr fontId="2"/>
  </si>
  <si>
    <t>1365</t>
    <phoneticPr fontId="2"/>
  </si>
  <si>
    <t>1364</t>
    <phoneticPr fontId="2"/>
  </si>
  <si>
    <t>1363</t>
    <phoneticPr fontId="2"/>
  </si>
  <si>
    <t>1362</t>
    <phoneticPr fontId="2"/>
  </si>
  <si>
    <t>1359</t>
    <phoneticPr fontId="2"/>
  </si>
  <si>
    <t>1360</t>
    <phoneticPr fontId="2"/>
  </si>
  <si>
    <t>KKS老朽化更新（ＳＶ）</t>
    <phoneticPr fontId="2"/>
  </si>
  <si>
    <t>1361</t>
    <phoneticPr fontId="2"/>
  </si>
  <si>
    <t>アナウンス音源制作／定型文30種類</t>
    <phoneticPr fontId="2"/>
  </si>
  <si>
    <t>1388</t>
    <phoneticPr fontId="2"/>
  </si>
  <si>
    <t>液晶ディスプレ（HSCホスト用）／動作確認作業</t>
    <phoneticPr fontId="2"/>
  </si>
  <si>
    <t xml:space="preserve"> CNTタブレット／動作確認作業</t>
    <phoneticPr fontId="2"/>
  </si>
  <si>
    <t>1389</t>
    <phoneticPr fontId="2"/>
  </si>
  <si>
    <t>1384</t>
    <phoneticPr fontId="2"/>
  </si>
  <si>
    <t>売上機変更（118台）へのホールコン対応作業</t>
    <phoneticPr fontId="2"/>
  </si>
  <si>
    <t>5445k</t>
    <phoneticPr fontId="2"/>
  </si>
  <si>
    <t>1392</t>
    <phoneticPr fontId="2"/>
  </si>
  <si>
    <t>台コン老朽化／ハウジング</t>
    <phoneticPr fontId="2"/>
  </si>
  <si>
    <t>再発行</t>
    <phoneticPr fontId="2"/>
  </si>
  <si>
    <t>TE01418159</t>
    <phoneticPr fontId="2"/>
  </si>
  <si>
    <t>1393</t>
    <phoneticPr fontId="2"/>
  </si>
  <si>
    <t>ＫＫＳ老朽化補助</t>
    <phoneticPr fontId="2"/>
  </si>
  <si>
    <t>TE01418551</t>
    <phoneticPr fontId="2"/>
  </si>
  <si>
    <t>1059</t>
    <phoneticPr fontId="2"/>
  </si>
  <si>
    <t>小岩S館③</t>
    <phoneticPr fontId="2"/>
  </si>
  <si>
    <t>液晶ランプ撤去（1F：146台）に伴うホールコンピュータ変更</t>
    <phoneticPr fontId="2"/>
  </si>
  <si>
    <t>5347</t>
    <phoneticPr fontId="2"/>
  </si>
  <si>
    <t>見積有効期限12/27で再発行</t>
    <phoneticPr fontId="2"/>
  </si>
  <si>
    <t>1394</t>
    <phoneticPr fontId="2"/>
  </si>
  <si>
    <t>1395</t>
    <phoneticPr fontId="2"/>
  </si>
  <si>
    <t>1396</t>
    <phoneticPr fontId="2"/>
  </si>
  <si>
    <t>TE01418737</t>
    <phoneticPr fontId="2"/>
  </si>
  <si>
    <t>1369</t>
    <phoneticPr fontId="2"/>
  </si>
  <si>
    <t>5435</t>
    <phoneticPr fontId="2"/>
  </si>
  <si>
    <t>9/2：工事中止</t>
  </si>
  <si>
    <t>1368</t>
    <phoneticPr fontId="2"/>
  </si>
  <si>
    <t>9/2：キャンセル/TEK工事無し</t>
  </si>
  <si>
    <t>09</t>
  </si>
  <si>
    <t>TE01418790</t>
    <phoneticPr fontId="2"/>
  </si>
  <si>
    <t>1251</t>
    <phoneticPr fontId="2"/>
  </si>
  <si>
    <t>1378</t>
    <phoneticPr fontId="2"/>
  </si>
  <si>
    <t>前橋インター</t>
    <phoneticPr fontId="2"/>
  </si>
  <si>
    <t>呼出ランプ入替作業に伴うハーネス撤去工事（既存→スクリア：16台）に伴うホールコン工事</t>
    <phoneticPr fontId="2"/>
  </si>
  <si>
    <t>1246</t>
    <phoneticPr fontId="2"/>
  </si>
  <si>
    <t>1377</t>
    <phoneticPr fontId="2"/>
  </si>
  <si>
    <t>1379</t>
    <phoneticPr fontId="2"/>
  </si>
  <si>
    <t>呼出ランプ入替作業に伴うハーネス撤去工事（既存→スクリア：18台）に伴うホールコン工事</t>
    <phoneticPr fontId="2"/>
  </si>
  <si>
    <t>1401</t>
    <phoneticPr fontId="2"/>
  </si>
  <si>
    <t>携帯システム関連／保守料（9月分）</t>
    <phoneticPr fontId="2"/>
  </si>
  <si>
    <t>TE01419069</t>
    <phoneticPr fontId="2"/>
  </si>
  <si>
    <t>1404</t>
    <phoneticPr fontId="2"/>
  </si>
  <si>
    <t>なんば新館</t>
  </si>
  <si>
    <t>1408</t>
    <phoneticPr fontId="2"/>
  </si>
  <si>
    <t>見積有効期限切れ再提出</t>
    <phoneticPr fontId="2"/>
  </si>
  <si>
    <t>1409</t>
    <phoneticPr fontId="2"/>
  </si>
  <si>
    <t>Ｗ-Hornet（POS統合SV移植）テスト作業</t>
    <phoneticPr fontId="2"/>
  </si>
  <si>
    <t>NW改善工事における付帯作業（MDF盤穴あけ）</t>
    <phoneticPr fontId="2"/>
  </si>
  <si>
    <t>1410</t>
    <phoneticPr fontId="2"/>
  </si>
  <si>
    <t>NW改善工事における付帯作業（MDF盤穴あけ（設計あり））</t>
    <phoneticPr fontId="2"/>
  </si>
  <si>
    <t>1411</t>
    <phoneticPr fontId="2"/>
  </si>
  <si>
    <t>1412</t>
    <phoneticPr fontId="2"/>
  </si>
  <si>
    <t>TE01419632</t>
    <phoneticPr fontId="2"/>
  </si>
  <si>
    <t>TE01419637</t>
    <phoneticPr fontId="2"/>
  </si>
  <si>
    <t>1402</t>
    <phoneticPr fontId="2"/>
  </si>
  <si>
    <t>HORNET/HIMSSアプリのWEB化に伴う、テスト作業</t>
    <phoneticPr fontId="2"/>
  </si>
  <si>
    <t>店内アナウンスに関する打合せ／吉田氏→9/6№1402に加算</t>
    <phoneticPr fontId="2"/>
  </si>
  <si>
    <t>交通費1/3／吉田氏→9/6№1409に加算</t>
    <phoneticPr fontId="2"/>
  </si>
  <si>
    <t>1417</t>
    <phoneticPr fontId="2"/>
  </si>
  <si>
    <t>店内ビジネスWi-Fi導入に伴う敷設</t>
    <phoneticPr fontId="2"/>
  </si>
  <si>
    <t>1314</t>
    <phoneticPr fontId="2"/>
  </si>
  <si>
    <t>1397</t>
    <phoneticPr fontId="2"/>
  </si>
  <si>
    <t>1381</t>
    <phoneticPr fontId="2"/>
  </si>
  <si>
    <t>呼出ランプ入替作業に伴うハーネス撤去工事（既存→スクリア：24台）に伴うホールコン工事</t>
    <phoneticPr fontId="2"/>
  </si>
  <si>
    <t>1332</t>
    <phoneticPr fontId="2"/>
  </si>
  <si>
    <t>個別計数機移設（64台）へのホールコン対応作業</t>
    <phoneticPr fontId="2"/>
  </si>
  <si>
    <t>5426</t>
    <phoneticPr fontId="2"/>
  </si>
  <si>
    <t>TE01420073</t>
    <phoneticPr fontId="2"/>
  </si>
  <si>
    <t>1266</t>
    <phoneticPr fontId="2"/>
  </si>
  <si>
    <t>5415</t>
    <phoneticPr fontId="2"/>
  </si>
  <si>
    <t>1248</t>
    <phoneticPr fontId="2"/>
  </si>
  <si>
    <t>1390</t>
    <phoneticPr fontId="2"/>
  </si>
  <si>
    <t>1391</t>
    <phoneticPr fontId="2"/>
  </si>
  <si>
    <t>1316</t>
    <phoneticPr fontId="2"/>
  </si>
  <si>
    <t>上野セミナールーム</t>
    <phoneticPr fontId="2"/>
  </si>
  <si>
    <t xml:space="preserve">保守作業／模擬島用ＨＣ関連の撤去・整理・再設置 </t>
    <phoneticPr fontId="2"/>
  </si>
  <si>
    <t>1422</t>
    <phoneticPr fontId="2"/>
  </si>
  <si>
    <t>ＳＭＰ付Ｖホック　Ｌ＝１０００　（６００本）</t>
    <phoneticPr fontId="2"/>
  </si>
  <si>
    <t>№1316で発行</t>
  </si>
  <si>
    <t>1423</t>
    <phoneticPr fontId="2"/>
  </si>
  <si>
    <t>峰山</t>
    <phoneticPr fontId="2"/>
  </si>
  <si>
    <t>1424</t>
    <phoneticPr fontId="2"/>
  </si>
  <si>
    <t xml:space="preserve"> TE01420596 </t>
    <phoneticPr fontId="2"/>
  </si>
  <si>
    <t xml:space="preserve"> TE01420601  </t>
    <phoneticPr fontId="2"/>
  </si>
  <si>
    <t>1255</t>
    <phoneticPr fontId="2"/>
  </si>
  <si>
    <t>1256</t>
    <phoneticPr fontId="2"/>
  </si>
  <si>
    <t>1247</t>
    <phoneticPr fontId="2"/>
  </si>
  <si>
    <t>1249</t>
    <phoneticPr fontId="2"/>
  </si>
  <si>
    <t>1250</t>
    <phoneticPr fontId="2"/>
  </si>
  <si>
    <t>1419</t>
    <phoneticPr fontId="2"/>
  </si>
  <si>
    <t>1420</t>
    <phoneticPr fontId="2"/>
  </si>
  <si>
    <t>1428</t>
    <phoneticPr fontId="2"/>
  </si>
  <si>
    <t>1237</t>
    <phoneticPr fontId="2"/>
  </si>
  <si>
    <t>スタッフコールシステム機器</t>
    <phoneticPr fontId="2"/>
  </si>
  <si>
    <t>TE01421663</t>
    <phoneticPr fontId="2"/>
  </si>
  <si>
    <t>TE01421667</t>
    <phoneticPr fontId="2"/>
  </si>
  <si>
    <t xml:space="preserve">TE01421681 </t>
    <phoneticPr fontId="2"/>
  </si>
  <si>
    <t>1418</t>
    <phoneticPr fontId="2"/>
  </si>
  <si>
    <t xml:space="preserve">TE01421728 </t>
    <phoneticPr fontId="2"/>
  </si>
  <si>
    <t>1429</t>
    <phoneticPr fontId="2"/>
  </si>
  <si>
    <t>1430</t>
    <phoneticPr fontId="2"/>
  </si>
  <si>
    <t>東レ三島工場3FYランダムドフ対応</t>
    <phoneticPr fontId="2"/>
  </si>
  <si>
    <t>1431</t>
    <phoneticPr fontId="2"/>
  </si>
  <si>
    <t>KKS老朽化更新（POS＋CL）</t>
    <phoneticPr fontId="2"/>
  </si>
  <si>
    <t>1432</t>
    <phoneticPr fontId="2"/>
  </si>
  <si>
    <t>1345</t>
    <phoneticPr fontId="2"/>
  </si>
  <si>
    <t>5431</t>
    <phoneticPr fontId="2"/>
  </si>
  <si>
    <t>1416</t>
    <phoneticPr fontId="2"/>
  </si>
  <si>
    <t>1262</t>
    <phoneticPr fontId="2"/>
  </si>
  <si>
    <t>1438</t>
    <phoneticPr fontId="2"/>
  </si>
  <si>
    <t>ホールコンサポートセンター受付業務(9月分)</t>
    <phoneticPr fontId="2"/>
  </si>
  <si>
    <t>1439</t>
    <phoneticPr fontId="2"/>
  </si>
  <si>
    <t>富山②</t>
    <phoneticPr fontId="2"/>
  </si>
  <si>
    <t>1322</t>
    <phoneticPr fontId="2"/>
  </si>
  <si>
    <t>富山インター</t>
    <phoneticPr fontId="2"/>
  </si>
  <si>
    <t>1441</t>
    <phoneticPr fontId="2"/>
  </si>
  <si>
    <t>台コン更新追加作業費(工程表サポート機能開発分として)</t>
    <phoneticPr fontId="2"/>
  </si>
  <si>
    <t>1442</t>
    <phoneticPr fontId="2"/>
  </si>
  <si>
    <t>№1166を11分割</t>
    <phoneticPr fontId="2"/>
  </si>
  <si>
    <t>1443</t>
    <phoneticPr fontId="2"/>
  </si>
  <si>
    <t>1444</t>
    <phoneticPr fontId="2"/>
  </si>
  <si>
    <t>会津若松</t>
    <phoneticPr fontId="2"/>
  </si>
  <si>
    <t>1445</t>
    <phoneticPr fontId="2"/>
  </si>
  <si>
    <t>1446</t>
    <phoneticPr fontId="2"/>
  </si>
  <si>
    <t>1447</t>
    <phoneticPr fontId="2"/>
  </si>
  <si>
    <t>1448</t>
    <phoneticPr fontId="2"/>
  </si>
  <si>
    <t>1449</t>
    <phoneticPr fontId="2"/>
  </si>
  <si>
    <t>1450</t>
    <phoneticPr fontId="2"/>
  </si>
  <si>
    <t>1451</t>
    <phoneticPr fontId="2"/>
  </si>
  <si>
    <t>TEK石部氏より依頼／№1441～1451で分割発行（計550,000円）</t>
    <phoneticPr fontId="2"/>
  </si>
  <si>
    <t>1452</t>
    <phoneticPr fontId="2"/>
  </si>
  <si>
    <t>個別計数機増設（36台）へのホールコン対応作業</t>
    <phoneticPr fontId="2"/>
  </si>
  <si>
    <t>5460</t>
    <phoneticPr fontId="2"/>
  </si>
  <si>
    <t>TE01422945</t>
    <phoneticPr fontId="2"/>
  </si>
  <si>
    <t xml:space="preserve">TE01422950 </t>
    <phoneticPr fontId="2"/>
  </si>
  <si>
    <t xml:space="preserve"> TE01422974 </t>
    <phoneticPr fontId="2"/>
  </si>
  <si>
    <t>1454</t>
    <phoneticPr fontId="2"/>
  </si>
  <si>
    <t>店舗ネットワーク統合／運用定例</t>
    <phoneticPr fontId="2"/>
  </si>
  <si>
    <t>1455</t>
    <phoneticPr fontId="2"/>
  </si>
  <si>
    <t>店舗運用／保守定例</t>
    <phoneticPr fontId="2"/>
  </si>
  <si>
    <t>1425</t>
    <phoneticPr fontId="2"/>
  </si>
  <si>
    <t>紙幣搬送入替（10島）へのホールコン対応作業</t>
    <phoneticPr fontId="2"/>
  </si>
  <si>
    <t>5455</t>
    <phoneticPr fontId="2"/>
  </si>
  <si>
    <t>ＨＣ作業入店なし：9/17</t>
  </si>
  <si>
    <t>マルハンズネット型番変更に伴う製造評価作業（TMDV-S）</t>
    <phoneticPr fontId="2"/>
  </si>
  <si>
    <t>1456</t>
    <phoneticPr fontId="2"/>
  </si>
  <si>
    <t>1315</t>
    <phoneticPr fontId="2"/>
  </si>
  <si>
    <t>M'sネット（TMDV-S（1台）撤去／TMDV-S（1台）他店移設</t>
    <phoneticPr fontId="2"/>
  </si>
  <si>
    <t>1400</t>
    <phoneticPr fontId="2"/>
  </si>
  <si>
    <t>5450</t>
    <phoneticPr fontId="2"/>
  </si>
  <si>
    <t>1406</t>
    <phoneticPr fontId="2"/>
  </si>
  <si>
    <t>1405</t>
    <phoneticPr fontId="2"/>
  </si>
  <si>
    <t>1240</t>
    <phoneticPr fontId="2"/>
  </si>
  <si>
    <t>保守作業／島コン通信異常</t>
    <phoneticPr fontId="2"/>
  </si>
  <si>
    <t>無償対応：9/18</t>
  </si>
  <si>
    <t>1457</t>
    <phoneticPr fontId="2"/>
  </si>
  <si>
    <t>保守作業／カウンタコンピュータ 修理完了品セットアップ</t>
    <phoneticPr fontId="2"/>
  </si>
  <si>
    <t>1458</t>
    <phoneticPr fontId="2"/>
  </si>
  <si>
    <t>№0488の\30,000加算</t>
    <phoneticPr fontId="2"/>
  </si>
  <si>
    <t>1403</t>
    <phoneticPr fontId="2"/>
  </si>
  <si>
    <t>W-HORNETのファイルI/O変更に伴う、テスト作業</t>
    <phoneticPr fontId="2"/>
  </si>
  <si>
    <t>№0629の\120,000加算</t>
    <phoneticPr fontId="2"/>
  </si>
  <si>
    <t xml:space="preserve">TE01423679 </t>
    <phoneticPr fontId="2"/>
  </si>
  <si>
    <t xml:space="preserve">TE01423681 </t>
    <phoneticPr fontId="2"/>
  </si>
  <si>
    <t xml:space="preserve"> TE01423752 </t>
    <phoneticPr fontId="2"/>
  </si>
  <si>
    <t>1461</t>
    <phoneticPr fontId="2"/>
  </si>
  <si>
    <t>セキュリティ端末セットアップ追加作業</t>
    <phoneticPr fontId="2"/>
  </si>
  <si>
    <t>№1461～1464で分割発行</t>
    <phoneticPr fontId="2"/>
  </si>
  <si>
    <t>1465</t>
    <phoneticPr fontId="2"/>
  </si>
  <si>
    <t>TE01423872</t>
    <phoneticPr fontId="2"/>
  </si>
  <si>
    <t>1466</t>
    <phoneticPr fontId="2"/>
  </si>
  <si>
    <t>1374</t>
    <phoneticPr fontId="2"/>
  </si>
  <si>
    <t>伊勢崎</t>
    <phoneticPr fontId="2"/>
  </si>
  <si>
    <t>5441</t>
    <phoneticPr fontId="2"/>
  </si>
  <si>
    <t>1415</t>
    <phoneticPr fontId="2"/>
  </si>
  <si>
    <t>太田</t>
    <phoneticPr fontId="2"/>
  </si>
  <si>
    <t>退店に伴う撤去作業</t>
    <phoneticPr fontId="2"/>
  </si>
  <si>
    <t>5454</t>
    <phoneticPr fontId="2"/>
  </si>
  <si>
    <t>1426</t>
    <phoneticPr fontId="2"/>
  </si>
  <si>
    <t>5456</t>
    <phoneticPr fontId="2"/>
  </si>
  <si>
    <t>1471</t>
    <phoneticPr fontId="2"/>
  </si>
  <si>
    <t>PHCセットアップ作業補助／9月度分</t>
    <phoneticPr fontId="2"/>
  </si>
  <si>
    <t>1383</t>
    <phoneticPr fontId="2"/>
  </si>
  <si>
    <t>大型計数機撤去移設（1台）へのホールコン対応作業</t>
    <phoneticPr fontId="2"/>
  </si>
  <si>
    <t>5444</t>
    <phoneticPr fontId="2"/>
  </si>
  <si>
    <t>1472</t>
    <phoneticPr fontId="2"/>
  </si>
  <si>
    <t>5466</t>
    <phoneticPr fontId="2"/>
  </si>
  <si>
    <t>9/24キャンセル</t>
  </si>
  <si>
    <t>1453</t>
    <phoneticPr fontId="2"/>
  </si>
  <si>
    <t>1460</t>
    <phoneticPr fontId="2"/>
  </si>
  <si>
    <t>藤枝駅南P館</t>
    <phoneticPr fontId="2"/>
  </si>
  <si>
    <t>1475</t>
    <phoneticPr fontId="2"/>
  </si>
  <si>
    <t>1333</t>
    <phoneticPr fontId="2"/>
  </si>
  <si>
    <t>払出機老朽化に伴う、カウンタ機器撤去再設置作業</t>
    <phoneticPr fontId="2"/>
  </si>
  <si>
    <t>5427</t>
    <phoneticPr fontId="2"/>
  </si>
  <si>
    <t>1479</t>
    <phoneticPr fontId="2"/>
  </si>
  <si>
    <t>TE01425202</t>
    <phoneticPr fontId="2"/>
  </si>
  <si>
    <t>TE01425199</t>
    <phoneticPr fontId="2"/>
  </si>
  <si>
    <t>1473</t>
    <phoneticPr fontId="2"/>
  </si>
  <si>
    <t>1480</t>
  </si>
  <si>
    <t>現場調査／台コン老朽化更新</t>
  </si>
  <si>
    <t>(有)インフォックス</t>
  </si>
  <si>
    <t>1481</t>
    <phoneticPr fontId="2"/>
  </si>
  <si>
    <t>1482</t>
  </si>
  <si>
    <t>現場調査／台コン老朽化更新</t>
    <phoneticPr fontId="2"/>
  </si>
  <si>
    <t>1483</t>
  </si>
  <si>
    <t>1484</t>
  </si>
  <si>
    <t>1485</t>
    <phoneticPr fontId="2"/>
  </si>
  <si>
    <t>1223</t>
    <phoneticPr fontId="2"/>
  </si>
  <si>
    <t>5377</t>
    <phoneticPr fontId="2"/>
  </si>
  <si>
    <t>1220</t>
    <phoneticPr fontId="2"/>
  </si>
  <si>
    <t>5376</t>
    <phoneticPr fontId="2"/>
  </si>
  <si>
    <t>1221</t>
    <phoneticPr fontId="2"/>
  </si>
  <si>
    <t>5370</t>
    <phoneticPr fontId="2"/>
  </si>
  <si>
    <t>1222</t>
    <phoneticPr fontId="2"/>
  </si>
  <si>
    <t>5378</t>
    <phoneticPr fontId="2"/>
  </si>
  <si>
    <t>1225</t>
    <phoneticPr fontId="2"/>
  </si>
  <si>
    <t>5380</t>
    <phoneticPr fontId="2"/>
  </si>
  <si>
    <t>TE01425249</t>
    <phoneticPr fontId="2"/>
  </si>
  <si>
    <t>1436</t>
    <phoneticPr fontId="2"/>
  </si>
  <si>
    <t>1435</t>
    <phoneticPr fontId="2"/>
  </si>
  <si>
    <t>1434</t>
    <phoneticPr fontId="2"/>
  </si>
  <si>
    <t>1433</t>
    <phoneticPr fontId="2"/>
  </si>
  <si>
    <t>インスペクトラ 他装置からのKRFファイル取込対応</t>
    <phoneticPr fontId="2"/>
  </si>
  <si>
    <t>15</t>
    <phoneticPr fontId="2"/>
  </si>
  <si>
    <t>K</t>
    <phoneticPr fontId="2"/>
  </si>
  <si>
    <t>09</t>
    <phoneticPr fontId="2"/>
  </si>
  <si>
    <t>1490</t>
    <phoneticPr fontId="2"/>
  </si>
  <si>
    <t>バム</t>
    <phoneticPr fontId="2"/>
  </si>
  <si>
    <t>0</t>
  </si>
  <si>
    <t>SS</t>
    <phoneticPr fontId="2"/>
  </si>
  <si>
    <t>1491</t>
    <phoneticPr fontId="2"/>
  </si>
  <si>
    <t>インスペクトラ dotNET4.7対応</t>
    <rPh sb="17" eb="19">
      <t>タイオウ</t>
    </rPh>
    <phoneticPr fontId="2"/>
  </si>
  <si>
    <t>Z</t>
    <phoneticPr fontId="2"/>
  </si>
  <si>
    <t>08</t>
    <phoneticPr fontId="2"/>
  </si>
  <si>
    <t>インスペクトラ他装置からのKRFファイル取込対応</t>
    <phoneticPr fontId="2"/>
  </si>
  <si>
    <t>1301</t>
    <phoneticPr fontId="2"/>
  </si>
  <si>
    <t>TE01425701</t>
    <phoneticPr fontId="2"/>
  </si>
  <si>
    <t>1474</t>
    <phoneticPr fontId="2"/>
  </si>
  <si>
    <t>1477</t>
    <phoneticPr fontId="2"/>
  </si>
  <si>
    <t>TE01426077</t>
    <phoneticPr fontId="2"/>
  </si>
  <si>
    <t>1494</t>
    <phoneticPr fontId="2"/>
  </si>
  <si>
    <t>玉貸しC（72台）へのホールコン対応作業</t>
    <phoneticPr fontId="2"/>
  </si>
  <si>
    <t>5469</t>
    <phoneticPr fontId="2"/>
  </si>
  <si>
    <t>1495</t>
    <phoneticPr fontId="2"/>
  </si>
  <si>
    <t>1496</t>
    <phoneticPr fontId="2"/>
  </si>
  <si>
    <t>1478</t>
    <phoneticPr fontId="2"/>
  </si>
  <si>
    <t>TE01426363</t>
    <phoneticPr fontId="2"/>
  </si>
  <si>
    <t>1500</t>
    <phoneticPr fontId="2"/>
  </si>
  <si>
    <t>KKS老朽化更新（ＰＯＳ）</t>
    <phoneticPr fontId="2"/>
  </si>
  <si>
    <t>見積有効期限切れ／№1498で再発行9/27</t>
    <phoneticPr fontId="2"/>
  </si>
  <si>
    <t>5314</t>
    <phoneticPr fontId="2"/>
  </si>
  <si>
    <t>1505</t>
    <phoneticPr fontId="2"/>
  </si>
  <si>
    <t>ＳＭＰ付Ｖホック　Ｌ＝１０００　（１９００本）</t>
    <phoneticPr fontId="2"/>
  </si>
  <si>
    <t>動作確認／新型カウンタ</t>
    <phoneticPr fontId="2"/>
  </si>
  <si>
    <t>1506</t>
    <phoneticPr fontId="2"/>
  </si>
  <si>
    <t xml:space="preserve">TE01426542 </t>
    <phoneticPr fontId="2"/>
  </si>
  <si>
    <t>1507</t>
  </si>
  <si>
    <t>TE01412593</t>
    <phoneticPr fontId="2"/>
  </si>
  <si>
    <t>1508</t>
    <phoneticPr fontId="2"/>
  </si>
  <si>
    <t>1476</t>
    <phoneticPr fontId="2"/>
  </si>
  <si>
    <t xml:space="preserve">TE01426748 </t>
    <phoneticPr fontId="2"/>
  </si>
  <si>
    <t>1468</t>
    <phoneticPr fontId="2"/>
  </si>
  <si>
    <t>個別計数機増設（30台）へのホールコン対応作業</t>
    <phoneticPr fontId="2"/>
  </si>
  <si>
    <t>5463</t>
    <phoneticPr fontId="2"/>
  </si>
  <si>
    <t>1407</t>
    <phoneticPr fontId="2"/>
  </si>
  <si>
    <t>玉補給機交換（パルコン→TCP1／108台）へのホールコン対応作業</t>
    <phoneticPr fontId="2"/>
  </si>
  <si>
    <t>5451</t>
    <phoneticPr fontId="2"/>
  </si>
  <si>
    <t>1469</t>
    <phoneticPr fontId="2"/>
  </si>
  <si>
    <t>5464</t>
    <phoneticPr fontId="2"/>
  </si>
  <si>
    <t>1399</t>
    <phoneticPr fontId="2"/>
  </si>
  <si>
    <t>メダル補給機入替に伴う島内機器撤去再設置／大型計数機移設（2台）</t>
    <phoneticPr fontId="2"/>
  </si>
  <si>
    <t>5449</t>
    <phoneticPr fontId="2"/>
  </si>
  <si>
    <t>1414</t>
    <phoneticPr fontId="2"/>
  </si>
  <si>
    <t>5453</t>
    <phoneticPr fontId="2"/>
  </si>
  <si>
    <t>№1456の1/4：№1461～1464</t>
    <phoneticPr fontId="2"/>
  </si>
  <si>
    <t>1317</t>
    <phoneticPr fontId="2"/>
  </si>
  <si>
    <t>1280</t>
    <phoneticPr fontId="2"/>
  </si>
  <si>
    <t>1290</t>
    <phoneticPr fontId="2"/>
  </si>
  <si>
    <t xml:space="preserve">TE01426915 </t>
    <phoneticPr fontId="2"/>
  </si>
  <si>
    <t>1398</t>
    <phoneticPr fontId="2"/>
  </si>
  <si>
    <t>5448</t>
    <phoneticPr fontId="2"/>
  </si>
  <si>
    <t>1421</t>
    <phoneticPr fontId="2"/>
  </si>
  <si>
    <t>TE01423871</t>
    <phoneticPr fontId="2"/>
  </si>
  <si>
    <t>1510</t>
    <phoneticPr fontId="2"/>
  </si>
  <si>
    <t>1511</t>
    <phoneticPr fontId="2"/>
  </si>
  <si>
    <t>店舗NW改善／9月度（DTサクセション）</t>
    <phoneticPr fontId="2"/>
  </si>
  <si>
    <t>店舗NW改善／9月度（プライムシステム）</t>
    <phoneticPr fontId="2"/>
  </si>
  <si>
    <t>1512</t>
  </si>
  <si>
    <t>店舗NW改善／9月度（高橋電機商会）</t>
  </si>
  <si>
    <t>1366</t>
    <phoneticPr fontId="2"/>
  </si>
  <si>
    <t>1513</t>
    <phoneticPr fontId="2"/>
  </si>
  <si>
    <t>店舗NW改善／9月度（文元電気サービス）</t>
    <phoneticPr fontId="2"/>
  </si>
  <si>
    <t>1514</t>
    <phoneticPr fontId="2"/>
  </si>
  <si>
    <t>店舗NW改善／9月度（コーエイ）</t>
    <phoneticPr fontId="2"/>
  </si>
  <si>
    <t>TE01427372</t>
    <phoneticPr fontId="2"/>
  </si>
  <si>
    <t>10/2:見送り</t>
    <phoneticPr fontId="2"/>
  </si>
  <si>
    <t>期限切れ</t>
  </si>
  <si>
    <t>1515</t>
  </si>
  <si>
    <t>浜田</t>
  </si>
  <si>
    <t>保守作業／ＣＮＴ引上げ</t>
  </si>
  <si>
    <t>1516</t>
    <phoneticPr fontId="2"/>
  </si>
  <si>
    <t>店舗NW改善／9月度（遊ワークス）</t>
    <phoneticPr fontId="2"/>
  </si>
  <si>
    <t>店舗NW改善（第２ネットワーク工事）／9月</t>
    <rPh sb="20" eb="21">
      <t>ガツ</t>
    </rPh>
    <phoneticPr fontId="2"/>
  </si>
  <si>
    <t>5416</t>
    <phoneticPr fontId="2"/>
  </si>
  <si>
    <t>1462</t>
    <phoneticPr fontId="2"/>
  </si>
  <si>
    <t>カウンター端末セットアップ追加作業</t>
    <phoneticPr fontId="2"/>
  </si>
  <si>
    <t>1347</t>
    <phoneticPr fontId="2"/>
  </si>
  <si>
    <t>1504</t>
    <phoneticPr fontId="2"/>
  </si>
  <si>
    <t>1503</t>
    <phoneticPr fontId="2"/>
  </si>
  <si>
    <t>1502</t>
    <phoneticPr fontId="2"/>
  </si>
  <si>
    <t>1501</t>
    <phoneticPr fontId="2"/>
  </si>
  <si>
    <t>1499</t>
    <phoneticPr fontId="2"/>
  </si>
  <si>
    <t>KKS老朽化更新（ＳＶ＋ＣＬ）</t>
    <phoneticPr fontId="2"/>
  </si>
  <si>
    <t>1376</t>
    <phoneticPr fontId="2"/>
  </si>
  <si>
    <t>1463</t>
    <phoneticPr fontId="2"/>
  </si>
  <si>
    <t>1467</t>
    <phoneticPr fontId="2"/>
  </si>
  <si>
    <t>個別計数機増設（59台）へのホールコン対応作業</t>
    <phoneticPr fontId="2"/>
  </si>
  <si>
    <t>5462</t>
    <phoneticPr fontId="2"/>
  </si>
  <si>
    <t>1470</t>
    <phoneticPr fontId="2"/>
  </si>
  <si>
    <t>5465</t>
    <phoneticPr fontId="2"/>
  </si>
  <si>
    <t xml:space="preserve">TE01428941 </t>
    <phoneticPr fontId="2"/>
  </si>
  <si>
    <t>1498</t>
    <phoneticPr fontId="2"/>
  </si>
  <si>
    <t>店舗改装に伴う機器撤去作業</t>
    <phoneticPr fontId="2"/>
  </si>
  <si>
    <t>5470</t>
    <phoneticPr fontId="2"/>
  </si>
  <si>
    <t xml:space="preserve">TE01429402 </t>
    <phoneticPr fontId="2"/>
  </si>
  <si>
    <t>1440</t>
    <phoneticPr fontId="2"/>
  </si>
  <si>
    <t>1486</t>
    <phoneticPr fontId="2"/>
  </si>
  <si>
    <t>1487</t>
    <phoneticPr fontId="2"/>
  </si>
  <si>
    <t>1488</t>
    <phoneticPr fontId="2"/>
  </si>
  <si>
    <t>1517</t>
    <phoneticPr fontId="2"/>
  </si>
  <si>
    <t>POS老朽化更新／8月分</t>
    <phoneticPr fontId="2"/>
  </si>
  <si>
    <t>1518</t>
    <phoneticPr fontId="2"/>
  </si>
  <si>
    <t>ＰＨＣ業務補助／9月度</t>
    <phoneticPr fontId="2"/>
  </si>
  <si>
    <t>POS老朽化更新／9月分</t>
    <phoneticPr fontId="2"/>
  </si>
  <si>
    <t>TE01430289</t>
    <phoneticPr fontId="2"/>
  </si>
  <si>
    <t>1427</t>
    <phoneticPr fontId="2"/>
  </si>
  <si>
    <t>5457</t>
    <phoneticPr fontId="2"/>
  </si>
  <si>
    <t>1509</t>
    <phoneticPr fontId="2"/>
  </si>
  <si>
    <t>5472</t>
    <phoneticPr fontId="2"/>
  </si>
  <si>
    <t>1497</t>
    <phoneticPr fontId="2"/>
  </si>
  <si>
    <t>1413</t>
    <phoneticPr fontId="2"/>
  </si>
  <si>
    <t>5452</t>
    <phoneticPr fontId="2"/>
  </si>
  <si>
    <t>1260</t>
    <phoneticPr fontId="2"/>
  </si>
  <si>
    <t>5381</t>
    <phoneticPr fontId="2"/>
  </si>
  <si>
    <t>1385</t>
    <phoneticPr fontId="2"/>
  </si>
  <si>
    <t>5446</t>
    <phoneticPr fontId="2"/>
  </si>
  <si>
    <t>1437</t>
    <phoneticPr fontId="2"/>
  </si>
  <si>
    <t>1309</t>
    <phoneticPr fontId="2"/>
  </si>
  <si>
    <t>5373</t>
    <phoneticPr fontId="2"/>
  </si>
  <si>
    <t>TE01412592</t>
    <phoneticPr fontId="2"/>
  </si>
  <si>
    <t>TE01432856</t>
    <phoneticPr fontId="2"/>
  </si>
  <si>
    <t>1492</t>
    <phoneticPr fontId="2"/>
  </si>
  <si>
    <t>TE01434024</t>
    <phoneticPr fontId="2"/>
  </si>
  <si>
    <t>10/23：納期変更</t>
    <phoneticPr fontId="2"/>
  </si>
  <si>
    <t>TE01435334</t>
    <phoneticPr fontId="2"/>
  </si>
  <si>
    <t>10/20有効期限切れ</t>
  </si>
  <si>
    <t>1375</t>
    <phoneticPr fontId="2"/>
  </si>
  <si>
    <t>P増台（62台）へのホールコン対応作業</t>
    <phoneticPr fontId="2"/>
  </si>
  <si>
    <t>5442</t>
    <phoneticPr fontId="2"/>
  </si>
  <si>
    <t>1264</t>
    <phoneticPr fontId="2"/>
  </si>
  <si>
    <t>5413</t>
    <phoneticPr fontId="2"/>
  </si>
  <si>
    <t>10/30見積有効期限切れ→16期№0142で再発行</t>
    <phoneticPr fontId="2"/>
  </si>
  <si>
    <t>10/27見積有効期限切れ→16期で再発行</t>
    <phoneticPr fontId="2"/>
  </si>
  <si>
    <t>10/2：見積有効期限切れ→16期で再発行</t>
    <phoneticPr fontId="2"/>
  </si>
  <si>
    <t>11/6見積有効期限切れ</t>
    <phoneticPr fontId="2"/>
  </si>
  <si>
    <t>1459</t>
    <phoneticPr fontId="2"/>
  </si>
  <si>
    <t>個別計数機増設（230台）へのホールコン対応作業</t>
    <phoneticPr fontId="2"/>
  </si>
  <si>
    <t>5461</t>
    <phoneticPr fontId="2"/>
  </si>
  <si>
    <t>11/19：見積有効期限切れ</t>
  </si>
  <si>
    <t>1464</t>
    <phoneticPr fontId="2"/>
  </si>
  <si>
    <t>情報端末セットアップ追加作業</t>
    <phoneticPr fontId="2"/>
  </si>
  <si>
    <t xml:space="preserve">TE01441943 </t>
    <phoneticPr fontId="2"/>
  </si>
  <si>
    <t>1489</t>
    <phoneticPr fontId="2"/>
  </si>
  <si>
    <t>茨島</t>
    <phoneticPr fontId="2"/>
  </si>
  <si>
    <t>P→S（80台）／玉貸しC（80台）へのホールコン対応作業</t>
    <phoneticPr fontId="2"/>
  </si>
  <si>
    <t>5467</t>
    <phoneticPr fontId="2"/>
  </si>
  <si>
    <t>1493</t>
    <phoneticPr fontId="2"/>
  </si>
  <si>
    <t>5468</t>
    <phoneticPr fontId="2"/>
  </si>
  <si>
    <t>辻本</t>
    <phoneticPr fontId="2"/>
  </si>
  <si>
    <t>LM5サーバー管理端末セットアップ【横江：見積作業中】</t>
    <phoneticPr fontId="2"/>
  </si>
  <si>
    <t>1308</t>
    <phoneticPr fontId="2"/>
  </si>
  <si>
    <t>5371</t>
    <phoneticPr fontId="2"/>
  </si>
  <si>
    <t>1200</t>
    <phoneticPr fontId="2"/>
  </si>
  <si>
    <t>新保守管理システム／段階リリース対応</t>
    <phoneticPr fontId="2"/>
  </si>
  <si>
    <t>1281</t>
    <phoneticPr fontId="2"/>
  </si>
  <si>
    <t>2019/8に老朽化更新済み：2020/1/9確認</t>
    <phoneticPr fontId="2"/>
  </si>
  <si>
    <t>1299</t>
    <phoneticPr fontId="2"/>
  </si>
  <si>
    <t>1300</t>
    <phoneticPr fontId="2"/>
  </si>
  <si>
    <t>1269</t>
    <phoneticPr fontId="2"/>
  </si>
  <si>
    <t>1225／1518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</si>
</sst>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5" formatCode="&quot;¥&quot;#,##0;&quot;¥&quot;\-#,##0"/>
    <numFmt numFmtId="6" formatCode="&quot;¥&quot;#,##0;[Red]&quot;¥&quot;\-#,##0"/>
    <numFmt numFmtId="176" formatCode="0.0_ "/>
    <numFmt numFmtId="178" formatCode="m&quot;月&quot;d&quot;日&quot;;@"/>
    <numFmt numFmtId="183" formatCode="0.0_);[Red]\(0.0\)"/>
    <numFmt numFmtId="187" formatCode="m&quot;月&quot;"/>
  </numFmts>
  <fonts count="36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8"/>
      <name val="ＭＳ Ｐ明朝"/>
      <family val="1"/>
      <charset val="128"/>
    </font>
    <font>
      <b/>
      <sz val="12"/>
      <color indexed="9"/>
      <name val="ＭＳ Ｐ明朝"/>
      <family val="1"/>
      <charset val="128"/>
    </font>
    <font>
      <sz val="8"/>
      <color indexed="10"/>
      <name val="ＭＳ Ｐ明朝"/>
      <family val="1"/>
      <charset val="128"/>
    </font>
    <font>
      <sz val="9"/>
      <name val="MS UI Gothic"/>
      <family val="3"/>
      <charset val="128"/>
    </font>
    <font>
      <sz val="8"/>
      <color indexed="81"/>
      <name val="ＭＳ Ｐゴシック"/>
      <family val="3"/>
      <charset val="128"/>
    </font>
    <font>
      <u/>
      <sz val="8"/>
      <color indexed="10"/>
      <name val="ＭＳ Ｐ明朝"/>
      <family val="1"/>
      <charset val="128"/>
    </font>
    <font>
      <b/>
      <u/>
      <sz val="12"/>
      <color indexed="41"/>
      <name val="ＭＳ Ｐゴシック"/>
      <family val="3"/>
      <charset val="128"/>
    </font>
    <font>
      <b/>
      <u/>
      <sz val="12"/>
      <color indexed="14"/>
      <name val="ＭＳ Ｐゴシック"/>
      <family val="3"/>
      <charset val="128"/>
    </font>
    <font>
      <b/>
      <u/>
      <sz val="12"/>
      <color indexed="13"/>
      <name val="ＭＳ Ｐゴシック"/>
      <family val="3"/>
      <charset val="128"/>
    </font>
    <font>
      <b/>
      <u/>
      <sz val="12"/>
      <color indexed="10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u/>
      <sz val="12"/>
      <color indexed="12"/>
      <name val="ＭＳ Ｐゴシック"/>
      <family val="3"/>
      <charset val="128"/>
    </font>
    <font>
      <b/>
      <sz val="12"/>
      <name val="ＭＳ Ｐ明朝"/>
      <family val="1"/>
      <charset val="128"/>
    </font>
    <font>
      <b/>
      <sz val="8"/>
      <color indexed="10"/>
      <name val="ＭＳ Ｐ明朝"/>
      <family val="1"/>
      <charset val="128"/>
    </font>
    <font>
      <b/>
      <sz val="8"/>
      <name val="ＭＳ Ｐ明朝"/>
      <family val="1"/>
      <charset val="128"/>
    </font>
    <font>
      <b/>
      <u/>
      <sz val="8"/>
      <color indexed="41"/>
      <name val="ＭＳ Ｐ明朝"/>
      <family val="1"/>
      <charset val="128"/>
    </font>
    <font>
      <b/>
      <sz val="8"/>
      <color indexed="9"/>
      <name val="ＭＳ Ｐ明朝"/>
      <family val="1"/>
      <charset val="128"/>
    </font>
    <font>
      <sz val="8"/>
      <color indexed="9"/>
      <name val="ＭＳ Ｐ明朝"/>
      <family val="1"/>
      <charset val="128"/>
    </font>
    <font>
      <sz val="6"/>
      <name val="ＭＳ Ｐ明朝"/>
      <family val="1"/>
      <charset val="128"/>
    </font>
    <font>
      <b/>
      <sz val="9"/>
      <color indexed="9"/>
      <name val="ＭＳ Ｐ明朝"/>
      <family val="1"/>
      <charset val="128"/>
    </font>
    <font>
      <b/>
      <sz val="10"/>
      <color indexed="9"/>
      <name val="ＭＳ Ｐ明朝"/>
      <family val="1"/>
      <charset val="128"/>
    </font>
    <font>
      <b/>
      <sz val="10"/>
      <color indexed="12"/>
      <name val="ＭＳ Ｐ明朝"/>
      <family val="1"/>
      <charset val="128"/>
    </font>
    <font>
      <b/>
      <sz val="12"/>
      <color indexed="12"/>
      <name val="ＭＳ Ｐ明朝"/>
      <family val="1"/>
      <charset val="128"/>
    </font>
    <font>
      <b/>
      <sz val="8"/>
      <color indexed="9"/>
      <name val="ＭＳ Ｐゴシック"/>
      <family val="3"/>
      <charset val="128"/>
    </font>
    <font>
      <sz val="8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8"/>
      <color rgb="FF7030A0"/>
      <name val="ＭＳ Ｐ明朝"/>
      <family val="1"/>
      <charset val="128"/>
    </font>
    <font>
      <sz val="8"/>
      <color rgb="FF000000"/>
      <name val="ＭＳ Ｐゴシック"/>
      <family val="3"/>
      <charset val="128"/>
    </font>
    <font>
      <sz val="8"/>
      <color rgb="FF00B050"/>
      <name val="ＭＳ Ｐ明朝"/>
      <family val="1"/>
      <charset val="128"/>
    </font>
    <font>
      <sz val="8"/>
      <color rgb="FF0070C0"/>
      <name val="ＭＳ Ｐ明朝"/>
      <family val="1"/>
      <charset val="128"/>
    </font>
    <font>
      <sz val="8"/>
      <color rgb="FFC00000"/>
      <name val="ＭＳ Ｐ明朝"/>
      <family val="1"/>
      <charset val="128"/>
    </font>
    <font>
      <sz val="8"/>
      <color rgb="FFFF0000"/>
      <name val="ＭＳ Ｐ明朝"/>
      <family val="1"/>
      <charset val="128"/>
    </font>
    <font>
      <sz val="8"/>
      <color rgb="FF00B0F0"/>
      <name val="ＭＳ Ｐ明朝"/>
      <family val="1"/>
      <charset val="128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1" fillId="0" borderId="0"/>
    <xf numFmtId="38" fontId="1" fillId="0" borderId="0" applyFont="0" applyFill="0" applyBorder="0" applyAlignment="0" applyProtection="0"/>
    <xf numFmtId="0" fontId="28" fillId="0" borderId="0">
      <alignment vertical="center"/>
    </xf>
    <xf numFmtId="0" fontId="1" fillId="0" borderId="0">
      <alignment vertical="center"/>
    </xf>
  </cellStyleXfs>
  <cellXfs count="301">
    <xf numFmtId="0" fontId="0" fillId="0" borderId="0" xfId="0"/>
    <xf numFmtId="0" fontId="3" fillId="2" borderId="1" xfId="1" applyFont="1" applyFill="1" applyBorder="1" applyAlignment="1">
      <alignment horizontal="center" vertical="center"/>
    </xf>
    <xf numFmtId="0" fontId="3" fillId="2" borderId="0" xfId="1" applyFont="1" applyFill="1" applyBorder="1" applyAlignment="1">
      <alignment horizontal="center" vertical="center"/>
    </xf>
    <xf numFmtId="0" fontId="3" fillId="2" borderId="2" xfId="1" applyFont="1" applyFill="1" applyBorder="1" applyAlignment="1">
      <alignment horizontal="center" vertical="center"/>
    </xf>
    <xf numFmtId="0" fontId="3" fillId="3" borderId="2" xfId="1" applyFont="1" applyFill="1" applyBorder="1" applyAlignment="1">
      <alignment horizontal="center" vertical="center"/>
    </xf>
    <xf numFmtId="0" fontId="3" fillId="2" borderId="3" xfId="1" applyFont="1" applyFill="1" applyBorder="1" applyAlignment="1">
      <alignment horizontal="center" vertical="center"/>
    </xf>
    <xf numFmtId="0" fontId="3" fillId="2" borderId="4" xfId="1" applyFont="1" applyFill="1" applyBorder="1" applyAlignment="1">
      <alignment horizontal="center" vertical="center"/>
    </xf>
    <xf numFmtId="0" fontId="3" fillId="2" borderId="5" xfId="1" applyFont="1" applyFill="1" applyBorder="1" applyAlignment="1">
      <alignment horizontal="center" vertical="center"/>
    </xf>
    <xf numFmtId="0" fontId="3" fillId="2" borderId="6" xfId="1" applyFont="1" applyFill="1" applyBorder="1" applyAlignment="1">
      <alignment horizontal="center" vertical="center"/>
    </xf>
    <xf numFmtId="0" fontId="3" fillId="2" borderId="7" xfId="1" applyFont="1" applyFill="1" applyBorder="1" applyAlignment="1">
      <alignment horizontal="center" vertical="center"/>
    </xf>
    <xf numFmtId="0" fontId="3" fillId="2" borderId="8" xfId="1" applyFont="1" applyFill="1" applyBorder="1" applyAlignment="1">
      <alignment horizontal="center" vertical="center"/>
    </xf>
    <xf numFmtId="0" fontId="3" fillId="2" borderId="9" xfId="1" applyFont="1" applyFill="1" applyBorder="1" applyAlignment="1">
      <alignment horizontal="center" vertical="center"/>
    </xf>
    <xf numFmtId="5" fontId="3" fillId="2" borderId="10" xfId="1" applyNumberFormat="1" applyFont="1" applyFill="1" applyBorder="1" applyAlignment="1">
      <alignment horizontal="right" vertical="center"/>
    </xf>
    <xf numFmtId="0" fontId="3" fillId="2" borderId="11" xfId="1" applyFont="1" applyFill="1" applyBorder="1" applyAlignment="1">
      <alignment horizontal="center" vertical="center"/>
    </xf>
    <xf numFmtId="5" fontId="3" fillId="2" borderId="0" xfId="1" applyNumberFormat="1" applyFont="1" applyFill="1" applyBorder="1" applyAlignment="1">
      <alignment horizontal="right" vertical="center"/>
    </xf>
    <xf numFmtId="14" fontId="3" fillId="2" borderId="0" xfId="1" applyNumberFormat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left" vertical="center"/>
    </xf>
    <xf numFmtId="0" fontId="8" fillId="2" borderId="0" xfId="1" applyFont="1" applyFill="1" applyBorder="1" applyAlignment="1">
      <alignment horizontal="left" vertical="center"/>
    </xf>
    <xf numFmtId="0" fontId="3" fillId="2" borderId="2" xfId="1" applyFont="1" applyFill="1" applyBorder="1" applyAlignment="1">
      <alignment horizontal="center" vertical="center" wrapText="1"/>
    </xf>
    <xf numFmtId="0" fontId="4" fillId="2" borderId="0" xfId="1" applyFont="1" applyFill="1" applyBorder="1" applyAlignment="1">
      <alignment horizontal="left" vertical="center"/>
    </xf>
    <xf numFmtId="0" fontId="12" fillId="2" borderId="10" xfId="1" applyFont="1" applyFill="1" applyBorder="1" applyAlignment="1">
      <alignment horizontal="left" vertical="center"/>
    </xf>
    <xf numFmtId="0" fontId="3" fillId="2" borderId="2" xfId="1" applyFont="1" applyFill="1" applyBorder="1" applyAlignment="1">
      <alignment horizontal="center" vertical="center" shrinkToFit="1"/>
    </xf>
    <xf numFmtId="0" fontId="3" fillId="0" borderId="0" xfId="1" applyFont="1" applyFill="1" applyBorder="1" applyAlignment="1">
      <alignment horizontal="left" vertical="center"/>
    </xf>
    <xf numFmtId="0" fontId="19" fillId="2" borderId="9" xfId="1" applyFont="1" applyFill="1" applyBorder="1" applyAlignment="1">
      <alignment horizontal="left" vertical="center"/>
    </xf>
    <xf numFmtId="0" fontId="19" fillId="2" borderId="0" xfId="1" applyFont="1" applyFill="1" applyBorder="1" applyAlignment="1">
      <alignment horizontal="left" vertical="center"/>
    </xf>
    <xf numFmtId="0" fontId="19" fillId="0" borderId="0" xfId="1" applyFont="1" applyFill="1" applyBorder="1" applyAlignment="1">
      <alignment horizontal="left" vertical="center"/>
    </xf>
    <xf numFmtId="0" fontId="20" fillId="0" borderId="0" xfId="1" applyFont="1" applyFill="1" applyBorder="1" applyAlignment="1">
      <alignment horizontal="left" vertical="center"/>
    </xf>
    <xf numFmtId="0" fontId="19" fillId="3" borderId="2" xfId="1" applyFont="1" applyFill="1" applyBorder="1" applyAlignment="1">
      <alignment horizontal="left" vertical="center"/>
    </xf>
    <xf numFmtId="0" fontId="20" fillId="3" borderId="2" xfId="1" applyFont="1" applyFill="1" applyBorder="1" applyAlignment="1">
      <alignment horizontal="left" vertical="center"/>
    </xf>
    <xf numFmtId="0" fontId="19" fillId="2" borderId="7" xfId="1" applyFont="1" applyFill="1" applyBorder="1" applyAlignment="1">
      <alignment vertical="center"/>
    </xf>
    <xf numFmtId="0" fontId="19" fillId="2" borderId="7" xfId="1" applyFont="1" applyFill="1" applyBorder="1" applyAlignment="1">
      <alignment horizontal="left" vertical="center"/>
    </xf>
    <xf numFmtId="0" fontId="19" fillId="2" borderId="1" xfId="1" applyFont="1" applyFill="1" applyBorder="1" applyAlignment="1">
      <alignment horizontal="left" vertical="center"/>
    </xf>
    <xf numFmtId="0" fontId="18" fillId="2" borderId="0" xfId="1" applyFont="1" applyFill="1" applyBorder="1" applyAlignment="1">
      <alignment horizontal="left" vertical="center"/>
    </xf>
    <xf numFmtId="0" fontId="3" fillId="0" borderId="0" xfId="1" applyFont="1" applyAlignment="1">
      <alignment vertical="center"/>
    </xf>
    <xf numFmtId="0" fontId="3" fillId="2" borderId="7" xfId="1" applyFont="1" applyFill="1" applyBorder="1" applyAlignment="1">
      <alignment vertical="center"/>
    </xf>
    <xf numFmtId="0" fontId="3" fillId="2" borderId="0" xfId="1" applyFont="1" applyFill="1" applyBorder="1" applyAlignment="1">
      <alignment vertical="center"/>
    </xf>
    <xf numFmtId="0" fontId="3" fillId="2" borderId="9" xfId="1" applyFont="1" applyFill="1" applyBorder="1" applyAlignment="1">
      <alignment vertical="center"/>
    </xf>
    <xf numFmtId="0" fontId="3" fillId="2" borderId="12" xfId="1" applyFont="1" applyFill="1" applyBorder="1" applyAlignment="1">
      <alignment vertical="center"/>
    </xf>
    <xf numFmtId="0" fontId="3" fillId="2" borderId="12" xfId="1" applyFont="1" applyFill="1" applyBorder="1" applyAlignment="1">
      <alignment horizontal="center" vertical="center"/>
    </xf>
    <xf numFmtId="0" fontId="9" fillId="2" borderId="0" xfId="1" applyFont="1" applyFill="1" applyBorder="1" applyAlignment="1">
      <alignment horizontal="left" vertical="center"/>
    </xf>
    <xf numFmtId="0" fontId="3" fillId="2" borderId="13" xfId="1" applyFont="1" applyFill="1" applyBorder="1" applyAlignment="1">
      <alignment horizontal="center" vertical="center"/>
    </xf>
    <xf numFmtId="0" fontId="10" fillId="2" borderId="7" xfId="1" applyFont="1" applyFill="1" applyBorder="1" applyAlignment="1">
      <alignment vertical="center"/>
    </xf>
    <xf numFmtId="0" fontId="11" fillId="2" borderId="7" xfId="1" applyFont="1" applyFill="1" applyBorder="1" applyAlignment="1">
      <alignment horizontal="left" vertical="center"/>
    </xf>
    <xf numFmtId="0" fontId="12" fillId="2" borderId="7" xfId="1" applyFont="1" applyFill="1" applyBorder="1" applyAlignment="1">
      <alignment horizontal="left" vertical="center"/>
    </xf>
    <xf numFmtId="0" fontId="14" fillId="2" borderId="7" xfId="1" applyFont="1" applyFill="1" applyBorder="1" applyAlignment="1">
      <alignment vertical="center"/>
    </xf>
    <xf numFmtId="0" fontId="3" fillId="0" borderId="0" xfId="1" applyFont="1" applyBorder="1" applyAlignment="1">
      <alignment vertical="center"/>
    </xf>
    <xf numFmtId="49" fontId="3" fillId="3" borderId="14" xfId="1" applyNumberFormat="1" applyFont="1" applyFill="1" applyBorder="1" applyAlignment="1" applyProtection="1">
      <alignment horizontal="center" vertical="center"/>
      <protection locked="0"/>
    </xf>
    <xf numFmtId="0" fontId="3" fillId="3" borderId="15" xfId="1" applyFont="1" applyFill="1" applyBorder="1" applyAlignment="1" applyProtection="1">
      <alignment horizontal="center" vertical="center"/>
      <protection locked="0"/>
    </xf>
    <xf numFmtId="0" fontId="3" fillId="3" borderId="16" xfId="1" applyFont="1" applyFill="1" applyBorder="1" applyAlignment="1" applyProtection="1">
      <alignment horizontal="center" vertical="center"/>
      <protection locked="0"/>
    </xf>
    <xf numFmtId="0" fontId="3" fillId="3" borderId="17" xfId="1" applyFont="1" applyFill="1" applyBorder="1" applyAlignment="1" applyProtection="1">
      <alignment horizontal="center" vertical="center"/>
      <protection locked="0"/>
    </xf>
    <xf numFmtId="0" fontId="3" fillId="3" borderId="18" xfId="1" applyFont="1" applyFill="1" applyBorder="1" applyAlignment="1" applyProtection="1">
      <alignment horizontal="center" vertical="center"/>
      <protection locked="0"/>
    </xf>
    <xf numFmtId="0" fontId="3" fillId="0" borderId="2" xfId="1" applyFont="1" applyBorder="1" applyAlignment="1">
      <alignment vertical="center"/>
    </xf>
    <xf numFmtId="0" fontId="17" fillId="0" borderId="2" xfId="1" applyFont="1" applyBorder="1" applyAlignment="1">
      <alignment horizontal="center" vertical="center"/>
    </xf>
    <xf numFmtId="0" fontId="0" fillId="0" borderId="2" xfId="1" applyFont="1" applyBorder="1"/>
    <xf numFmtId="0" fontId="21" fillId="2" borderId="0" xfId="1" applyFont="1" applyFill="1" applyBorder="1" applyAlignment="1">
      <alignment horizontal="center" vertical="center"/>
    </xf>
    <xf numFmtId="0" fontId="3" fillId="0" borderId="19" xfId="1" applyFont="1" applyBorder="1" applyAlignment="1">
      <alignment vertical="center"/>
    </xf>
    <xf numFmtId="0" fontId="19" fillId="0" borderId="19" xfId="1" applyFont="1" applyFill="1" applyBorder="1" applyAlignment="1">
      <alignment horizontal="left" vertical="center"/>
    </xf>
    <xf numFmtId="0" fontId="3" fillId="0" borderId="19" xfId="1" applyFont="1" applyFill="1" applyBorder="1" applyAlignment="1">
      <alignment horizontal="left" vertical="center"/>
    </xf>
    <xf numFmtId="0" fontId="20" fillId="0" borderId="19" xfId="1" applyFont="1" applyFill="1" applyBorder="1" applyAlignment="1">
      <alignment horizontal="left" vertical="center"/>
    </xf>
    <xf numFmtId="0" fontId="9" fillId="2" borderId="19" xfId="1" applyNumberFormat="1" applyFont="1" applyFill="1" applyBorder="1" applyAlignment="1">
      <alignment horizontal="left" vertical="center"/>
    </xf>
    <xf numFmtId="0" fontId="18" fillId="2" borderId="19" xfId="1" applyNumberFormat="1" applyFont="1" applyFill="1" applyBorder="1" applyAlignment="1">
      <alignment horizontal="left" vertical="center"/>
    </xf>
    <xf numFmtId="0" fontId="8" fillId="2" borderId="19" xfId="1" applyNumberFormat="1" applyFont="1" applyFill="1" applyBorder="1" applyAlignment="1">
      <alignment horizontal="left" vertical="center"/>
    </xf>
    <xf numFmtId="0" fontId="3" fillId="2" borderId="19" xfId="1" applyNumberFormat="1" applyFont="1" applyFill="1" applyBorder="1" applyAlignment="1">
      <alignment vertical="center"/>
    </xf>
    <xf numFmtId="0" fontId="3" fillId="2" borderId="19" xfId="1" applyNumberFormat="1" applyFont="1" applyFill="1" applyBorder="1" applyAlignment="1">
      <alignment horizontal="center" vertical="center"/>
    </xf>
    <xf numFmtId="0" fontId="19" fillId="2" borderId="19" xfId="1" applyNumberFormat="1" applyFont="1" applyFill="1" applyBorder="1" applyAlignment="1">
      <alignment horizontal="left" vertical="center"/>
    </xf>
    <xf numFmtId="0" fontId="3" fillId="3" borderId="19" xfId="1" applyNumberFormat="1" applyFont="1" applyFill="1" applyBorder="1" applyAlignment="1">
      <alignment horizontal="center" vertical="center"/>
    </xf>
    <xf numFmtId="0" fontId="3" fillId="2" borderId="19" xfId="1" applyNumberFormat="1" applyFont="1" applyFill="1" applyBorder="1" applyAlignment="1">
      <alignment horizontal="center" vertical="center" wrapText="1"/>
    </xf>
    <xf numFmtId="0" fontId="4" fillId="2" borderId="19" xfId="1" applyNumberFormat="1" applyFont="1" applyFill="1" applyBorder="1" applyAlignment="1">
      <alignment horizontal="left" vertical="center"/>
    </xf>
    <xf numFmtId="0" fontId="4" fillId="2" borderId="19" xfId="1" applyNumberFormat="1" applyFont="1" applyFill="1" applyBorder="1" applyAlignment="1">
      <alignment horizontal="center" vertical="center"/>
    </xf>
    <xf numFmtId="0" fontId="19" fillId="3" borderId="19" xfId="1" applyNumberFormat="1" applyFont="1" applyFill="1" applyBorder="1" applyAlignment="1">
      <alignment horizontal="left" vertical="center"/>
    </xf>
    <xf numFmtId="0" fontId="20" fillId="3" borderId="19" xfId="1" applyNumberFormat="1" applyFont="1" applyFill="1" applyBorder="1" applyAlignment="1">
      <alignment horizontal="left" vertical="center"/>
    </xf>
    <xf numFmtId="0" fontId="3" fillId="2" borderId="19" xfId="1" applyNumberFormat="1" applyFont="1" applyFill="1" applyBorder="1" applyAlignment="1">
      <alignment horizontal="right" vertical="center"/>
    </xf>
    <xf numFmtId="0" fontId="10" fillId="2" borderId="19" xfId="1" applyNumberFormat="1" applyFont="1" applyFill="1" applyBorder="1" applyAlignment="1">
      <alignment vertical="center"/>
    </xf>
    <xf numFmtId="0" fontId="19" fillId="2" borderId="19" xfId="1" applyNumberFormat="1" applyFont="1" applyFill="1" applyBorder="1" applyAlignment="1">
      <alignment vertical="center"/>
    </xf>
    <xf numFmtId="0" fontId="11" fillId="2" borderId="19" xfId="1" applyNumberFormat="1" applyFont="1" applyFill="1" applyBorder="1" applyAlignment="1">
      <alignment horizontal="left" vertical="center"/>
    </xf>
    <xf numFmtId="0" fontId="3" fillId="2" borderId="19" xfId="1" applyNumberFormat="1" applyFont="1" applyFill="1" applyBorder="1" applyAlignment="1">
      <alignment horizontal="center" vertical="center" shrinkToFit="1"/>
    </xf>
    <xf numFmtId="0" fontId="12" fillId="2" borderId="19" xfId="1" applyNumberFormat="1" applyFont="1" applyFill="1" applyBorder="1" applyAlignment="1">
      <alignment horizontal="left" vertical="center"/>
    </xf>
    <xf numFmtId="0" fontId="14" fillId="2" borderId="19" xfId="1" applyNumberFormat="1" applyFont="1" applyFill="1" applyBorder="1" applyAlignment="1">
      <alignment vertical="center"/>
    </xf>
    <xf numFmtId="0" fontId="3" fillId="0" borderId="19" xfId="1" applyNumberFormat="1" applyFont="1" applyBorder="1" applyAlignment="1">
      <alignment vertical="center"/>
    </xf>
    <xf numFmtId="0" fontId="23" fillId="4" borderId="19" xfId="1" applyNumberFormat="1" applyFont="1" applyFill="1" applyBorder="1" applyAlignment="1">
      <alignment horizontal="center" vertical="center"/>
    </xf>
    <xf numFmtId="0" fontId="3" fillId="5" borderId="20" xfId="1" applyFont="1" applyFill="1" applyBorder="1" applyAlignment="1" applyProtection="1">
      <alignment horizontal="center" vertical="center"/>
    </xf>
    <xf numFmtId="0" fontId="3" fillId="5" borderId="21" xfId="1" applyFont="1" applyFill="1" applyBorder="1" applyAlignment="1" applyProtection="1">
      <alignment horizontal="center" vertical="center"/>
    </xf>
    <xf numFmtId="0" fontId="23" fillId="2" borderId="19" xfId="1" applyNumberFormat="1" applyFont="1" applyFill="1" applyBorder="1" applyAlignment="1">
      <alignment horizontal="center" vertical="center"/>
    </xf>
    <xf numFmtId="0" fontId="3" fillId="0" borderId="0" xfId="1" applyFont="1" applyAlignment="1" applyProtection="1">
      <alignment horizontal="center" vertical="center"/>
      <protection locked="0"/>
    </xf>
    <xf numFmtId="0" fontId="3" fillId="0" borderId="19" xfId="1" applyFont="1" applyBorder="1" applyAlignment="1" applyProtection="1">
      <alignment horizontal="center" vertical="center"/>
      <protection locked="0"/>
    </xf>
    <xf numFmtId="178" fontId="3" fillId="0" borderId="19" xfId="1" applyNumberFormat="1" applyFont="1" applyBorder="1" applyAlignment="1" applyProtection="1">
      <alignment horizontal="center" vertical="center"/>
      <protection locked="0"/>
    </xf>
    <xf numFmtId="49" fontId="3" fillId="0" borderId="19" xfId="1" applyNumberFormat="1" applyFont="1" applyBorder="1" applyAlignment="1" applyProtection="1">
      <alignment horizontal="center" vertical="center"/>
      <protection locked="0"/>
    </xf>
    <xf numFmtId="0" fontId="3" fillId="0" borderId="19" xfId="1" applyFont="1" applyBorder="1" applyAlignment="1" applyProtection="1">
      <alignment horizontal="left" vertical="center"/>
      <protection locked="0"/>
    </xf>
    <xf numFmtId="6" fontId="3" fillId="0" borderId="19" xfId="1" applyNumberFormat="1" applyFont="1" applyBorder="1" applyAlignment="1" applyProtection="1">
      <alignment horizontal="right" vertical="center"/>
      <protection locked="0"/>
    </xf>
    <xf numFmtId="5" fontId="3" fillId="0" borderId="19" xfId="1" applyNumberFormat="1" applyFont="1" applyBorder="1" applyAlignment="1" applyProtection="1">
      <alignment horizontal="right" vertical="center"/>
      <protection locked="0"/>
    </xf>
    <xf numFmtId="0" fontId="3" fillId="0" borderId="0" xfId="1" applyFont="1" applyAlignment="1" applyProtection="1">
      <alignment horizontal="center" vertical="center"/>
    </xf>
    <xf numFmtId="0" fontId="3" fillId="0" borderId="0" xfId="1" applyFont="1" applyAlignment="1" applyProtection="1">
      <alignment horizontal="left" vertical="center"/>
    </xf>
    <xf numFmtId="0" fontId="3" fillId="0" borderId="0" xfId="1" applyFont="1" applyAlignment="1" applyProtection="1">
      <alignment horizontal="right" vertical="center"/>
    </xf>
    <xf numFmtId="0" fontId="23" fillId="2" borderId="19" xfId="1" applyNumberFormat="1" applyFont="1" applyFill="1" applyBorder="1" applyAlignment="1">
      <alignment horizontal="center" vertical="center" wrapText="1"/>
    </xf>
    <xf numFmtId="0" fontId="20" fillId="3" borderId="15" xfId="1" applyNumberFormat="1" applyFont="1" applyFill="1" applyBorder="1" applyAlignment="1">
      <alignment horizontal="left" vertical="center"/>
    </xf>
    <xf numFmtId="0" fontId="3" fillId="2" borderId="22" xfId="1" applyNumberFormat="1" applyFont="1" applyFill="1" applyBorder="1" applyAlignment="1">
      <alignment horizontal="right" vertical="center"/>
    </xf>
    <xf numFmtId="0" fontId="23" fillId="2" borderId="23" xfId="1" applyNumberFormat="1" applyFont="1" applyFill="1" applyBorder="1" applyAlignment="1">
      <alignment horizontal="center" vertical="center" wrapText="1"/>
    </xf>
    <xf numFmtId="0" fontId="3" fillId="2" borderId="0" xfId="1" applyFont="1" applyFill="1" applyBorder="1" applyAlignment="1" applyProtection="1">
      <alignment horizontal="left" vertical="center" wrapText="1"/>
      <protection locked="0"/>
    </xf>
    <xf numFmtId="0" fontId="3" fillId="3" borderId="19" xfId="1" applyFont="1" applyFill="1" applyBorder="1" applyAlignment="1" applyProtection="1">
      <alignment horizontal="center" vertical="center"/>
      <protection locked="0"/>
    </xf>
    <xf numFmtId="0" fontId="3" fillId="3" borderId="0" xfId="1" applyFont="1" applyFill="1" applyAlignment="1" applyProtection="1">
      <alignment horizontal="center" vertical="center"/>
      <protection locked="0"/>
    </xf>
    <xf numFmtId="0" fontId="3" fillId="2" borderId="15" xfId="1" applyNumberFormat="1" applyFont="1" applyFill="1" applyBorder="1" applyAlignment="1">
      <alignment horizontal="center" vertical="center"/>
    </xf>
    <xf numFmtId="0" fontId="4" fillId="2" borderId="24" xfId="1" applyNumberFormat="1" applyFont="1" applyFill="1" applyBorder="1" applyAlignment="1">
      <alignment horizontal="left" vertical="center"/>
    </xf>
    <xf numFmtId="0" fontId="3" fillId="2" borderId="23" xfId="1" applyNumberFormat="1" applyFont="1" applyFill="1" applyBorder="1" applyAlignment="1">
      <alignment horizontal="center" vertical="center"/>
    </xf>
    <xf numFmtId="0" fontId="25" fillId="3" borderId="25" xfId="1" applyFont="1" applyFill="1" applyBorder="1" applyAlignment="1" applyProtection="1">
      <alignment horizontal="right" vertical="center"/>
    </xf>
    <xf numFmtId="49" fontId="3" fillId="3" borderId="2" xfId="1" applyNumberFormat="1" applyFont="1" applyFill="1" applyBorder="1" applyAlignment="1" applyProtection="1">
      <alignment horizontal="center" vertical="center"/>
      <protection locked="0"/>
    </xf>
    <xf numFmtId="0" fontId="13" fillId="6" borderId="12" xfId="1" applyFont="1" applyFill="1" applyBorder="1" applyAlignment="1">
      <alignment horizontal="left" vertical="center"/>
    </xf>
    <xf numFmtId="49" fontId="13" fillId="6" borderId="12" xfId="1" applyNumberFormat="1" applyFont="1" applyFill="1" applyBorder="1" applyAlignment="1">
      <alignment horizontal="left" vertical="center"/>
    </xf>
    <xf numFmtId="0" fontId="26" fillId="6" borderId="12" xfId="1" applyFont="1" applyFill="1" applyBorder="1" applyAlignment="1">
      <alignment horizontal="left" vertical="center"/>
    </xf>
    <xf numFmtId="5" fontId="3" fillId="3" borderId="19" xfId="1" applyNumberFormat="1" applyFont="1" applyFill="1" applyBorder="1" applyAlignment="1" applyProtection="1">
      <alignment horizontal="center" vertical="center"/>
      <protection locked="0"/>
    </xf>
    <xf numFmtId="0" fontId="17" fillId="0" borderId="2" xfId="1" applyFont="1" applyFill="1" applyBorder="1" applyAlignment="1">
      <alignment vertical="center"/>
    </xf>
    <xf numFmtId="14" fontId="16" fillId="2" borderId="0" xfId="1" applyNumberFormat="1" applyFont="1" applyFill="1" applyBorder="1" applyAlignment="1">
      <alignment horizontal="center" vertical="center"/>
    </xf>
    <xf numFmtId="183" fontId="3" fillId="0" borderId="0" xfId="1" applyNumberFormat="1" applyFont="1" applyAlignment="1" applyProtection="1">
      <alignment horizontal="right" vertical="center"/>
    </xf>
    <xf numFmtId="183" fontId="3" fillId="0" borderId="19" xfId="1" applyNumberFormat="1" applyFont="1" applyBorder="1" applyAlignment="1" applyProtection="1">
      <alignment horizontal="right" vertical="center"/>
      <protection locked="0"/>
    </xf>
    <xf numFmtId="183" fontId="3" fillId="0" borderId="0" xfId="1" applyNumberFormat="1" applyFont="1" applyAlignment="1" applyProtection="1">
      <alignment horizontal="center" vertical="center"/>
    </xf>
    <xf numFmtId="183" fontId="3" fillId="0" borderId="19" xfId="1" applyNumberFormat="1" applyFont="1" applyBorder="1" applyAlignment="1" applyProtection="1">
      <alignment horizontal="center" vertical="center"/>
      <protection locked="0"/>
    </xf>
    <xf numFmtId="0" fontId="3" fillId="0" borderId="0" xfId="1" applyFont="1" applyFill="1" applyAlignment="1">
      <alignment vertical="center"/>
    </xf>
    <xf numFmtId="0" fontId="17" fillId="0" borderId="2" xfId="1" applyFont="1" applyFill="1" applyBorder="1" applyAlignment="1">
      <alignment horizontal="center" vertical="center"/>
    </xf>
    <xf numFmtId="0" fontId="3" fillId="0" borderId="2" xfId="1" applyFont="1" applyFill="1" applyBorder="1" applyAlignment="1">
      <alignment vertical="center"/>
    </xf>
    <xf numFmtId="49" fontId="3" fillId="0" borderId="2" xfId="1" applyNumberFormat="1" applyFont="1" applyFill="1" applyBorder="1" applyAlignment="1">
      <alignment vertical="center"/>
    </xf>
    <xf numFmtId="0" fontId="0" fillId="0" borderId="0" xfId="0" applyFill="1"/>
    <xf numFmtId="0" fontId="3" fillId="2" borderId="0" xfId="1" applyNumberFormat="1" applyFont="1" applyFill="1" applyBorder="1" applyAlignment="1">
      <alignment horizontal="center" vertical="center"/>
    </xf>
    <xf numFmtId="0" fontId="3" fillId="2" borderId="0" xfId="1" applyNumberFormat="1" applyFont="1" applyFill="1" applyBorder="1" applyAlignment="1">
      <alignment vertical="center"/>
    </xf>
    <xf numFmtId="187" fontId="3" fillId="0" borderId="0" xfId="1" applyNumberFormat="1" applyFont="1" applyAlignment="1" applyProtection="1">
      <alignment horizontal="center" vertical="center"/>
    </xf>
    <xf numFmtId="187" fontId="3" fillId="0" borderId="19" xfId="1" applyNumberFormat="1" applyFont="1" applyBorder="1" applyAlignment="1" applyProtection="1">
      <alignment horizontal="center" vertical="center"/>
      <protection locked="0"/>
    </xf>
    <xf numFmtId="187" fontId="3" fillId="3" borderId="19" xfId="1" applyNumberFormat="1" applyFont="1" applyFill="1" applyBorder="1" applyAlignment="1" applyProtection="1">
      <alignment horizontal="center" vertical="center"/>
      <protection locked="0"/>
    </xf>
    <xf numFmtId="49" fontId="3" fillId="3" borderId="26" xfId="1" applyNumberFormat="1" applyFont="1" applyFill="1" applyBorder="1" applyAlignment="1" applyProtection="1">
      <alignment horizontal="center" vertical="center"/>
      <protection locked="0"/>
    </xf>
    <xf numFmtId="0" fontId="3" fillId="2" borderId="0" xfId="1" applyFont="1" applyFill="1" applyBorder="1" applyAlignment="1" applyProtection="1">
      <alignment horizontal="left" vertical="center" wrapText="1"/>
    </xf>
    <xf numFmtId="0" fontId="3" fillId="2" borderId="0" xfId="1" applyFont="1" applyFill="1" applyBorder="1" applyAlignment="1" applyProtection="1">
      <alignment horizontal="center" vertical="center" wrapText="1"/>
    </xf>
    <xf numFmtId="38" fontId="3" fillId="0" borderId="19" xfId="2" applyFont="1" applyBorder="1" applyAlignment="1" applyProtection="1">
      <alignment horizontal="center" vertical="center"/>
      <protection locked="0"/>
    </xf>
    <xf numFmtId="38" fontId="3" fillId="0" borderId="0" xfId="2" applyFont="1" applyAlignment="1" applyProtection="1">
      <alignment horizontal="left" vertical="center"/>
    </xf>
    <xf numFmtId="38" fontId="3" fillId="7" borderId="19" xfId="2" applyFont="1" applyFill="1" applyBorder="1" applyAlignment="1" applyProtection="1">
      <alignment horizontal="center" vertical="center"/>
      <protection locked="0"/>
    </xf>
    <xf numFmtId="38" fontId="3" fillId="3" borderId="19" xfId="2" applyFont="1" applyFill="1" applyBorder="1" applyAlignment="1" applyProtection="1">
      <alignment horizontal="center" vertical="center"/>
      <protection locked="0"/>
    </xf>
    <xf numFmtId="38" fontId="3" fillId="0" borderId="19" xfId="2" applyFont="1" applyBorder="1" applyAlignment="1" applyProtection="1">
      <alignment horizontal="right" vertical="center"/>
      <protection locked="0"/>
    </xf>
    <xf numFmtId="5" fontId="3" fillId="0" borderId="0" xfId="1" applyNumberFormat="1" applyFont="1" applyFill="1" applyAlignment="1">
      <alignment vertical="center"/>
    </xf>
    <xf numFmtId="49" fontId="3" fillId="0" borderId="0" xfId="1" applyNumberFormat="1" applyFont="1" applyAlignment="1" applyProtection="1">
      <alignment horizontal="center" vertical="center"/>
    </xf>
    <xf numFmtId="49" fontId="3" fillId="3" borderId="19" xfId="1" applyNumberFormat="1" applyFont="1" applyFill="1" applyBorder="1" applyAlignment="1" applyProtection="1">
      <alignment horizontal="center" vertical="center"/>
      <protection locked="0"/>
    </xf>
    <xf numFmtId="0" fontId="3" fillId="2" borderId="19" xfId="1" applyNumberFormat="1" applyFont="1" applyFill="1" applyBorder="1" applyAlignment="1">
      <alignment horizontal="left" vertical="center"/>
    </xf>
    <xf numFmtId="0" fontId="3" fillId="2" borderId="0" xfId="1" applyFont="1" applyFill="1" applyBorder="1" applyAlignment="1">
      <alignment horizontal="left" vertical="center"/>
    </xf>
    <xf numFmtId="0" fontId="3" fillId="2" borderId="0" xfId="1" applyFont="1" applyFill="1" applyBorder="1" applyAlignment="1">
      <alignment horizontal="right" vertical="center"/>
    </xf>
    <xf numFmtId="0" fontId="3" fillId="0" borderId="27" xfId="1" applyFont="1" applyBorder="1" applyAlignment="1">
      <alignment vertical="center"/>
    </xf>
    <xf numFmtId="38" fontId="3" fillId="10" borderId="19" xfId="2" applyFont="1" applyFill="1" applyBorder="1" applyAlignment="1" applyProtection="1">
      <alignment horizontal="right" vertical="center"/>
      <protection locked="0"/>
    </xf>
    <xf numFmtId="0" fontId="29" fillId="0" borderId="19" xfId="1" applyFont="1" applyBorder="1" applyAlignment="1" applyProtection="1">
      <alignment horizontal="center" vertical="center"/>
      <protection locked="0"/>
    </xf>
    <xf numFmtId="178" fontId="29" fillId="0" borderId="19" xfId="1" applyNumberFormat="1" applyFont="1" applyBorder="1" applyAlignment="1" applyProtection="1">
      <alignment horizontal="center" vertical="center"/>
      <protection locked="0"/>
    </xf>
    <xf numFmtId="49" fontId="29" fillId="0" borderId="19" xfId="1" applyNumberFormat="1" applyFont="1" applyBorder="1" applyAlignment="1" applyProtection="1">
      <alignment horizontal="center" vertical="center"/>
      <protection locked="0"/>
    </xf>
    <xf numFmtId="0" fontId="29" fillId="0" borderId="19" xfId="1" applyFont="1" applyBorder="1" applyAlignment="1" applyProtection="1">
      <alignment horizontal="left" vertical="center"/>
      <protection locked="0"/>
    </xf>
    <xf numFmtId="6" fontId="29" fillId="0" borderId="19" xfId="1" applyNumberFormat="1" applyFont="1" applyBorder="1" applyAlignment="1" applyProtection="1">
      <alignment horizontal="right" vertical="center"/>
      <protection locked="0"/>
    </xf>
    <xf numFmtId="187" fontId="29" fillId="0" borderId="19" xfId="1" applyNumberFormat="1" applyFont="1" applyBorder="1" applyAlignment="1" applyProtection="1">
      <alignment horizontal="center" vertical="center"/>
      <protection locked="0"/>
    </xf>
    <xf numFmtId="38" fontId="29" fillId="0" borderId="19" xfId="2" applyFont="1" applyBorder="1" applyAlignment="1" applyProtection="1">
      <alignment horizontal="right" vertical="center"/>
      <protection locked="0"/>
    </xf>
    <xf numFmtId="183" fontId="29" fillId="0" borderId="19" xfId="1" applyNumberFormat="1" applyFont="1" applyBorder="1" applyAlignment="1" applyProtection="1">
      <alignment horizontal="center" vertical="center"/>
      <protection locked="0"/>
    </xf>
    <xf numFmtId="5" fontId="29" fillId="0" borderId="19" xfId="1" applyNumberFormat="1" applyFont="1" applyBorder="1" applyAlignment="1" applyProtection="1">
      <alignment horizontal="right" vertical="center"/>
      <protection locked="0"/>
    </xf>
    <xf numFmtId="183" fontId="29" fillId="0" borderId="19" xfId="1" applyNumberFormat="1" applyFont="1" applyBorder="1" applyAlignment="1" applyProtection="1">
      <alignment horizontal="right" vertical="center"/>
      <protection locked="0"/>
    </xf>
    <xf numFmtId="0" fontId="29" fillId="0" borderId="0" xfId="1" applyFont="1" applyAlignment="1" applyProtection="1">
      <alignment horizontal="center" vertical="center"/>
      <protection locked="0"/>
    </xf>
    <xf numFmtId="6" fontId="3" fillId="11" borderId="19" xfId="1" applyNumberFormat="1" applyFont="1" applyFill="1" applyBorder="1" applyAlignment="1" applyProtection="1">
      <alignment horizontal="right" vertical="center"/>
      <protection locked="0"/>
    </xf>
    <xf numFmtId="6" fontId="3" fillId="11" borderId="19" xfId="2" applyNumberFormat="1" applyFont="1" applyFill="1" applyBorder="1" applyAlignment="1" applyProtection="1">
      <alignment horizontal="right" vertical="center"/>
      <protection locked="0"/>
    </xf>
    <xf numFmtId="38" fontId="29" fillId="10" borderId="19" xfId="2" applyFont="1" applyFill="1" applyBorder="1" applyAlignment="1" applyProtection="1">
      <alignment horizontal="right" vertical="center"/>
      <protection locked="0"/>
    </xf>
    <xf numFmtId="0" fontId="30" fillId="0" borderId="0" xfId="0" applyFont="1" applyAlignment="1">
      <alignment horizontal="center" vertical="center"/>
    </xf>
    <xf numFmtId="187" fontId="31" fillId="0" borderId="19" xfId="1" applyNumberFormat="1" applyFont="1" applyBorder="1" applyAlignment="1" applyProtection="1">
      <alignment horizontal="center" vertical="center"/>
      <protection locked="0"/>
    </xf>
    <xf numFmtId="38" fontId="32" fillId="0" borderId="19" xfId="2" applyFont="1" applyBorder="1" applyAlignment="1" applyProtection="1">
      <alignment horizontal="right" vertical="center"/>
      <protection locked="0"/>
    </xf>
    <xf numFmtId="0" fontId="33" fillId="0" borderId="19" xfId="1" applyFont="1" applyBorder="1" applyAlignment="1" applyProtection="1">
      <alignment horizontal="center" vertical="center"/>
      <protection locked="0"/>
    </xf>
    <xf numFmtId="6" fontId="33" fillId="0" borderId="19" xfId="1" applyNumberFormat="1" applyFont="1" applyBorder="1" applyAlignment="1" applyProtection="1">
      <alignment horizontal="right" vertical="center"/>
      <protection locked="0"/>
    </xf>
    <xf numFmtId="187" fontId="3" fillId="0" borderId="19" xfId="1" applyNumberFormat="1" applyFont="1" applyFill="1" applyBorder="1" applyAlignment="1" applyProtection="1">
      <alignment horizontal="center" vertical="center"/>
      <protection locked="0"/>
    </xf>
    <xf numFmtId="0" fontId="34" fillId="0" borderId="19" xfId="1" applyFont="1" applyBorder="1" applyAlignment="1" applyProtection="1">
      <alignment horizontal="center" vertical="center"/>
      <protection locked="0"/>
    </xf>
    <xf numFmtId="6" fontId="34" fillId="0" borderId="19" xfId="1" applyNumberFormat="1" applyFont="1" applyBorder="1" applyAlignment="1" applyProtection="1">
      <alignment horizontal="right" vertical="center"/>
      <protection locked="0"/>
    </xf>
    <xf numFmtId="0" fontId="35" fillId="0" borderId="19" xfId="1" applyFont="1" applyBorder="1" applyAlignment="1" applyProtection="1">
      <alignment horizontal="center" vertical="center"/>
      <protection locked="0"/>
    </xf>
    <xf numFmtId="0" fontId="27" fillId="2" borderId="28" xfId="1" applyFont="1" applyFill="1" applyBorder="1" applyAlignment="1">
      <alignment horizontal="center" vertical="center"/>
    </xf>
    <xf numFmtId="0" fontId="0" fillId="0" borderId="29" xfId="0" applyFont="1" applyBorder="1" applyAlignment="1">
      <alignment horizontal="center" vertical="center"/>
    </xf>
    <xf numFmtId="5" fontId="3" fillId="0" borderId="2" xfId="1" applyNumberFormat="1" applyFont="1" applyFill="1" applyBorder="1" applyAlignment="1" applyProtection="1">
      <alignment horizontal="right" vertical="center"/>
      <protection locked="0"/>
    </xf>
    <xf numFmtId="0" fontId="3" fillId="2" borderId="2" xfId="1" applyFont="1" applyFill="1" applyBorder="1" applyAlignment="1">
      <alignment horizontal="center" vertical="center" wrapText="1"/>
    </xf>
    <xf numFmtId="5" fontId="3" fillId="5" borderId="2" xfId="1" applyNumberFormat="1" applyFont="1" applyFill="1" applyBorder="1" applyAlignment="1" applyProtection="1">
      <alignment horizontal="right" vertical="center"/>
    </xf>
    <xf numFmtId="5" fontId="3" fillId="3" borderId="28" xfId="1" applyNumberFormat="1" applyFont="1" applyFill="1" applyBorder="1" applyAlignment="1" applyProtection="1">
      <alignment horizontal="center" vertical="center"/>
      <protection locked="0"/>
    </xf>
    <xf numFmtId="5" fontId="3" fillId="3" borderId="29" xfId="1" applyNumberFormat="1" applyFont="1" applyFill="1" applyBorder="1" applyAlignment="1" applyProtection="1">
      <alignment horizontal="center" vertical="center"/>
      <protection locked="0"/>
    </xf>
    <xf numFmtId="0" fontId="3" fillId="2" borderId="2" xfId="1" applyFont="1" applyFill="1" applyBorder="1" applyAlignment="1">
      <alignment horizontal="center" vertical="center"/>
    </xf>
    <xf numFmtId="5" fontId="3" fillId="3" borderId="2" xfId="1" applyNumberFormat="1" applyFont="1" applyFill="1" applyBorder="1" applyAlignment="1" applyProtection="1">
      <alignment horizontal="right" vertical="center"/>
      <protection locked="0"/>
    </xf>
    <xf numFmtId="0" fontId="3" fillId="2" borderId="33" xfId="1" applyFont="1" applyFill="1" applyBorder="1" applyAlignment="1">
      <alignment horizontal="center" vertical="center"/>
    </xf>
    <xf numFmtId="0" fontId="3" fillId="5" borderId="2" xfId="1" applyFont="1" applyFill="1" applyBorder="1" applyAlignment="1" applyProtection="1">
      <alignment horizontal="right" vertical="center"/>
    </xf>
    <xf numFmtId="14" fontId="16" fillId="2" borderId="34" xfId="1" applyNumberFormat="1" applyFont="1" applyFill="1" applyBorder="1" applyAlignment="1">
      <alignment horizontal="center" vertical="center"/>
    </xf>
    <xf numFmtId="14" fontId="16" fillId="2" borderId="1" xfId="1" applyNumberFormat="1" applyFont="1" applyFill="1" applyBorder="1" applyAlignment="1">
      <alignment horizontal="center" vertical="center"/>
    </xf>
    <xf numFmtId="14" fontId="3" fillId="3" borderId="28" xfId="1" applyNumberFormat="1" applyFont="1" applyFill="1" applyBorder="1" applyAlignment="1" applyProtection="1">
      <alignment horizontal="center" vertical="center"/>
      <protection locked="0"/>
    </xf>
    <xf numFmtId="14" fontId="3" fillId="3" borderId="29" xfId="1" applyNumberFormat="1" applyFont="1" applyFill="1" applyBorder="1" applyAlignment="1" applyProtection="1">
      <alignment horizontal="center" vertical="center"/>
      <protection locked="0"/>
    </xf>
    <xf numFmtId="14" fontId="3" fillId="3" borderId="28" xfId="1" applyNumberFormat="1" applyFont="1" applyFill="1" applyBorder="1" applyAlignment="1" applyProtection="1">
      <alignment horizontal="center" vertical="center" wrapText="1"/>
      <protection locked="0"/>
    </xf>
    <xf numFmtId="0" fontId="4" fillId="2" borderId="7" xfId="1" applyFont="1" applyFill="1" applyBorder="1" applyAlignment="1">
      <alignment horizontal="left" vertical="center"/>
    </xf>
    <xf numFmtId="0" fontId="3" fillId="3" borderId="2" xfId="1" applyFont="1" applyFill="1" applyBorder="1" applyAlignment="1" applyProtection="1">
      <alignment horizontal="left" vertical="center"/>
      <protection locked="0"/>
    </xf>
    <xf numFmtId="187" fontId="3" fillId="3" borderId="2" xfId="1" applyNumberFormat="1" applyFont="1" applyFill="1" applyBorder="1" applyAlignment="1" applyProtection="1">
      <alignment horizontal="center" vertical="center"/>
      <protection locked="0"/>
    </xf>
    <xf numFmtId="0" fontId="3" fillId="2" borderId="28" xfId="1" applyFont="1" applyFill="1" applyBorder="1" applyAlignment="1">
      <alignment horizontal="left" vertical="center"/>
    </xf>
    <xf numFmtId="0" fontId="3" fillId="2" borderId="29" xfId="1" applyFont="1" applyFill="1" applyBorder="1" applyAlignment="1">
      <alignment horizontal="left" vertical="center"/>
    </xf>
    <xf numFmtId="0" fontId="3" fillId="2" borderId="27" xfId="1" applyFont="1" applyFill="1" applyBorder="1" applyAlignment="1">
      <alignment horizontal="center" vertical="center"/>
    </xf>
    <xf numFmtId="176" fontId="3" fillId="3" borderId="28" xfId="1" applyNumberFormat="1" applyFont="1" applyFill="1" applyBorder="1" applyAlignment="1" applyProtection="1">
      <alignment horizontal="right" vertical="center"/>
      <protection locked="0"/>
    </xf>
    <xf numFmtId="176" fontId="3" fillId="3" borderId="29" xfId="1" applyNumberFormat="1" applyFont="1" applyFill="1" applyBorder="1" applyAlignment="1" applyProtection="1">
      <alignment horizontal="right" vertical="center"/>
      <protection locked="0"/>
    </xf>
    <xf numFmtId="0" fontId="5" fillId="2" borderId="0" xfId="1" applyFont="1" applyFill="1" applyBorder="1" applyAlignment="1">
      <alignment horizontal="center" vertical="center"/>
    </xf>
    <xf numFmtId="14" fontId="3" fillId="3" borderId="2" xfId="1" applyNumberFormat="1" applyFont="1" applyFill="1" applyBorder="1" applyAlignment="1" applyProtection="1">
      <alignment horizontal="center" vertical="center"/>
      <protection locked="0"/>
    </xf>
    <xf numFmtId="0" fontId="3" fillId="2" borderId="9" xfId="1" applyFont="1" applyFill="1" applyBorder="1" applyAlignment="1">
      <alignment horizontal="center" vertical="center"/>
    </xf>
    <xf numFmtId="176" fontId="3" fillId="5" borderId="2" xfId="1" applyNumberFormat="1" applyFont="1" applyFill="1" applyBorder="1" applyAlignment="1" applyProtection="1">
      <alignment horizontal="right" vertical="center"/>
    </xf>
    <xf numFmtId="6" fontId="3" fillId="5" borderId="2" xfId="1" applyNumberFormat="1" applyFont="1" applyFill="1" applyBorder="1" applyAlignment="1" applyProtection="1">
      <alignment horizontal="right" vertical="center"/>
    </xf>
    <xf numFmtId="56" fontId="3" fillId="3" borderId="28" xfId="1" quotePrefix="1" applyNumberFormat="1" applyFont="1" applyFill="1" applyBorder="1" applyAlignment="1" applyProtection="1">
      <alignment horizontal="left" vertical="center" wrapText="1"/>
      <protection locked="0"/>
    </xf>
    <xf numFmtId="56" fontId="3" fillId="3" borderId="11" xfId="1" applyNumberFormat="1" applyFont="1" applyFill="1" applyBorder="1" applyAlignment="1" applyProtection="1">
      <alignment horizontal="left" vertical="center" wrapText="1"/>
      <protection locked="0"/>
    </xf>
    <xf numFmtId="56" fontId="3" fillId="3" borderId="29" xfId="1" applyNumberFormat="1" applyFont="1" applyFill="1" applyBorder="1" applyAlignment="1" applyProtection="1">
      <alignment horizontal="left" vertical="center" wrapText="1"/>
      <protection locked="0"/>
    </xf>
    <xf numFmtId="49" fontId="3" fillId="3" borderId="14" xfId="1" applyNumberFormat="1" applyFont="1" applyFill="1" applyBorder="1" applyAlignment="1" applyProtection="1">
      <alignment horizontal="center" vertical="center"/>
      <protection locked="0"/>
    </xf>
    <xf numFmtId="49" fontId="3" fillId="3" borderId="31" xfId="1" applyNumberFormat="1" applyFont="1" applyFill="1" applyBorder="1" applyAlignment="1" applyProtection="1">
      <alignment horizontal="center" vertical="center"/>
      <protection locked="0"/>
    </xf>
    <xf numFmtId="0" fontId="3" fillId="3" borderId="29" xfId="1" applyFont="1" applyFill="1" applyBorder="1" applyAlignment="1" applyProtection="1">
      <alignment horizontal="center" vertical="center"/>
      <protection locked="0"/>
    </xf>
    <xf numFmtId="56" fontId="3" fillId="3" borderId="28" xfId="1" applyNumberFormat="1" applyFont="1" applyFill="1" applyBorder="1" applyAlignment="1" applyProtection="1">
      <alignment horizontal="center" vertical="center"/>
      <protection locked="0"/>
    </xf>
    <xf numFmtId="56" fontId="3" fillId="3" borderId="26" xfId="1" applyNumberFormat="1" applyFont="1" applyFill="1" applyBorder="1" applyAlignment="1" applyProtection="1">
      <alignment horizontal="center" vertical="center"/>
      <protection locked="0"/>
    </xf>
    <xf numFmtId="5" fontId="3" fillId="3" borderId="28" xfId="1" applyNumberFormat="1" applyFont="1" applyFill="1" applyBorder="1" applyAlignment="1" applyProtection="1">
      <alignment horizontal="center" vertical="center" shrinkToFit="1"/>
      <protection locked="0"/>
    </xf>
    <xf numFmtId="5" fontId="3" fillId="3" borderId="11" xfId="1" applyNumberFormat="1" applyFont="1" applyFill="1" applyBorder="1" applyAlignment="1" applyProtection="1">
      <alignment horizontal="center" vertical="center" shrinkToFit="1"/>
      <protection locked="0"/>
    </xf>
    <xf numFmtId="5" fontId="3" fillId="3" borderId="29" xfId="1" applyNumberFormat="1" applyFont="1" applyFill="1" applyBorder="1" applyAlignment="1" applyProtection="1">
      <alignment horizontal="center" vertical="center" shrinkToFit="1"/>
      <protection locked="0"/>
    </xf>
    <xf numFmtId="0" fontId="3" fillId="3" borderId="28" xfId="1" applyFont="1" applyFill="1" applyBorder="1" applyAlignment="1" applyProtection="1">
      <alignment horizontal="center" vertical="center"/>
      <protection locked="0"/>
    </xf>
    <xf numFmtId="0" fontId="4" fillId="2" borderId="9" xfId="1" applyFont="1" applyFill="1" applyBorder="1" applyAlignment="1">
      <alignment horizontal="left" vertical="center"/>
    </xf>
    <xf numFmtId="5" fontId="3" fillId="3" borderId="28" xfId="1" applyNumberFormat="1" applyFont="1" applyFill="1" applyBorder="1" applyAlignment="1" applyProtection="1">
      <alignment horizontal="right" vertical="center"/>
      <protection locked="0"/>
    </xf>
    <xf numFmtId="5" fontId="3" fillId="3" borderId="11" xfId="1" applyNumberFormat="1" applyFont="1" applyFill="1" applyBorder="1" applyAlignment="1" applyProtection="1">
      <alignment horizontal="right" vertical="center"/>
      <protection locked="0"/>
    </xf>
    <xf numFmtId="5" fontId="3" fillId="3" borderId="29" xfId="1" applyNumberFormat="1" applyFont="1" applyFill="1" applyBorder="1" applyAlignment="1" applyProtection="1">
      <alignment horizontal="right" vertical="center"/>
      <protection locked="0"/>
    </xf>
    <xf numFmtId="0" fontId="5" fillId="2" borderId="1" xfId="1" applyFont="1" applyFill="1" applyBorder="1" applyAlignment="1">
      <alignment horizontal="center" vertical="center"/>
    </xf>
    <xf numFmtId="0" fontId="3" fillId="3" borderId="2" xfId="1" applyFont="1" applyFill="1" applyBorder="1" applyAlignment="1" applyProtection="1">
      <alignment horizontal="center" vertical="center"/>
      <protection locked="0"/>
    </xf>
    <xf numFmtId="14" fontId="3" fillId="3" borderId="33" xfId="1" applyNumberFormat="1" applyFont="1" applyFill="1" applyBorder="1" applyAlignment="1" applyProtection="1">
      <alignment horizontal="center" vertical="center"/>
      <protection locked="0"/>
    </xf>
    <xf numFmtId="0" fontId="3" fillId="2" borderId="28" xfId="1" applyFont="1" applyFill="1" applyBorder="1" applyAlignment="1">
      <alignment horizontal="center" vertical="center"/>
    </xf>
    <xf numFmtId="0" fontId="3" fillId="2" borderId="29" xfId="1" applyFont="1" applyFill="1" applyBorder="1" applyAlignment="1">
      <alignment horizontal="center" vertical="center"/>
    </xf>
    <xf numFmtId="14" fontId="3" fillId="3" borderId="28" xfId="1" applyNumberFormat="1" applyFont="1" applyFill="1" applyBorder="1" applyAlignment="1" applyProtection="1">
      <alignment horizontal="left" vertical="center" wrapText="1"/>
      <protection locked="0"/>
    </xf>
    <xf numFmtId="14" fontId="3" fillId="3" borderId="11" xfId="1" applyNumberFormat="1" applyFont="1" applyFill="1" applyBorder="1" applyAlignment="1" applyProtection="1">
      <alignment horizontal="left" vertical="center" wrapText="1"/>
      <protection locked="0"/>
    </xf>
    <xf numFmtId="14" fontId="3" fillId="3" borderId="29" xfId="1" applyNumberFormat="1" applyFont="1" applyFill="1" applyBorder="1" applyAlignment="1" applyProtection="1">
      <alignment horizontal="left" vertical="center" wrapText="1"/>
      <protection locked="0"/>
    </xf>
    <xf numFmtId="0" fontId="3" fillId="2" borderId="11" xfId="1" applyFont="1" applyFill="1" applyBorder="1" applyAlignment="1">
      <alignment horizontal="left" vertical="center"/>
    </xf>
    <xf numFmtId="5" fontId="3" fillId="5" borderId="28" xfId="1" applyNumberFormat="1" applyFont="1" applyFill="1" applyBorder="1" applyAlignment="1" applyProtection="1">
      <alignment horizontal="right" vertical="center"/>
    </xf>
    <xf numFmtId="5" fontId="3" fillId="5" borderId="11" xfId="1" applyNumberFormat="1" applyFont="1" applyFill="1" applyBorder="1" applyAlignment="1" applyProtection="1">
      <alignment horizontal="right" vertical="center"/>
    </xf>
    <xf numFmtId="5" fontId="3" fillId="5" borderId="29" xfId="1" applyNumberFormat="1" applyFont="1" applyFill="1" applyBorder="1" applyAlignment="1" applyProtection="1">
      <alignment horizontal="right" vertical="center"/>
    </xf>
    <xf numFmtId="0" fontId="22" fillId="2" borderId="9" xfId="1" applyFont="1" applyFill="1" applyBorder="1" applyAlignment="1">
      <alignment horizontal="center" vertical="center"/>
    </xf>
    <xf numFmtId="14" fontId="3" fillId="3" borderId="11" xfId="1" applyNumberFormat="1" applyFont="1" applyFill="1" applyBorder="1" applyAlignment="1" applyProtection="1">
      <alignment horizontal="center" vertical="center"/>
      <protection locked="0"/>
    </xf>
    <xf numFmtId="14" fontId="3" fillId="3" borderId="32" xfId="1" applyNumberFormat="1" applyFont="1" applyFill="1" applyBorder="1" applyAlignment="1" applyProtection="1">
      <alignment horizontal="center" vertical="center" wrapText="1"/>
      <protection locked="0"/>
    </xf>
    <xf numFmtId="49" fontId="3" fillId="2" borderId="0" xfId="1" applyNumberFormat="1" applyFont="1" applyFill="1" applyBorder="1" applyAlignment="1" applyProtection="1">
      <alignment horizontal="right" vertical="center"/>
      <protection locked="0"/>
    </xf>
    <xf numFmtId="6" fontId="3" fillId="3" borderId="28" xfId="1" applyNumberFormat="1" applyFont="1" applyFill="1" applyBorder="1" applyAlignment="1" applyProtection="1">
      <alignment horizontal="right" vertical="center"/>
      <protection locked="0"/>
    </xf>
    <xf numFmtId="6" fontId="3" fillId="3" borderId="29" xfId="1" applyNumberFormat="1" applyFont="1" applyFill="1" applyBorder="1" applyAlignment="1" applyProtection="1">
      <alignment horizontal="right" vertical="center"/>
      <protection locked="0"/>
    </xf>
    <xf numFmtId="14" fontId="3" fillId="3" borderId="10" xfId="1" applyNumberFormat="1" applyFont="1" applyFill="1" applyBorder="1" applyAlignment="1" applyProtection="1">
      <alignment horizontal="center" vertical="center"/>
      <protection locked="0"/>
    </xf>
    <xf numFmtId="14" fontId="3" fillId="3" borderId="7" xfId="1" applyNumberFormat="1" applyFont="1" applyFill="1" applyBorder="1" applyAlignment="1" applyProtection="1">
      <alignment horizontal="center" vertical="center"/>
      <protection locked="0"/>
    </xf>
    <xf numFmtId="14" fontId="3" fillId="3" borderId="30" xfId="1" applyNumberFormat="1" applyFont="1" applyFill="1" applyBorder="1" applyAlignment="1" applyProtection="1">
      <alignment horizontal="center" vertical="center"/>
      <protection locked="0"/>
    </xf>
    <xf numFmtId="0" fontId="3" fillId="3" borderId="28" xfId="1" applyFont="1" applyFill="1" applyBorder="1" applyAlignment="1" applyProtection="1">
      <alignment horizontal="left" vertical="center"/>
      <protection locked="0"/>
    </xf>
    <xf numFmtId="0" fontId="3" fillId="3" borderId="11" xfId="1" applyFont="1" applyFill="1" applyBorder="1" applyAlignment="1" applyProtection="1">
      <alignment horizontal="left" vertical="center"/>
      <protection locked="0"/>
    </xf>
    <xf numFmtId="0" fontId="3" fillId="3" borderId="29" xfId="1" applyFont="1" applyFill="1" applyBorder="1" applyAlignment="1" applyProtection="1">
      <alignment horizontal="left" vertical="center"/>
      <protection locked="0"/>
    </xf>
    <xf numFmtId="0" fontId="3" fillId="2" borderId="28" xfId="1" applyFont="1" applyFill="1" applyBorder="1" applyAlignment="1">
      <alignment horizontal="center" vertical="center" wrapText="1"/>
    </xf>
    <xf numFmtId="0" fontId="3" fillId="2" borderId="29" xfId="1" applyFont="1" applyFill="1" applyBorder="1" applyAlignment="1">
      <alignment horizontal="center" vertical="center" wrapText="1"/>
    </xf>
    <xf numFmtId="0" fontId="24" fillId="3" borderId="37" xfId="1" applyFont="1" applyFill="1" applyBorder="1" applyAlignment="1" applyProtection="1">
      <alignment horizontal="center" vertical="center" wrapText="1"/>
    </xf>
    <xf numFmtId="0" fontId="24" fillId="3" borderId="38" xfId="1" applyFont="1" applyFill="1" applyBorder="1" applyAlignment="1" applyProtection="1">
      <alignment horizontal="center" vertical="center"/>
    </xf>
    <xf numFmtId="0" fontId="3" fillId="0" borderId="19" xfId="1" applyFont="1" applyBorder="1" applyAlignment="1" applyProtection="1">
      <alignment horizontal="center" vertical="center"/>
      <protection locked="0"/>
    </xf>
    <xf numFmtId="0" fontId="3" fillId="13" borderId="19" xfId="1" applyFont="1" applyFill="1" applyBorder="1" applyAlignment="1" applyProtection="1">
      <alignment horizontal="center" vertical="center"/>
      <protection locked="0"/>
    </xf>
    <xf numFmtId="0" fontId="3" fillId="8" borderId="23" xfId="1" applyFont="1" applyFill="1" applyBorder="1" applyAlignment="1" applyProtection="1">
      <alignment horizontal="center" vertical="center"/>
      <protection locked="0"/>
    </xf>
    <xf numFmtId="0" fontId="3" fillId="9" borderId="23" xfId="1" applyFont="1" applyFill="1" applyBorder="1" applyAlignment="1" applyProtection="1">
      <alignment horizontal="center" vertical="center"/>
      <protection locked="0"/>
    </xf>
    <xf numFmtId="0" fontId="3" fillId="9" borderId="19" xfId="1" applyFont="1" applyFill="1" applyBorder="1" applyAlignment="1" applyProtection="1">
      <alignment horizontal="center" vertical="center"/>
      <protection locked="0"/>
    </xf>
    <xf numFmtId="0" fontId="3" fillId="0" borderId="19" xfId="1" applyFont="1" applyBorder="1" applyAlignment="1" applyProtection="1">
      <alignment horizontal="center" vertical="center" wrapText="1"/>
      <protection locked="0"/>
    </xf>
    <xf numFmtId="0" fontId="3" fillId="0" borderId="24" xfId="1" applyFont="1" applyBorder="1" applyAlignment="1" applyProtection="1">
      <alignment horizontal="center" vertical="center"/>
      <protection locked="0"/>
    </xf>
    <xf numFmtId="0" fontId="3" fillId="0" borderId="23" xfId="1" applyFont="1" applyBorder="1" applyAlignment="1" applyProtection="1">
      <alignment horizontal="center" vertical="center"/>
      <protection locked="0"/>
    </xf>
    <xf numFmtId="0" fontId="3" fillId="0" borderId="15" xfId="1" applyFont="1" applyBorder="1" applyAlignment="1" applyProtection="1">
      <alignment horizontal="center" vertical="center"/>
      <protection locked="0"/>
    </xf>
    <xf numFmtId="0" fontId="3" fillId="0" borderId="36" xfId="1" applyFont="1" applyBorder="1" applyAlignment="1" applyProtection="1">
      <alignment horizontal="center" vertical="center"/>
      <protection locked="0"/>
    </xf>
    <xf numFmtId="0" fontId="3" fillId="0" borderId="22" xfId="1" applyFont="1" applyBorder="1" applyAlignment="1" applyProtection="1">
      <alignment horizontal="center" vertical="center"/>
      <protection locked="0"/>
    </xf>
    <xf numFmtId="183" fontId="3" fillId="0" borderId="24" xfId="1" applyNumberFormat="1" applyFont="1" applyBorder="1" applyAlignment="1" applyProtection="1">
      <alignment horizontal="center" vertical="center" wrapText="1"/>
      <protection locked="0"/>
    </xf>
    <xf numFmtId="183" fontId="3" fillId="0" borderId="23" xfId="1" applyNumberFormat="1" applyFont="1" applyBorder="1" applyAlignment="1" applyProtection="1">
      <alignment horizontal="center" vertical="center"/>
      <protection locked="0"/>
    </xf>
    <xf numFmtId="187" fontId="3" fillId="0" borderId="19" xfId="1" applyNumberFormat="1" applyFont="1" applyBorder="1" applyAlignment="1" applyProtection="1">
      <alignment horizontal="center" vertical="center" wrapText="1"/>
      <protection locked="0"/>
    </xf>
    <xf numFmtId="187" fontId="3" fillId="0" borderId="19" xfId="1" applyNumberFormat="1" applyFont="1" applyBorder="1" applyAlignment="1" applyProtection="1">
      <alignment horizontal="center" vertical="center"/>
      <protection locked="0"/>
    </xf>
    <xf numFmtId="0" fontId="3" fillId="12" borderId="19" xfId="1" applyFont="1" applyFill="1" applyBorder="1" applyAlignment="1" applyProtection="1">
      <alignment horizontal="center" vertical="center"/>
      <protection locked="0"/>
    </xf>
    <xf numFmtId="183" fontId="3" fillId="0" borderId="19" xfId="1" applyNumberFormat="1" applyFont="1" applyBorder="1" applyAlignment="1" applyProtection="1">
      <alignment horizontal="center" vertical="center" wrapText="1"/>
      <protection locked="0"/>
    </xf>
    <xf numFmtId="183" fontId="3" fillId="0" borderId="19" xfId="1" applyNumberFormat="1" applyFont="1" applyBorder="1" applyAlignment="1" applyProtection="1">
      <alignment horizontal="center" vertical="center"/>
      <protection locked="0"/>
    </xf>
    <xf numFmtId="0" fontId="3" fillId="7" borderId="19" xfId="1" applyFont="1" applyFill="1" applyBorder="1" applyAlignment="1" applyProtection="1">
      <alignment horizontal="center" vertical="center"/>
      <protection locked="0"/>
    </xf>
    <xf numFmtId="38" fontId="3" fillId="0" borderId="19" xfId="2" applyFont="1" applyBorder="1" applyAlignment="1" applyProtection="1">
      <alignment horizontal="center" vertical="center"/>
      <protection locked="0"/>
    </xf>
    <xf numFmtId="0" fontId="3" fillId="0" borderId="24" xfId="1" applyFont="1" applyBorder="1" applyAlignment="1" applyProtection="1">
      <alignment horizontal="center" vertical="center" wrapText="1"/>
      <protection locked="0"/>
    </xf>
    <xf numFmtId="0" fontId="0" fillId="0" borderId="23" xfId="0" applyBorder="1" applyAlignment="1">
      <alignment horizontal="center" vertical="center"/>
    </xf>
    <xf numFmtId="0" fontId="3" fillId="4" borderId="19" xfId="1" applyFont="1" applyFill="1" applyBorder="1" applyAlignment="1" applyProtection="1">
      <alignment horizontal="center" vertical="center"/>
      <protection locked="0"/>
    </xf>
    <xf numFmtId="0" fontId="3" fillId="0" borderId="35" xfId="1" applyFont="1" applyBorder="1" applyAlignment="1" applyProtection="1">
      <alignment horizontal="center" vertical="center"/>
      <protection locked="0"/>
    </xf>
    <xf numFmtId="0" fontId="23" fillId="4" borderId="19" xfId="1" applyNumberFormat="1" applyFont="1" applyFill="1" applyBorder="1" applyAlignment="1">
      <alignment horizontal="center" vertical="center"/>
    </xf>
    <xf numFmtId="0" fontId="4" fillId="2" borderId="19" xfId="1" applyNumberFormat="1" applyFont="1" applyFill="1" applyBorder="1" applyAlignment="1">
      <alignment horizontal="left" vertical="center"/>
    </xf>
    <xf numFmtId="0" fontId="3" fillId="2" borderId="19" xfId="1" applyNumberFormat="1" applyFont="1" applyFill="1" applyBorder="1" applyAlignment="1">
      <alignment horizontal="left" vertical="center"/>
    </xf>
    <xf numFmtId="0" fontId="23" fillId="4" borderId="15" xfId="1" applyNumberFormat="1" applyFont="1" applyFill="1" applyBorder="1" applyAlignment="1">
      <alignment horizontal="center" vertical="center"/>
    </xf>
    <xf numFmtId="0" fontId="23" fillId="4" borderId="22" xfId="1" applyNumberFormat="1" applyFont="1" applyFill="1" applyBorder="1" applyAlignment="1">
      <alignment horizontal="center" vertical="center"/>
    </xf>
    <xf numFmtId="0" fontId="5" fillId="2" borderId="19" xfId="1" applyNumberFormat="1" applyFont="1" applyFill="1" applyBorder="1" applyAlignment="1">
      <alignment horizontal="center" vertical="center"/>
    </xf>
    <xf numFmtId="0" fontId="3" fillId="2" borderId="19" xfId="1" applyNumberFormat="1" applyFont="1" applyFill="1" applyBorder="1" applyAlignment="1">
      <alignment horizontal="center" vertical="center" wrapText="1"/>
    </xf>
    <xf numFmtId="0" fontId="3" fillId="2" borderId="19" xfId="1" applyNumberFormat="1" applyFont="1" applyFill="1" applyBorder="1" applyAlignment="1">
      <alignment horizontal="center" vertical="center"/>
    </xf>
    <xf numFmtId="0" fontId="23" fillId="4" borderId="19" xfId="1" applyNumberFormat="1" applyFont="1" applyFill="1" applyBorder="1" applyAlignment="1">
      <alignment horizontal="center" vertical="center" shrinkToFit="1"/>
    </xf>
    <xf numFmtId="0" fontId="3" fillId="2" borderId="17" xfId="1" applyFont="1" applyFill="1" applyBorder="1" applyAlignment="1">
      <alignment horizontal="center" vertical="center"/>
    </xf>
    <xf numFmtId="0" fontId="3" fillId="2" borderId="4" xfId="1" applyFont="1" applyFill="1" applyBorder="1" applyAlignment="1">
      <alignment horizontal="center" vertical="center"/>
    </xf>
    <xf numFmtId="0" fontId="13" fillId="2" borderId="39" xfId="1" applyNumberFormat="1" applyFont="1" applyFill="1" applyBorder="1" applyAlignment="1">
      <alignment horizontal="left" vertical="center"/>
    </xf>
    <xf numFmtId="0" fontId="13" fillId="2" borderId="40" xfId="1" applyNumberFormat="1" applyFont="1" applyFill="1" applyBorder="1" applyAlignment="1">
      <alignment horizontal="left" vertical="center"/>
    </xf>
    <xf numFmtId="0" fontId="13" fillId="2" borderId="41" xfId="1" applyNumberFormat="1" applyFont="1" applyFill="1" applyBorder="1" applyAlignment="1">
      <alignment horizontal="left" vertical="center"/>
    </xf>
    <xf numFmtId="0" fontId="3" fillId="2" borderId="15" xfId="1" applyFont="1" applyFill="1" applyBorder="1" applyAlignment="1">
      <alignment horizontal="left" vertical="center"/>
    </xf>
    <xf numFmtId="0" fontId="3" fillId="2" borderId="36" xfId="1" applyFont="1" applyFill="1" applyBorder="1" applyAlignment="1">
      <alignment horizontal="left" vertical="center"/>
    </xf>
    <xf numFmtId="0" fontId="3" fillId="2" borderId="22" xfId="1" applyFont="1" applyFill="1" applyBorder="1" applyAlignment="1">
      <alignment horizontal="left" vertical="center"/>
    </xf>
    <xf numFmtId="0" fontId="3" fillId="2" borderId="24" xfId="1" applyNumberFormat="1" applyFont="1" applyFill="1" applyBorder="1" applyAlignment="1">
      <alignment horizontal="left" vertical="center"/>
    </xf>
    <xf numFmtId="0" fontId="23" fillId="4" borderId="15" xfId="1" applyNumberFormat="1" applyFont="1" applyFill="1" applyBorder="1" applyAlignment="1">
      <alignment horizontal="center" vertical="center" wrapText="1"/>
    </xf>
    <xf numFmtId="0" fontId="23" fillId="4" borderId="36" xfId="1" applyNumberFormat="1" applyFont="1" applyFill="1" applyBorder="1" applyAlignment="1">
      <alignment horizontal="center" vertical="center" wrapText="1"/>
    </xf>
    <xf numFmtId="0" fontId="23" fillId="4" borderId="22" xfId="1" applyNumberFormat="1" applyFont="1" applyFill="1" applyBorder="1" applyAlignment="1">
      <alignment horizontal="center" vertical="center" wrapText="1"/>
    </xf>
    <xf numFmtId="0" fontId="23" fillId="2" borderId="19" xfId="1" applyNumberFormat="1" applyFont="1" applyFill="1" applyBorder="1" applyAlignment="1">
      <alignment horizontal="center" vertical="center"/>
    </xf>
    <xf numFmtId="0" fontId="16" fillId="2" borderId="19" xfId="1" applyNumberFormat="1" applyFont="1" applyFill="1" applyBorder="1" applyAlignment="1">
      <alignment horizontal="center" vertical="center"/>
    </xf>
    <xf numFmtId="0" fontId="3" fillId="3" borderId="19" xfId="1" applyNumberFormat="1" applyFont="1" applyFill="1" applyBorder="1" applyAlignment="1">
      <alignment horizontal="center" vertical="center"/>
    </xf>
    <xf numFmtId="0" fontId="3" fillId="2" borderId="24" xfId="1" applyNumberFormat="1" applyFont="1" applyFill="1" applyBorder="1" applyAlignment="1">
      <alignment horizontal="center" vertical="center"/>
    </xf>
    <xf numFmtId="0" fontId="3" fillId="3" borderId="24" xfId="1" applyNumberFormat="1" applyFont="1" applyFill="1" applyBorder="1" applyAlignment="1">
      <alignment horizontal="center" vertical="center"/>
    </xf>
    <xf numFmtId="0" fontId="3" fillId="3" borderId="19" xfId="1" applyNumberFormat="1" applyFont="1" applyFill="1" applyBorder="1" applyAlignment="1">
      <alignment horizontal="right" vertical="center"/>
    </xf>
    <xf numFmtId="0" fontId="3" fillId="3" borderId="19" xfId="1" applyNumberFormat="1" applyFont="1" applyFill="1" applyBorder="1" applyAlignment="1">
      <alignment horizontal="center" vertical="center" shrinkToFit="1"/>
    </xf>
    <xf numFmtId="0" fontId="3" fillId="3" borderId="15" xfId="1" applyNumberFormat="1" applyFont="1" applyFill="1" applyBorder="1" applyAlignment="1">
      <alignment horizontal="center" vertical="center" wrapText="1"/>
    </xf>
    <xf numFmtId="0" fontId="3" fillId="3" borderId="36" xfId="1" applyNumberFormat="1" applyFont="1" applyFill="1" applyBorder="1" applyAlignment="1">
      <alignment horizontal="center" vertical="center" wrapText="1"/>
    </xf>
    <xf numFmtId="0" fontId="3" fillId="3" borderId="22" xfId="1" applyNumberFormat="1" applyFont="1" applyFill="1" applyBorder="1" applyAlignment="1">
      <alignment horizontal="center" vertical="center" wrapText="1"/>
    </xf>
    <xf numFmtId="0" fontId="3" fillId="3" borderId="22" xfId="1" applyNumberFormat="1" applyFont="1" applyFill="1" applyBorder="1" applyAlignment="1">
      <alignment horizontal="right" vertical="center"/>
    </xf>
    <xf numFmtId="0" fontId="4" fillId="2" borderId="15" xfId="1" applyNumberFormat="1" applyFont="1" applyFill="1" applyBorder="1" applyAlignment="1">
      <alignment horizontal="left" vertical="center"/>
    </xf>
    <xf numFmtId="0" fontId="4" fillId="2" borderId="36" xfId="1" applyNumberFormat="1" applyFont="1" applyFill="1" applyBorder="1" applyAlignment="1">
      <alignment horizontal="left" vertical="center"/>
    </xf>
    <xf numFmtId="0" fontId="4" fillId="2" borderId="22" xfId="1" applyNumberFormat="1" applyFont="1" applyFill="1" applyBorder="1" applyAlignment="1">
      <alignment horizontal="left" vertical="center"/>
    </xf>
    <xf numFmtId="0" fontId="3" fillId="3" borderId="19" xfId="1" applyNumberFormat="1" applyFont="1" applyFill="1" applyBorder="1" applyAlignment="1">
      <alignment horizontal="left" vertical="center"/>
    </xf>
    <xf numFmtId="0" fontId="3" fillId="2" borderId="15" xfId="1" applyFont="1" applyFill="1" applyBorder="1" applyAlignment="1">
      <alignment horizontal="center" vertical="center"/>
    </xf>
    <xf numFmtId="0" fontId="3" fillId="2" borderId="22" xfId="1" applyFont="1" applyFill="1" applyBorder="1" applyAlignment="1">
      <alignment horizontal="center" vertical="center"/>
    </xf>
    <xf numFmtId="0" fontId="3" fillId="2" borderId="19" xfId="1" applyFont="1" applyFill="1" applyBorder="1" applyAlignment="1">
      <alignment horizontal="center" vertical="center"/>
    </xf>
    <xf numFmtId="14" fontId="3" fillId="3" borderId="19" xfId="1" applyNumberFormat="1" applyFont="1" applyFill="1" applyBorder="1" applyAlignment="1" applyProtection="1">
      <alignment horizontal="center" vertical="center"/>
      <protection locked="0"/>
    </xf>
  </cellXfs>
  <cellStyles count="5">
    <cellStyle name="_x000a_sound.drv=mm" xfId="1"/>
    <cellStyle name="桁区切り" xfId="2" builtinId="6"/>
    <cellStyle name="標準" xfId="0" builtinId="0"/>
    <cellStyle name="標準 2" xfId="3"/>
    <cellStyle name="標準 3" xfId="4"/>
  </cellStyles>
  <dxfs count="2">
    <dxf>
      <fill>
        <patternFill>
          <bgColor indexed="43"/>
        </patternFill>
      </fill>
    </dxf>
    <dxf>
      <fill>
        <patternFill>
          <bgColor indexed="4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firstButton="1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image" Target="../media/image2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12" Type="http://schemas.openxmlformats.org/officeDocument/2006/relationships/image" Target="../media/image3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Relationship Id="rId1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47625</xdr:rowOff>
        </xdr:from>
        <xdr:to>
          <xdr:col>1</xdr:col>
          <xdr:colOff>285750</xdr:colOff>
          <xdr:row>11</xdr:row>
          <xdr:rowOff>219075</xdr:rowOff>
        </xdr:to>
        <xdr:sp macro="" textlink="">
          <xdr:nvSpPr>
            <xdr:cNvPr id="1050" name="optKindSelector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9B8E0064-A5EA-8443-9881-1F7FC9090F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47625</xdr:rowOff>
        </xdr:from>
        <xdr:to>
          <xdr:col>1</xdr:col>
          <xdr:colOff>285750</xdr:colOff>
          <xdr:row>13</xdr:row>
          <xdr:rowOff>219075</xdr:rowOff>
        </xdr:to>
        <xdr:sp macro="" textlink="">
          <xdr:nvSpPr>
            <xdr:cNvPr id="1052" name="optKindSelector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5DFB720-259E-35AC-D7FD-652BBFFF7D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123825</xdr:colOff>
          <xdr:row>44</xdr:row>
          <xdr:rowOff>47625</xdr:rowOff>
        </xdr:from>
        <xdr:to>
          <xdr:col>15</xdr:col>
          <xdr:colOff>285750</xdr:colOff>
          <xdr:row>44</xdr:row>
          <xdr:rowOff>219075</xdr:rowOff>
        </xdr:to>
        <xdr:sp macro="" textlink="">
          <xdr:nvSpPr>
            <xdr:cNvPr id="1053" name="optStatusSelector1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FAF342E3-2D13-14F4-B535-B6E904D593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123825</xdr:colOff>
          <xdr:row>45</xdr:row>
          <xdr:rowOff>66675</xdr:rowOff>
        </xdr:from>
        <xdr:to>
          <xdr:col>15</xdr:col>
          <xdr:colOff>285750</xdr:colOff>
          <xdr:row>46</xdr:row>
          <xdr:rowOff>9525</xdr:rowOff>
        </xdr:to>
        <xdr:sp macro="" textlink="">
          <xdr:nvSpPr>
            <xdr:cNvPr id="1054" name="optStatusSelector2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D386D3E7-816B-367F-6A08-EBA28C73CF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123825</xdr:colOff>
          <xdr:row>46</xdr:row>
          <xdr:rowOff>66675</xdr:rowOff>
        </xdr:from>
        <xdr:to>
          <xdr:col>15</xdr:col>
          <xdr:colOff>285750</xdr:colOff>
          <xdr:row>47</xdr:row>
          <xdr:rowOff>9525</xdr:rowOff>
        </xdr:to>
        <xdr:sp macro="" textlink="">
          <xdr:nvSpPr>
            <xdr:cNvPr id="1055" name="optStatusSelector3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1145195D-25BE-0E1A-3C22-EDCCCCC436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4</xdr:row>
          <xdr:rowOff>19050</xdr:rowOff>
        </xdr:from>
        <xdr:to>
          <xdr:col>11</xdr:col>
          <xdr:colOff>47625</xdr:colOff>
          <xdr:row>5</xdr:row>
          <xdr:rowOff>19050</xdr:rowOff>
        </xdr:to>
        <xdr:sp macro="" textlink="">
          <xdr:nvSpPr>
            <xdr:cNvPr id="1070" name="cmdNewEntry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398EA6FB-639C-E5AA-A8F4-4D749012DE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</xdr:row>
          <xdr:rowOff>19050</xdr:rowOff>
        </xdr:from>
        <xdr:to>
          <xdr:col>9</xdr:col>
          <xdr:colOff>47625</xdr:colOff>
          <xdr:row>5</xdr:row>
          <xdr:rowOff>19050</xdr:rowOff>
        </xdr:to>
        <xdr:sp macro="" textlink="">
          <xdr:nvSpPr>
            <xdr:cNvPr id="1071" name="cmdCallExists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2A5E2831-1DB2-12C7-32B7-84D8282B50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238125</xdr:colOff>
          <xdr:row>0</xdr:row>
          <xdr:rowOff>28575</xdr:rowOff>
        </xdr:from>
        <xdr:to>
          <xdr:col>18</xdr:col>
          <xdr:colOff>76200</xdr:colOff>
          <xdr:row>0</xdr:row>
          <xdr:rowOff>285750</xdr:rowOff>
        </xdr:to>
        <xdr:sp macro="" textlink="">
          <xdr:nvSpPr>
            <xdr:cNvPr id="1073" name="cmdExit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A32DC08D-53B2-B8BF-41B8-91ED7D07E4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28575</xdr:rowOff>
        </xdr:from>
        <xdr:to>
          <xdr:col>13</xdr:col>
          <xdr:colOff>76200</xdr:colOff>
          <xdr:row>1</xdr:row>
          <xdr:rowOff>0</xdr:rowOff>
        </xdr:to>
        <xdr:sp macro="" textlink="">
          <xdr:nvSpPr>
            <xdr:cNvPr id="1074" name="cmdUpdate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2FF79D2D-FCD4-5BEF-0B91-61D2B0DB43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11</xdr:col>
          <xdr:colOff>180975</xdr:colOff>
          <xdr:row>9</xdr:row>
          <xdr:rowOff>19050</xdr:rowOff>
        </xdr:to>
        <xdr:sp macro="" textlink="">
          <xdr:nvSpPr>
            <xdr:cNvPr id="1077" name="scrEntryMove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B714581D-83B6-0A36-C80E-19F1292DBF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47625</xdr:rowOff>
        </xdr:from>
        <xdr:to>
          <xdr:col>1</xdr:col>
          <xdr:colOff>285750</xdr:colOff>
          <xdr:row>12</xdr:row>
          <xdr:rowOff>219075</xdr:rowOff>
        </xdr:to>
        <xdr:sp macro="" textlink="">
          <xdr:nvSpPr>
            <xdr:cNvPr id="1081" name="optKindSelector2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DB165859-8631-BE8D-572A-73D292FBC9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0</xdr:row>
          <xdr:rowOff>28575</xdr:rowOff>
        </xdr:from>
        <xdr:to>
          <xdr:col>15</xdr:col>
          <xdr:colOff>285750</xdr:colOff>
          <xdr:row>1</xdr:row>
          <xdr:rowOff>0</xdr:rowOff>
        </xdr:to>
        <xdr:sp macro="" textlink="">
          <xdr:nvSpPr>
            <xdr:cNvPr id="1086" name="cmdListDisp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D6B28086-E4AA-D1F9-F8A5-788DC5E5FB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14</xdr:row>
          <xdr:rowOff>47625</xdr:rowOff>
        </xdr:from>
        <xdr:to>
          <xdr:col>1</xdr:col>
          <xdr:colOff>285750</xdr:colOff>
          <xdr:row>14</xdr:row>
          <xdr:rowOff>219075</xdr:rowOff>
        </xdr:to>
        <xdr:sp macro="" textlink="">
          <xdr:nvSpPr>
            <xdr:cNvPr id="1092" name="optKindSelector4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C425114C-8C61-38F7-A49E-A164B6AC3A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9</xdr:row>
          <xdr:rowOff>209550</xdr:rowOff>
        </xdr:from>
        <xdr:to>
          <xdr:col>5</xdr:col>
          <xdr:colOff>85725</xdr:colOff>
          <xdr:row>11</xdr:row>
          <xdr:rowOff>0</xdr:rowOff>
        </xdr:to>
        <xdr:sp macro="" textlink="">
          <xdr:nvSpPr>
            <xdr:cNvPr id="1093" name="cmdAutoJudge1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FA7A993-B874-784B-7931-767E99BED6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19050</xdr:rowOff>
        </xdr:from>
        <xdr:to>
          <xdr:col>2</xdr:col>
          <xdr:colOff>57150</xdr:colOff>
          <xdr:row>1</xdr:row>
          <xdr:rowOff>0</xdr:rowOff>
        </xdr:to>
        <xdr:sp macro="" textlink="">
          <xdr:nvSpPr>
            <xdr:cNvPr id="2154" name="cmdSelectDisp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C9C72A65-51F1-94E4-2C13-5C28F110F6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19050</xdr:rowOff>
        </xdr:from>
        <xdr:to>
          <xdr:col>3</xdr:col>
          <xdr:colOff>285750</xdr:colOff>
          <xdr:row>1</xdr:row>
          <xdr:rowOff>0</xdr:rowOff>
        </xdr:to>
        <xdr:sp macro="" textlink="">
          <xdr:nvSpPr>
            <xdr:cNvPr id="2155" name="cmdProgressChecker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5425DB51-DF4F-6579-181C-E548A05E0E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0</xdr:row>
          <xdr:rowOff>19050</xdr:rowOff>
        </xdr:from>
        <xdr:to>
          <xdr:col>5</xdr:col>
          <xdr:colOff>466725</xdr:colOff>
          <xdr:row>1</xdr:row>
          <xdr:rowOff>0</xdr:rowOff>
        </xdr:to>
        <xdr:sp macro="" textlink="">
          <xdr:nvSpPr>
            <xdr:cNvPr id="2397" name="cmdForTamae" hidden="1">
              <a:extLst>
                <a:ext uri="{63B3BB69-23CF-44E3-9099-C40C66FF867C}">
                  <a14:compatExt spid="_x0000_s2397"/>
                </a:ext>
                <a:ext uri="{FF2B5EF4-FFF2-40B4-BE49-F238E27FC236}">
                  <a16:creationId xmlns:a16="http://schemas.microsoft.com/office/drawing/2014/main" id="{2DCF0498-301A-AE67-E488-A7F87DE0E6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476250</xdr:colOff>
          <xdr:row>0</xdr:row>
          <xdr:rowOff>19050</xdr:rowOff>
        </xdr:from>
        <xdr:to>
          <xdr:col>7</xdr:col>
          <xdr:colOff>161925</xdr:colOff>
          <xdr:row>1</xdr:row>
          <xdr:rowOff>0</xdr:rowOff>
        </xdr:to>
        <xdr:sp macro="" textlink="">
          <xdr:nvSpPr>
            <xdr:cNvPr id="2398" name="cmdGoToLatestData" hidden="1">
              <a:extLst>
                <a:ext uri="{63B3BB69-23CF-44E3-9099-C40C66FF867C}">
                  <a14:compatExt spid="_x0000_s2398"/>
                </a:ext>
                <a:ext uri="{FF2B5EF4-FFF2-40B4-BE49-F238E27FC236}">
                  <a16:creationId xmlns:a16="http://schemas.microsoft.com/office/drawing/2014/main" id="{1771E233-40FF-3FA4-41DE-9A0A815AE9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0</xdr:row>
          <xdr:rowOff>19050</xdr:rowOff>
        </xdr:from>
        <xdr:to>
          <xdr:col>14</xdr:col>
          <xdr:colOff>66675</xdr:colOff>
          <xdr:row>1</xdr:row>
          <xdr:rowOff>9525</xdr:rowOff>
        </xdr:to>
        <xdr:sp macro="" textlink="">
          <xdr:nvSpPr>
            <xdr:cNvPr id="2401" name="cmdFFButton" hidden="1">
              <a:extLst>
                <a:ext uri="{63B3BB69-23CF-44E3-9099-C40C66FF867C}">
                  <a14:compatExt spid="_x0000_s2401"/>
                </a:ext>
                <a:ext uri="{FF2B5EF4-FFF2-40B4-BE49-F238E27FC236}">
                  <a16:creationId xmlns:a16="http://schemas.microsoft.com/office/drawing/2014/main" id="{BDD35894-6BA0-C2E6-5EF9-F42D287B37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</xdr:colOff>
          <xdr:row>43</xdr:row>
          <xdr:rowOff>209550</xdr:rowOff>
        </xdr:from>
        <xdr:to>
          <xdr:col>16</xdr:col>
          <xdr:colOff>9525</xdr:colOff>
          <xdr:row>45</xdr:row>
          <xdr:rowOff>28575</xdr:rowOff>
        </xdr:to>
        <xdr:sp macro="" textlink="">
          <xdr:nvSpPr>
            <xdr:cNvPr id="4097" name="Option 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DA28E859-01C8-A8B4-8F83-51D0EB010E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</xdr:colOff>
          <xdr:row>44</xdr:row>
          <xdr:rowOff>209550</xdr:rowOff>
        </xdr:from>
        <xdr:to>
          <xdr:col>16</xdr:col>
          <xdr:colOff>9525</xdr:colOff>
          <xdr:row>46</xdr:row>
          <xdr:rowOff>19050</xdr:rowOff>
        </xdr:to>
        <xdr:sp macro="" textlink="">
          <xdr:nvSpPr>
            <xdr:cNvPr id="4108" name="Option 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FFD05142-B5D2-6689-D022-3243B7BDB7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</xdr:colOff>
          <xdr:row>45</xdr:row>
          <xdr:rowOff>209550</xdr:rowOff>
        </xdr:from>
        <xdr:to>
          <xdr:col>16</xdr:col>
          <xdr:colOff>9525</xdr:colOff>
          <xdr:row>47</xdr:row>
          <xdr:rowOff>19050</xdr:rowOff>
        </xdr:to>
        <xdr:sp macro="" textlink="">
          <xdr:nvSpPr>
            <xdr:cNvPr id="4109" name="Option 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44B176E8-3C0A-E1DC-A388-00C8863223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</xdr:colOff>
          <xdr:row>43</xdr:row>
          <xdr:rowOff>209550</xdr:rowOff>
        </xdr:from>
        <xdr:to>
          <xdr:col>16</xdr:col>
          <xdr:colOff>9525</xdr:colOff>
          <xdr:row>45</xdr:row>
          <xdr:rowOff>28575</xdr:rowOff>
        </xdr:to>
        <xdr:sp macro="" textlink="">
          <xdr:nvSpPr>
            <xdr:cNvPr id="5121" name="Option 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3BE36C41-F2A4-FD59-8C3B-5FF4F1FAA6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</xdr:colOff>
          <xdr:row>44</xdr:row>
          <xdr:rowOff>209550</xdr:rowOff>
        </xdr:from>
        <xdr:to>
          <xdr:col>16</xdr:col>
          <xdr:colOff>9525</xdr:colOff>
          <xdr:row>46</xdr:row>
          <xdr:rowOff>19050</xdr:rowOff>
        </xdr:to>
        <xdr:sp macro="" textlink="">
          <xdr:nvSpPr>
            <xdr:cNvPr id="5132" name="Option 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139A2813-1E3E-5FD3-CD0C-041B63C757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</xdr:colOff>
          <xdr:row>45</xdr:row>
          <xdr:rowOff>209550</xdr:rowOff>
        </xdr:from>
        <xdr:to>
          <xdr:col>16</xdr:col>
          <xdr:colOff>9525</xdr:colOff>
          <xdr:row>47</xdr:row>
          <xdr:rowOff>19050</xdr:rowOff>
        </xdr:to>
        <xdr:sp macro="" textlink="">
          <xdr:nvSpPr>
            <xdr:cNvPr id="5133" name="Option 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D84020A1-B95E-1293-84BF-EA5C49E130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</xdr:colOff>
          <xdr:row>43</xdr:row>
          <xdr:rowOff>209550</xdr:rowOff>
        </xdr:from>
        <xdr:to>
          <xdr:col>16</xdr:col>
          <xdr:colOff>9525</xdr:colOff>
          <xdr:row>45</xdr:row>
          <xdr:rowOff>28575</xdr:rowOff>
        </xdr:to>
        <xdr:sp macro="" textlink="">
          <xdr:nvSpPr>
            <xdr:cNvPr id="3073" name="Option 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2C276EC7-D62F-A7E9-F1F9-3B0B809F79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</xdr:colOff>
          <xdr:row>44</xdr:row>
          <xdr:rowOff>209550</xdr:rowOff>
        </xdr:from>
        <xdr:to>
          <xdr:col>16</xdr:col>
          <xdr:colOff>9525</xdr:colOff>
          <xdr:row>46</xdr:row>
          <xdr:rowOff>19050</xdr:rowOff>
        </xdr:to>
        <xdr:sp macro="" textlink="">
          <xdr:nvSpPr>
            <xdr:cNvPr id="3084" name="Option 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7A14EF6F-83FB-9998-06D4-B6C0D4BCFA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</xdr:colOff>
          <xdr:row>45</xdr:row>
          <xdr:rowOff>209550</xdr:rowOff>
        </xdr:from>
        <xdr:to>
          <xdr:col>16</xdr:col>
          <xdr:colOff>9525</xdr:colOff>
          <xdr:row>47</xdr:row>
          <xdr:rowOff>19050</xdr:rowOff>
        </xdr:to>
        <xdr:sp macro="" textlink="">
          <xdr:nvSpPr>
            <xdr:cNvPr id="3085" name="Option 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EBF7EE27-43F3-1B99-8159-CBC89BB790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AMSS-LANDISK1\TSShared\&#21463;&#27880;&#31649;&#29702;\16&#26399;\&#21463;&#27880;&#20253;&#31080;&#12539;&#19968;&#35239;&#34920;16&#2639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受注伝票"/>
      <sheetName val="受注一覧"/>
      <sheetName val="メモ"/>
      <sheetName val="LISTCOLDEFNUM_W"/>
      <sheetName val="LISTCOLDEFNUM_R"/>
      <sheetName val="LISTCOLDEFALP"/>
      <sheetName val="MASTER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2">
            <v>10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mments" Target="../comments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omments" Target="../comments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omments" Target="../comments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U54"/>
  <sheetViews>
    <sheetView zoomScaleNormal="100" zoomScaleSheetLayoutView="100" workbookViewId="0">
      <pane xSplit="19" ySplit="1" topLeftCell="T41" activePane="bottomRight" state="frozen"/>
      <selection pane="topRight" activeCell="T1" sqref="T1"/>
      <selection pane="bottomLeft" activeCell="A2" sqref="A2"/>
      <selection pane="bottomRight" activeCell="D49" sqref="D49"/>
    </sheetView>
  </sheetViews>
  <sheetFormatPr defaultColWidth="6" defaultRowHeight="0" customHeight="1" zeroHeight="1" x14ac:dyDescent="0.15"/>
  <cols>
    <col min="1" max="18" width="5" style="45" customWidth="1"/>
    <col min="19" max="19" width="6.875" style="45" customWidth="1"/>
    <col min="20" max="25" width="3" style="115" customWidth="1"/>
    <col min="26" max="26" width="7" style="115" bestFit="1" customWidth="1"/>
    <col min="27" max="248" width="3" style="115" customWidth="1"/>
    <col min="249" max="249" width="7.5" style="115" bestFit="1" customWidth="1"/>
    <col min="250" max="250" width="18.125" style="115" bestFit="1" customWidth="1"/>
    <col min="251" max="251" width="6" style="115" bestFit="1" customWidth="1"/>
    <col min="252" max="252" width="7.5" style="115" bestFit="1" customWidth="1"/>
    <col min="253" max="253" width="6" style="115" bestFit="1" customWidth="1"/>
    <col min="254" max="254" width="6" style="33"/>
    <col min="255" max="255" width="7.375" style="33" bestFit="1" customWidth="1"/>
    <col min="256" max="16384" width="6" style="33"/>
  </cols>
  <sheetData>
    <row r="1" spans="1:255" ht="23.25" customHeight="1" thickBot="1" x14ac:dyDescent="0.2">
      <c r="A1" s="105" t="s">
        <v>68</v>
      </c>
      <c r="B1" s="105"/>
      <c r="C1" s="107" t="str">
        <f>CONCATENATE(D5,E5,F5,G5," ",D6," ",D7)</f>
        <v>15K071225 四日市 台コン更新(Ｄ→F)に伴う改装工事</v>
      </c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IO1" s="116" t="s">
        <v>154</v>
      </c>
      <c r="IP1" s="116" t="s">
        <v>112</v>
      </c>
      <c r="IQ1" s="116" t="s">
        <v>155</v>
      </c>
      <c r="IR1" s="116" t="s">
        <v>95</v>
      </c>
      <c r="IS1" s="116" t="s">
        <v>191</v>
      </c>
      <c r="IT1" s="52" t="s">
        <v>150</v>
      </c>
      <c r="IU1" s="52" t="s">
        <v>274</v>
      </c>
    </row>
    <row r="2" spans="1:255" ht="18" customHeight="1" x14ac:dyDescent="0.15">
      <c r="A2" s="39" t="s">
        <v>41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17" t="s">
        <v>113</v>
      </c>
      <c r="N2" s="32"/>
      <c r="O2" s="32"/>
      <c r="P2" s="32"/>
      <c r="Q2" s="32"/>
      <c r="R2" s="32"/>
      <c r="S2" s="35"/>
      <c r="IO2" s="109" t="s">
        <v>117</v>
      </c>
      <c r="IP2" s="117" t="s">
        <v>283</v>
      </c>
      <c r="IQ2" s="117" t="s">
        <v>106</v>
      </c>
      <c r="IR2" s="117" t="s">
        <v>216</v>
      </c>
      <c r="IS2" s="118" t="s">
        <v>40</v>
      </c>
      <c r="IT2" s="51" t="s">
        <v>188</v>
      </c>
      <c r="IU2" s="33" t="s">
        <v>265</v>
      </c>
    </row>
    <row r="3" spans="1:255" ht="18" customHeight="1" x14ac:dyDescent="0.15">
      <c r="A3" s="2"/>
      <c r="B3" s="164" t="s">
        <v>274</v>
      </c>
      <c r="C3" s="165"/>
      <c r="D3" s="125" t="s">
        <v>265</v>
      </c>
      <c r="E3" s="24"/>
      <c r="F3" s="24"/>
      <c r="G3" s="24"/>
      <c r="H3" s="24"/>
      <c r="I3" s="24"/>
      <c r="J3" s="221"/>
      <c r="K3" s="221"/>
      <c r="L3" s="24"/>
      <c r="M3" s="171" t="s">
        <v>105</v>
      </c>
      <c r="N3" s="171"/>
      <c r="O3" s="171" t="s">
        <v>62</v>
      </c>
      <c r="P3" s="171"/>
      <c r="Q3" s="24"/>
      <c r="R3" s="2"/>
      <c r="S3" s="35"/>
      <c r="V3" s="115" t="s">
        <v>312</v>
      </c>
      <c r="IO3" s="117" t="s">
        <v>290</v>
      </c>
      <c r="IP3" s="117" t="s">
        <v>284</v>
      </c>
      <c r="IQ3" s="117" t="s">
        <v>151</v>
      </c>
      <c r="IR3" s="115" t="s">
        <v>295</v>
      </c>
      <c r="IS3" s="118" t="s">
        <v>144</v>
      </c>
      <c r="IT3" s="51" t="s">
        <v>189</v>
      </c>
      <c r="IU3" s="33" t="s">
        <v>264</v>
      </c>
    </row>
    <row r="4" spans="1:255" ht="18" customHeight="1" x14ac:dyDescent="0.15">
      <c r="A4" s="40"/>
      <c r="B4" s="212" t="s">
        <v>156</v>
      </c>
      <c r="C4" s="213"/>
      <c r="D4" s="227">
        <v>43671</v>
      </c>
      <c r="E4" s="228"/>
      <c r="F4" s="229"/>
      <c r="G4" s="3" t="s">
        <v>147</v>
      </c>
      <c r="H4" s="104">
        <v>0</v>
      </c>
      <c r="I4" s="177"/>
      <c r="J4" s="222"/>
      <c r="K4" s="178"/>
      <c r="L4" s="2"/>
      <c r="M4" s="5" t="s">
        <v>77</v>
      </c>
      <c r="N4" s="80">
        <f>SUM(N5:N6)</f>
        <v>0</v>
      </c>
      <c r="O4" s="5" t="s">
        <v>148</v>
      </c>
      <c r="P4" s="81">
        <f>SUM(P5:P6)</f>
        <v>0</v>
      </c>
      <c r="Q4" s="2"/>
      <c r="R4" s="2"/>
      <c r="S4" s="35"/>
      <c r="V4" s="115" t="s">
        <v>313</v>
      </c>
      <c r="IO4" s="117" t="s">
        <v>291</v>
      </c>
      <c r="IP4" s="117" t="s">
        <v>285</v>
      </c>
      <c r="IQ4" s="117" t="s">
        <v>143</v>
      </c>
      <c r="IR4" s="117" t="s">
        <v>170</v>
      </c>
      <c r="IS4" s="118" t="s">
        <v>137</v>
      </c>
      <c r="IT4" s="51" t="s">
        <v>190</v>
      </c>
    </row>
    <row r="5" spans="1:255" ht="18" customHeight="1" x14ac:dyDescent="0.15">
      <c r="A5" s="40"/>
      <c r="B5" s="212" t="s">
        <v>108</v>
      </c>
      <c r="C5" s="213"/>
      <c r="D5" s="46" t="s">
        <v>340</v>
      </c>
      <c r="E5" s="46" t="s">
        <v>26</v>
      </c>
      <c r="F5" s="46" t="s">
        <v>209</v>
      </c>
      <c r="G5" s="196" t="s">
        <v>3790</v>
      </c>
      <c r="H5" s="197"/>
      <c r="I5" s="2"/>
      <c r="J5" s="54"/>
      <c r="K5" s="2"/>
      <c r="L5" s="2"/>
      <c r="M5" s="6" t="s">
        <v>78</v>
      </c>
      <c r="N5" s="47"/>
      <c r="O5" s="6" t="s">
        <v>91</v>
      </c>
      <c r="P5" s="49"/>
      <c r="Q5" s="2"/>
      <c r="R5" s="2"/>
      <c r="S5" s="35"/>
      <c r="V5" s="115" t="s">
        <v>314</v>
      </c>
      <c r="IO5" s="119"/>
      <c r="IP5" s="117" t="s">
        <v>286</v>
      </c>
      <c r="IQ5" s="117" t="s">
        <v>192</v>
      </c>
      <c r="IR5" s="117" t="s">
        <v>222</v>
      </c>
      <c r="IS5" s="118" t="s">
        <v>138</v>
      </c>
      <c r="IT5" s="51" t="s">
        <v>164</v>
      </c>
    </row>
    <row r="6" spans="1:255" ht="18" customHeight="1" x14ac:dyDescent="0.15">
      <c r="A6" s="40"/>
      <c r="B6" s="233" t="s">
        <v>49</v>
      </c>
      <c r="C6" s="234"/>
      <c r="D6" s="230" t="s">
        <v>2453</v>
      </c>
      <c r="E6" s="231"/>
      <c r="F6" s="231"/>
      <c r="G6" s="231"/>
      <c r="H6" s="231"/>
      <c r="I6" s="231"/>
      <c r="J6" s="231"/>
      <c r="K6" s="232"/>
      <c r="L6" s="2"/>
      <c r="M6" s="7" t="s">
        <v>135</v>
      </c>
      <c r="N6" s="48"/>
      <c r="O6" s="7" t="s">
        <v>11</v>
      </c>
      <c r="P6" s="50"/>
      <c r="Q6" s="2"/>
      <c r="R6" s="2"/>
      <c r="S6" s="35"/>
      <c r="V6" s="115" t="s">
        <v>315</v>
      </c>
      <c r="IO6" s="117"/>
      <c r="IP6" s="117" t="s">
        <v>287</v>
      </c>
      <c r="IQ6" s="117" t="s">
        <v>35</v>
      </c>
      <c r="IR6" s="117" t="s">
        <v>223</v>
      </c>
      <c r="IS6" s="118" t="s">
        <v>139</v>
      </c>
      <c r="IT6" s="51" t="s">
        <v>304</v>
      </c>
    </row>
    <row r="7" spans="1:255" ht="18" customHeight="1" x14ac:dyDescent="0.15">
      <c r="A7" s="40"/>
      <c r="B7" s="212" t="s">
        <v>42</v>
      </c>
      <c r="C7" s="213"/>
      <c r="D7" s="214" t="s">
        <v>3466</v>
      </c>
      <c r="E7" s="215"/>
      <c r="F7" s="215"/>
      <c r="G7" s="215"/>
      <c r="H7" s="215"/>
      <c r="I7" s="215"/>
      <c r="J7" s="215"/>
      <c r="K7" s="216"/>
      <c r="L7" s="2"/>
      <c r="M7" s="17" t="s">
        <v>183</v>
      </c>
      <c r="N7" s="2"/>
      <c r="O7" s="2"/>
      <c r="P7" s="2"/>
      <c r="Q7" s="2"/>
      <c r="R7" s="2"/>
      <c r="S7" s="35"/>
      <c r="V7" s="115" t="s">
        <v>316</v>
      </c>
      <c r="IO7" s="117"/>
      <c r="IP7" s="117" t="s">
        <v>14</v>
      </c>
      <c r="IQ7" s="117" t="s">
        <v>182</v>
      </c>
      <c r="IR7" s="117" t="s">
        <v>224</v>
      </c>
      <c r="IS7" s="118" t="s">
        <v>140</v>
      </c>
      <c r="IT7" s="51" t="s">
        <v>305</v>
      </c>
    </row>
    <row r="8" spans="1:255" ht="18" customHeight="1" x14ac:dyDescent="0.15">
      <c r="A8" s="40"/>
      <c r="B8" s="212" t="s">
        <v>43</v>
      </c>
      <c r="C8" s="213"/>
      <c r="D8" s="8" t="s">
        <v>63</v>
      </c>
      <c r="E8" s="223">
        <v>43853</v>
      </c>
      <c r="F8" s="222"/>
      <c r="G8" s="178"/>
      <c r="H8" s="8" t="s">
        <v>64</v>
      </c>
      <c r="I8" s="223">
        <v>43854</v>
      </c>
      <c r="J8" s="222"/>
      <c r="K8" s="178"/>
      <c r="L8" s="2"/>
      <c r="M8" s="5" t="s">
        <v>165</v>
      </c>
      <c r="N8" s="81">
        <f>SUM(N9:N10)</f>
        <v>0</v>
      </c>
      <c r="O8" s="2"/>
      <c r="P8" s="2"/>
      <c r="Q8" s="2"/>
      <c r="R8" s="2"/>
      <c r="S8" s="35"/>
      <c r="V8" s="115" t="s">
        <v>317</v>
      </c>
      <c r="Z8" s="133"/>
      <c r="IO8" s="117"/>
      <c r="IP8" s="117" t="s">
        <v>294</v>
      </c>
      <c r="IQ8" s="115" t="s">
        <v>167</v>
      </c>
      <c r="IR8" s="117" t="s">
        <v>28</v>
      </c>
      <c r="IS8" s="118" t="s">
        <v>209</v>
      </c>
      <c r="IT8" s="51" t="s">
        <v>306</v>
      </c>
    </row>
    <row r="9" spans="1:255" ht="18" customHeight="1" x14ac:dyDescent="0.15">
      <c r="A9" s="40"/>
      <c r="B9" s="212" t="s">
        <v>195</v>
      </c>
      <c r="C9" s="213"/>
      <c r="D9" s="177">
        <v>43854</v>
      </c>
      <c r="E9" s="222"/>
      <c r="F9" s="222"/>
      <c r="G9" s="178"/>
      <c r="H9" s="2"/>
      <c r="I9" s="2"/>
      <c r="J9" s="2"/>
      <c r="K9" s="2"/>
      <c r="L9" s="2"/>
      <c r="M9" s="6" t="s">
        <v>12</v>
      </c>
      <c r="N9" s="49"/>
      <c r="O9" s="2"/>
      <c r="P9" s="137"/>
      <c r="Q9" s="2"/>
      <c r="R9" s="2"/>
      <c r="S9" s="35"/>
      <c r="V9" s="115" t="s">
        <v>318</v>
      </c>
      <c r="IO9" s="117"/>
      <c r="IP9" s="117" t="s">
        <v>288</v>
      </c>
      <c r="IQ9" s="117"/>
      <c r="IR9" s="117" t="s">
        <v>29</v>
      </c>
      <c r="IS9" s="118" t="s">
        <v>120</v>
      </c>
      <c r="IT9" s="51" t="s">
        <v>307</v>
      </c>
    </row>
    <row r="10" spans="1:255" ht="18" customHeight="1" x14ac:dyDescent="0.15">
      <c r="A10" s="2"/>
      <c r="B10" s="9"/>
      <c r="C10" s="2"/>
      <c r="D10" s="2"/>
      <c r="E10" s="2"/>
      <c r="F10" s="2"/>
      <c r="G10" s="2"/>
      <c r="H10" s="2"/>
      <c r="I10" s="2"/>
      <c r="J10" s="224" t="s">
        <v>3964</v>
      </c>
      <c r="K10" s="224"/>
      <c r="L10" s="2"/>
      <c r="M10" s="7" t="s">
        <v>88</v>
      </c>
      <c r="N10" s="50"/>
      <c r="O10" s="2"/>
      <c r="P10" s="137"/>
      <c r="Q10" s="2"/>
      <c r="R10" s="2"/>
      <c r="S10" s="35"/>
      <c r="V10" s="115" t="s">
        <v>319</v>
      </c>
      <c r="IO10" s="117"/>
      <c r="IP10" s="115" t="s">
        <v>289</v>
      </c>
      <c r="IQ10" s="117"/>
      <c r="IR10" s="117" t="s">
        <v>218</v>
      </c>
      <c r="IS10" s="118" t="s">
        <v>46</v>
      </c>
      <c r="IT10" s="51" t="s">
        <v>308</v>
      </c>
    </row>
    <row r="11" spans="1:255" ht="18.75" customHeight="1" x14ac:dyDescent="0.15">
      <c r="A11" s="2"/>
      <c r="B11" s="205" t="s">
        <v>221</v>
      </c>
      <c r="C11" s="205"/>
      <c r="D11" s="205"/>
      <c r="E11" s="205"/>
      <c r="F11" s="24"/>
      <c r="G11" s="205" t="s">
        <v>180</v>
      </c>
      <c r="H11" s="205"/>
      <c r="I11" s="205"/>
      <c r="J11" s="205"/>
      <c r="K11" s="205"/>
      <c r="L11" s="24"/>
      <c r="M11" s="205" t="s">
        <v>130</v>
      </c>
      <c r="N11" s="205"/>
      <c r="O11" s="205"/>
      <c r="P11" s="205"/>
      <c r="Q11" s="205"/>
      <c r="R11" s="2"/>
      <c r="S11" s="138" t="s">
        <v>281</v>
      </c>
      <c r="T11" s="25"/>
      <c r="U11" s="22"/>
      <c r="V11" s="22" t="s">
        <v>320</v>
      </c>
      <c r="W11" s="22"/>
      <c r="X11" s="26"/>
      <c r="Y11" s="22"/>
      <c r="Z11" s="22"/>
      <c r="AA11" s="22"/>
      <c r="AB11" s="26"/>
      <c r="AC11" s="22"/>
      <c r="AD11" s="22"/>
      <c r="AE11" s="22"/>
      <c r="IO11" s="117"/>
      <c r="IP11" s="117" t="s">
        <v>276</v>
      </c>
      <c r="IQ11" s="117"/>
      <c r="IR11" s="117" t="s">
        <v>217</v>
      </c>
      <c r="IS11" s="118" t="s">
        <v>107</v>
      </c>
      <c r="IT11" s="51" t="s">
        <v>309</v>
      </c>
    </row>
    <row r="12" spans="1:255" ht="18" customHeight="1" x14ac:dyDescent="0.15">
      <c r="A12" s="2"/>
      <c r="B12" s="27"/>
      <c r="C12" s="183" t="s">
        <v>166</v>
      </c>
      <c r="D12" s="217"/>
      <c r="E12" s="184"/>
      <c r="F12" s="24"/>
      <c r="G12" s="171" t="s">
        <v>169</v>
      </c>
      <c r="H12" s="171"/>
      <c r="I12" s="218">
        <f>SUM(O12+O15)</f>
        <v>2998200</v>
      </c>
      <c r="J12" s="219"/>
      <c r="K12" s="220"/>
      <c r="L12" s="2"/>
      <c r="M12" s="171" t="s">
        <v>169</v>
      </c>
      <c r="N12" s="171"/>
      <c r="O12" s="172">
        <v>2929200</v>
      </c>
      <c r="P12" s="172"/>
      <c r="Q12" s="172"/>
      <c r="R12" s="225">
        <v>0</v>
      </c>
      <c r="S12" s="226"/>
      <c r="V12" s="115" t="s">
        <v>321</v>
      </c>
      <c r="IO12" s="117"/>
      <c r="IP12" s="117" t="s">
        <v>275</v>
      </c>
      <c r="IQ12" s="117"/>
      <c r="IR12" s="117" t="s">
        <v>45</v>
      </c>
      <c r="IS12" s="118" t="s">
        <v>122</v>
      </c>
      <c r="IT12" s="139" t="s">
        <v>310</v>
      </c>
    </row>
    <row r="13" spans="1:255" ht="18" customHeight="1" x14ac:dyDescent="0.15">
      <c r="A13" s="2"/>
      <c r="B13" s="28"/>
      <c r="C13" s="183" t="s">
        <v>141</v>
      </c>
      <c r="D13" s="217"/>
      <c r="E13" s="184"/>
      <c r="F13" s="24"/>
      <c r="G13" s="167" t="s">
        <v>21</v>
      </c>
      <c r="H13" s="167"/>
      <c r="I13" s="168">
        <f>I12 + (I12 * MASTER!$A$2/100)</f>
        <v>3238056</v>
      </c>
      <c r="J13" s="168"/>
      <c r="K13" s="168"/>
      <c r="L13" s="2"/>
      <c r="M13" s="167" t="s">
        <v>21</v>
      </c>
      <c r="N13" s="167"/>
      <c r="O13" s="168">
        <f>O12 + (O12 * MASTER!A2/100)</f>
        <v>3163536</v>
      </c>
      <c r="P13" s="168"/>
      <c r="Q13" s="168"/>
      <c r="R13" s="2"/>
      <c r="S13" s="35"/>
      <c r="V13" s="115" t="s">
        <v>322</v>
      </c>
      <c r="IO13" s="117"/>
      <c r="IP13" s="117" t="s">
        <v>167</v>
      </c>
      <c r="IQ13" s="117"/>
      <c r="IR13" s="117" t="s">
        <v>296</v>
      </c>
      <c r="IS13" s="118" t="s">
        <v>127</v>
      </c>
      <c r="IT13" s="139" t="s">
        <v>311</v>
      </c>
    </row>
    <row r="14" spans="1:255" ht="18" customHeight="1" x14ac:dyDescent="0.15">
      <c r="A14" s="2"/>
      <c r="B14" s="28"/>
      <c r="C14" s="183" t="s">
        <v>219</v>
      </c>
      <c r="D14" s="217"/>
      <c r="E14" s="184"/>
      <c r="F14" s="14"/>
      <c r="G14" s="205" t="s">
        <v>260</v>
      </c>
      <c r="H14" s="205"/>
      <c r="I14" s="205"/>
      <c r="J14" s="205"/>
      <c r="K14" s="205"/>
      <c r="L14" s="2"/>
      <c r="M14" s="205" t="s">
        <v>211</v>
      </c>
      <c r="N14" s="205"/>
      <c r="O14" s="205"/>
      <c r="P14" s="205"/>
      <c r="Q14" s="205"/>
      <c r="R14" s="2"/>
      <c r="S14" s="35"/>
      <c r="V14" s="115" t="s">
        <v>323</v>
      </c>
      <c r="IO14" s="117"/>
      <c r="IP14" s="117" t="s">
        <v>109</v>
      </c>
      <c r="IQ14" s="117"/>
      <c r="IR14" s="117" t="s">
        <v>297</v>
      </c>
      <c r="IS14" s="117"/>
      <c r="IT14" s="53"/>
    </row>
    <row r="15" spans="1:255" ht="18" customHeight="1" x14ac:dyDescent="0.15">
      <c r="A15" s="2"/>
      <c r="B15" s="28"/>
      <c r="C15" s="183" t="s">
        <v>57</v>
      </c>
      <c r="D15" s="217"/>
      <c r="E15" s="184"/>
      <c r="F15" s="14"/>
      <c r="G15" s="171" t="s">
        <v>263</v>
      </c>
      <c r="H15" s="171"/>
      <c r="I15" s="166">
        <v>2878272</v>
      </c>
      <c r="J15" s="166"/>
      <c r="K15" s="166"/>
      <c r="L15" s="2"/>
      <c r="M15" s="171" t="s">
        <v>169</v>
      </c>
      <c r="N15" s="171"/>
      <c r="O15" s="206">
        <v>69000</v>
      </c>
      <c r="P15" s="207"/>
      <c r="Q15" s="208"/>
      <c r="R15" s="2"/>
      <c r="S15" s="35"/>
      <c r="V15" s="115" t="s">
        <v>324</v>
      </c>
      <c r="IO15" s="117"/>
      <c r="IP15" s="117"/>
      <c r="IQ15" s="117"/>
      <c r="IR15" s="117" t="s">
        <v>298</v>
      </c>
      <c r="IS15" s="117"/>
      <c r="IT15" s="53"/>
    </row>
    <row r="16" spans="1:255" ht="18" customHeight="1" x14ac:dyDescent="0.15">
      <c r="A16" s="2"/>
      <c r="B16" s="127"/>
      <c r="C16" s="126"/>
      <c r="D16" s="126"/>
      <c r="E16" s="126"/>
      <c r="F16" s="97"/>
      <c r="G16" s="167" t="s">
        <v>21</v>
      </c>
      <c r="H16" s="167"/>
      <c r="I16" s="168">
        <f>ROUNDDOWN(I15 + (I15 * MASTER!$A$2/100),0)</f>
        <v>3108533</v>
      </c>
      <c r="J16" s="168"/>
      <c r="K16" s="168"/>
      <c r="L16" s="2"/>
      <c r="M16" s="167" t="s">
        <v>21</v>
      </c>
      <c r="N16" s="171"/>
      <c r="O16" s="168">
        <f>O15 + (O15 * MASTER!A2/100)</f>
        <v>74520</v>
      </c>
      <c r="P16" s="168"/>
      <c r="Q16" s="168"/>
      <c r="R16" s="2"/>
      <c r="S16" s="35"/>
      <c r="V16" s="115" t="s">
        <v>325</v>
      </c>
      <c r="IO16" s="117"/>
      <c r="IP16" s="117"/>
      <c r="IQ16" s="117"/>
      <c r="IR16" s="117" t="s">
        <v>299</v>
      </c>
      <c r="IS16" s="117"/>
      <c r="IT16" s="53"/>
    </row>
    <row r="17" spans="1:254" ht="6" customHeight="1" x14ac:dyDescent="0.1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35"/>
      <c r="V17" s="115" t="s">
        <v>326</v>
      </c>
      <c r="IO17" s="117"/>
      <c r="IP17" s="117"/>
      <c r="IQ17" s="117"/>
      <c r="IR17" s="117" t="s">
        <v>300</v>
      </c>
      <c r="IS17" s="117"/>
      <c r="IT17" s="53"/>
    </row>
    <row r="18" spans="1:254" ht="18" customHeight="1" x14ac:dyDescent="0.15">
      <c r="A18" s="2"/>
      <c r="B18" s="18" t="s">
        <v>56</v>
      </c>
      <c r="C18" s="193"/>
      <c r="D18" s="194"/>
      <c r="E18" s="194"/>
      <c r="F18" s="194"/>
      <c r="G18" s="194"/>
      <c r="H18" s="194"/>
      <c r="I18" s="194"/>
      <c r="J18" s="194"/>
      <c r="K18" s="194"/>
      <c r="L18" s="194"/>
      <c r="M18" s="194"/>
      <c r="N18" s="194"/>
      <c r="O18" s="194"/>
      <c r="P18" s="194"/>
      <c r="Q18" s="195"/>
      <c r="R18" s="2"/>
      <c r="S18" s="35"/>
      <c r="V18" s="115" t="s">
        <v>327</v>
      </c>
      <c r="IO18" s="117"/>
      <c r="IP18" s="117"/>
      <c r="IQ18" s="117"/>
      <c r="IR18" s="117" t="s">
        <v>301</v>
      </c>
      <c r="IS18" s="117"/>
      <c r="IT18" s="53"/>
    </row>
    <row r="19" spans="1:254" ht="7.5" customHeight="1" x14ac:dyDescent="0.15">
      <c r="A19" s="190"/>
      <c r="B19" s="190"/>
      <c r="C19" s="190"/>
      <c r="D19" s="190"/>
      <c r="E19" s="190"/>
      <c r="F19" s="190"/>
      <c r="G19" s="190"/>
      <c r="H19" s="190"/>
      <c r="I19" s="190"/>
      <c r="J19" s="190"/>
      <c r="K19" s="190"/>
      <c r="L19" s="190"/>
      <c r="M19" s="190"/>
      <c r="N19" s="190"/>
      <c r="O19" s="190"/>
      <c r="P19" s="190"/>
      <c r="Q19" s="190"/>
      <c r="R19" s="190"/>
      <c r="S19" s="36"/>
      <c r="V19" s="115" t="s">
        <v>328</v>
      </c>
      <c r="IO19" s="117"/>
      <c r="IP19" s="117"/>
      <c r="IQ19" s="117"/>
      <c r="IR19" s="117" t="s">
        <v>302</v>
      </c>
      <c r="IS19" s="117"/>
      <c r="IT19" s="53"/>
    </row>
    <row r="20" spans="1:254" ht="18" customHeight="1" x14ac:dyDescent="0.15">
      <c r="A20" s="41" t="s">
        <v>145</v>
      </c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34"/>
      <c r="V20" s="115" t="s">
        <v>329</v>
      </c>
      <c r="IO20" s="117"/>
      <c r="IP20" s="117"/>
      <c r="IQ20" s="117"/>
      <c r="IR20" s="117" t="s">
        <v>303</v>
      </c>
      <c r="IS20" s="117"/>
      <c r="IT20" s="53"/>
    </row>
    <row r="21" spans="1:254" ht="6.75" customHeight="1" x14ac:dyDescent="0.15">
      <c r="A21" s="2"/>
      <c r="B21" s="23"/>
      <c r="C21" s="23"/>
      <c r="D21" s="23"/>
      <c r="E21" s="23"/>
      <c r="F21" s="23"/>
      <c r="G21" s="23"/>
      <c r="H21" s="24"/>
      <c r="I21" s="24"/>
      <c r="J21" s="24"/>
      <c r="K21" s="24"/>
      <c r="L21" s="23"/>
      <c r="M21" s="23"/>
      <c r="N21" s="23"/>
      <c r="O21" s="23"/>
      <c r="P21" s="24"/>
      <c r="Q21" s="24"/>
      <c r="R21" s="2"/>
      <c r="S21" s="35"/>
      <c r="V21" s="115" t="s">
        <v>330</v>
      </c>
      <c r="IO21" s="117"/>
      <c r="IP21" s="117"/>
      <c r="IQ21" s="117"/>
      <c r="IR21" s="117"/>
      <c r="IS21" s="117"/>
      <c r="IT21" s="53"/>
    </row>
    <row r="22" spans="1:254" ht="18" customHeight="1" x14ac:dyDescent="0.15">
      <c r="A22" s="40"/>
      <c r="B22" s="171" t="s">
        <v>34</v>
      </c>
      <c r="C22" s="171"/>
      <c r="D22" s="199" t="s">
        <v>290</v>
      </c>
      <c r="E22" s="200"/>
      <c r="F22" s="196" t="s">
        <v>3791</v>
      </c>
      <c r="G22" s="197"/>
      <c r="H22" s="2"/>
      <c r="I22" s="2"/>
      <c r="J22" s="2"/>
      <c r="K22" s="173" t="s">
        <v>79</v>
      </c>
      <c r="L22" s="173"/>
      <c r="M22" s="171" t="s">
        <v>75</v>
      </c>
      <c r="N22" s="171"/>
      <c r="O22" s="177">
        <v>43684</v>
      </c>
      <c r="P22" s="178"/>
      <c r="Q22" s="2"/>
      <c r="R22" s="2"/>
      <c r="S22" s="35"/>
      <c r="V22" s="115" t="s">
        <v>331</v>
      </c>
      <c r="IT22"/>
    </row>
    <row r="23" spans="1:254" ht="18" customHeight="1" x14ac:dyDescent="0.15">
      <c r="A23" s="40"/>
      <c r="B23" s="173" t="s">
        <v>84</v>
      </c>
      <c r="C23" s="173"/>
      <c r="D23" s="211"/>
      <c r="E23" s="211"/>
      <c r="F23" s="1"/>
      <c r="G23" s="2"/>
      <c r="H23" s="15"/>
      <c r="I23" s="15"/>
      <c r="J23" s="2"/>
      <c r="K23" s="185"/>
      <c r="L23" s="185"/>
      <c r="M23" s="171" t="s">
        <v>61</v>
      </c>
      <c r="N23" s="171"/>
      <c r="O23" s="204">
        <v>6001701361</v>
      </c>
      <c r="P23" s="198"/>
      <c r="Q23" s="2"/>
      <c r="R23" s="2"/>
      <c r="S23" s="35"/>
      <c r="V23" s="115" t="s">
        <v>332</v>
      </c>
      <c r="IT23"/>
    </row>
    <row r="24" spans="1:254" ht="18" customHeight="1" x14ac:dyDescent="0.15">
      <c r="A24" s="2"/>
      <c r="B24" s="171" t="s">
        <v>96</v>
      </c>
      <c r="C24" s="171"/>
      <c r="D24" s="189"/>
      <c r="E24" s="189"/>
      <c r="F24" s="171" t="s">
        <v>152</v>
      </c>
      <c r="G24" s="171"/>
      <c r="H24" s="189"/>
      <c r="I24" s="189"/>
      <c r="J24" s="2"/>
      <c r="K24" s="173" t="s">
        <v>87</v>
      </c>
      <c r="L24" s="173"/>
      <c r="M24" s="171" t="s">
        <v>129</v>
      </c>
      <c r="N24" s="171"/>
      <c r="O24" s="177">
        <v>43684</v>
      </c>
      <c r="P24" s="178"/>
      <c r="Q24" s="2"/>
      <c r="R24" s="2"/>
      <c r="S24" s="35"/>
      <c r="V24" s="115" t="s">
        <v>333</v>
      </c>
      <c r="IT24"/>
    </row>
    <row r="25" spans="1:254" ht="18" customHeight="1" x14ac:dyDescent="0.15">
      <c r="A25" s="2"/>
      <c r="B25" s="2"/>
      <c r="C25" s="2"/>
      <c r="D25" s="14"/>
      <c r="E25" s="14"/>
      <c r="F25" s="14"/>
      <c r="G25" s="2"/>
      <c r="H25" s="2"/>
      <c r="I25" s="2"/>
      <c r="J25" s="2"/>
      <c r="K25" s="185"/>
      <c r="L25" s="185"/>
      <c r="M25" s="171" t="s">
        <v>61</v>
      </c>
      <c r="N25" s="171"/>
      <c r="O25" s="177" t="s">
        <v>3420</v>
      </c>
      <c r="P25" s="198"/>
      <c r="Q25" s="2"/>
      <c r="R25" s="2"/>
      <c r="S25" s="35"/>
      <c r="V25" s="115" t="s">
        <v>334</v>
      </c>
      <c r="IT25"/>
    </row>
    <row r="26" spans="1:254" ht="18" customHeight="1" x14ac:dyDescent="0.15">
      <c r="A26" s="2"/>
      <c r="B26" s="2"/>
      <c r="C26" s="2"/>
      <c r="D26" s="2"/>
      <c r="E26" s="2"/>
      <c r="F26" s="2"/>
      <c r="G26" s="2"/>
      <c r="H26" s="2"/>
      <c r="I26" s="2"/>
      <c r="J26" s="2"/>
      <c r="K26" s="171" t="s">
        <v>86</v>
      </c>
      <c r="L26" s="171"/>
      <c r="M26" s="171"/>
      <c r="N26" s="171"/>
      <c r="O26" s="177">
        <v>43861</v>
      </c>
      <c r="P26" s="178"/>
      <c r="Q26" s="2"/>
      <c r="R26" s="2"/>
      <c r="S26" s="35"/>
      <c r="V26" s="115" t="s">
        <v>335</v>
      </c>
      <c r="IT26"/>
    </row>
    <row r="27" spans="1:254" ht="7.5" customHeight="1" x14ac:dyDescent="0.15">
      <c r="A27" s="190"/>
      <c r="B27" s="190"/>
      <c r="C27" s="190"/>
      <c r="D27" s="190"/>
      <c r="E27" s="190"/>
      <c r="F27" s="190"/>
      <c r="G27" s="190"/>
      <c r="H27" s="190"/>
      <c r="I27" s="190"/>
      <c r="J27" s="190"/>
      <c r="K27" s="190"/>
      <c r="L27" s="190"/>
      <c r="M27" s="190"/>
      <c r="N27" s="190"/>
      <c r="O27" s="190"/>
      <c r="P27" s="190"/>
      <c r="Q27" s="190"/>
      <c r="R27" s="190"/>
      <c r="S27" s="36"/>
      <c r="V27" s="115" t="s">
        <v>336</v>
      </c>
      <c r="IT27"/>
    </row>
    <row r="28" spans="1:254" ht="18" customHeight="1" x14ac:dyDescent="0.15">
      <c r="A28" s="42" t="s">
        <v>70</v>
      </c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4"/>
      <c r="V28" s="115" t="s">
        <v>337</v>
      </c>
      <c r="IT28"/>
    </row>
    <row r="29" spans="1:254" ht="18" customHeight="1" x14ac:dyDescent="0.15">
      <c r="A29" s="2"/>
      <c r="B29" s="16" t="s">
        <v>114</v>
      </c>
      <c r="C29" s="16"/>
      <c r="D29" s="16"/>
      <c r="E29" s="16"/>
      <c r="F29" s="16"/>
      <c r="G29" s="19"/>
      <c r="H29" s="16" t="s">
        <v>73</v>
      </c>
      <c r="I29" s="16"/>
      <c r="J29" s="16"/>
      <c r="K29" s="16"/>
      <c r="L29" s="16"/>
      <c r="M29" s="19"/>
      <c r="N29" s="16" t="s">
        <v>15</v>
      </c>
      <c r="O29" s="19"/>
      <c r="P29" s="19"/>
      <c r="Q29" s="19"/>
      <c r="R29" s="2"/>
      <c r="S29" s="35"/>
      <c r="IT29"/>
    </row>
    <row r="30" spans="1:254" ht="18" customHeight="1" x14ac:dyDescent="0.15">
      <c r="A30" s="40"/>
      <c r="B30" s="171" t="s">
        <v>10</v>
      </c>
      <c r="C30" s="171"/>
      <c r="D30" s="201" t="s">
        <v>287</v>
      </c>
      <c r="E30" s="202"/>
      <c r="F30" s="203"/>
      <c r="G30" s="2"/>
      <c r="H30" s="171" t="s">
        <v>13</v>
      </c>
      <c r="I30" s="171"/>
      <c r="J30" s="172"/>
      <c r="K30" s="172"/>
      <c r="L30" s="172"/>
      <c r="M30" s="2"/>
      <c r="N30" s="171" t="s">
        <v>82</v>
      </c>
      <c r="O30" s="171"/>
      <c r="P30" s="186"/>
      <c r="Q30" s="187"/>
      <c r="R30" s="2"/>
      <c r="S30" s="35"/>
      <c r="IT30"/>
    </row>
    <row r="31" spans="1:254" ht="18" customHeight="1" x14ac:dyDescent="0.15">
      <c r="A31" s="40"/>
      <c r="B31" s="171" t="s">
        <v>200</v>
      </c>
      <c r="C31" s="171"/>
      <c r="D31" s="172">
        <v>1386000</v>
      </c>
      <c r="E31" s="172"/>
      <c r="F31" s="172"/>
      <c r="G31" s="2"/>
      <c r="H31" s="171" t="s">
        <v>215</v>
      </c>
      <c r="I31" s="171"/>
      <c r="J31" s="172"/>
      <c r="K31" s="172"/>
      <c r="L31" s="172"/>
      <c r="M31" s="2"/>
      <c r="N31" s="171" t="s">
        <v>103</v>
      </c>
      <c r="O31" s="171"/>
      <c r="P31" s="186"/>
      <c r="Q31" s="187"/>
      <c r="R31" s="2"/>
      <c r="S31" s="35"/>
      <c r="IT31"/>
    </row>
    <row r="32" spans="1:254" ht="18" customHeight="1" x14ac:dyDescent="0.15">
      <c r="A32" s="40"/>
      <c r="B32" s="167" t="s">
        <v>21</v>
      </c>
      <c r="C32" s="167"/>
      <c r="D32" s="168">
        <f>D31 + (D31 * MASTER!A2/100)</f>
        <v>1496880</v>
      </c>
      <c r="E32" s="168"/>
      <c r="F32" s="168"/>
      <c r="G32" s="2"/>
      <c r="H32" s="171" t="s">
        <v>111</v>
      </c>
      <c r="I32" s="171"/>
      <c r="J32" s="172"/>
      <c r="K32" s="172"/>
      <c r="L32" s="172"/>
      <c r="M32" s="2"/>
      <c r="N32" s="2"/>
      <c r="O32" s="2"/>
      <c r="P32" s="2"/>
      <c r="Q32" s="2"/>
      <c r="R32" s="2"/>
      <c r="S32" s="35"/>
      <c r="IT32"/>
    </row>
    <row r="33" spans="1:254" ht="18" customHeight="1" x14ac:dyDescent="0.15">
      <c r="A33" s="2"/>
      <c r="B33" s="167" t="s">
        <v>47</v>
      </c>
      <c r="C33" s="167"/>
      <c r="D33" s="169" t="s">
        <v>1138</v>
      </c>
      <c r="E33" s="170"/>
      <c r="F33" s="12"/>
      <c r="G33" s="2"/>
      <c r="H33" s="171" t="s">
        <v>193</v>
      </c>
      <c r="I33" s="171"/>
      <c r="J33" s="172"/>
      <c r="K33" s="172"/>
      <c r="L33" s="172"/>
      <c r="M33" s="21" t="s">
        <v>71</v>
      </c>
      <c r="N33" s="181"/>
      <c r="O33" s="181"/>
      <c r="P33" s="181"/>
      <c r="Q33" s="181"/>
      <c r="R33" s="2"/>
      <c r="S33" s="35"/>
      <c r="IT33"/>
    </row>
    <row r="34" spans="1:254" ht="18" customHeight="1" x14ac:dyDescent="0.15">
      <c r="A34" s="2"/>
      <c r="B34" s="171" t="s">
        <v>66</v>
      </c>
      <c r="C34" s="171"/>
      <c r="D34" s="201"/>
      <c r="E34" s="202"/>
      <c r="F34" s="203"/>
      <c r="G34" s="2"/>
      <c r="H34" s="171" t="s">
        <v>67</v>
      </c>
      <c r="I34" s="171"/>
      <c r="J34" s="172"/>
      <c r="K34" s="172"/>
      <c r="L34" s="172"/>
      <c r="M34" s="21" t="s">
        <v>133</v>
      </c>
      <c r="N34" s="181"/>
      <c r="O34" s="181"/>
      <c r="P34" s="181"/>
      <c r="Q34" s="181"/>
      <c r="R34" s="2"/>
      <c r="S34" s="35"/>
    </row>
    <row r="35" spans="1:254" ht="18" customHeight="1" x14ac:dyDescent="0.15">
      <c r="A35" s="2"/>
      <c r="B35" s="171" t="s">
        <v>200</v>
      </c>
      <c r="C35" s="171"/>
      <c r="D35" s="172"/>
      <c r="E35" s="172"/>
      <c r="F35" s="172"/>
      <c r="G35" s="2"/>
      <c r="H35" s="171" t="s">
        <v>131</v>
      </c>
      <c r="I35" s="171"/>
      <c r="J35" s="172"/>
      <c r="K35" s="172"/>
      <c r="L35" s="172"/>
      <c r="M35" s="21" t="s">
        <v>162</v>
      </c>
      <c r="N35" s="181">
        <v>2019</v>
      </c>
      <c r="O35" s="181"/>
      <c r="P35" s="181"/>
      <c r="Q35" s="181"/>
      <c r="R35" s="2"/>
      <c r="S35" s="35"/>
    </row>
    <row r="36" spans="1:254" ht="18" customHeight="1" x14ac:dyDescent="0.15">
      <c r="A36" s="2"/>
      <c r="B36" s="167" t="s">
        <v>21</v>
      </c>
      <c r="C36" s="167"/>
      <c r="D36" s="168">
        <f>D35 + (D35 * MASTER!A2/100)</f>
        <v>0</v>
      </c>
      <c r="E36" s="168"/>
      <c r="F36" s="168"/>
      <c r="G36" s="2"/>
      <c r="H36" s="171" t="s">
        <v>27</v>
      </c>
      <c r="I36" s="171"/>
      <c r="J36" s="168">
        <f>SUM(J30:L35)</f>
        <v>0</v>
      </c>
      <c r="K36" s="174"/>
      <c r="L36" s="174"/>
      <c r="M36" s="2"/>
      <c r="N36" s="2"/>
      <c r="O36" s="2"/>
      <c r="P36" s="2"/>
      <c r="Q36" s="2"/>
      <c r="R36" s="2"/>
      <c r="S36" s="35"/>
    </row>
    <row r="37" spans="1:254" ht="18" customHeight="1" x14ac:dyDescent="0.15">
      <c r="A37" s="2"/>
      <c r="B37" s="167" t="s">
        <v>47</v>
      </c>
      <c r="C37" s="167"/>
      <c r="D37" s="169"/>
      <c r="E37" s="170"/>
      <c r="F37" s="1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35"/>
    </row>
    <row r="38" spans="1:254" s="45" customFormat="1" ht="18" customHeight="1" x14ac:dyDescent="0.15">
      <c r="A38" s="63"/>
      <c r="B38" s="171" t="s">
        <v>110</v>
      </c>
      <c r="C38" s="171"/>
      <c r="D38" s="201" t="s">
        <v>434</v>
      </c>
      <c r="E38" s="202"/>
      <c r="F38" s="203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1"/>
    </row>
    <row r="39" spans="1:254" s="45" customFormat="1" ht="18" customHeight="1" x14ac:dyDescent="0.15">
      <c r="A39" s="63"/>
      <c r="B39" s="171" t="s">
        <v>200</v>
      </c>
      <c r="C39" s="171"/>
      <c r="D39" s="172">
        <v>44850</v>
      </c>
      <c r="E39" s="172"/>
      <c r="F39" s="172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1"/>
    </row>
    <row r="40" spans="1:254" s="45" customFormat="1" ht="18" customHeight="1" x14ac:dyDescent="0.15">
      <c r="A40" s="63"/>
      <c r="B40" s="167" t="s">
        <v>21</v>
      </c>
      <c r="C40" s="167"/>
      <c r="D40" s="168">
        <f>D39 + (D39 * MASTER!A2/100)</f>
        <v>48438</v>
      </c>
      <c r="E40" s="168"/>
      <c r="F40" s="168"/>
      <c r="G40" s="120"/>
      <c r="H40" s="120"/>
      <c r="I40" s="120"/>
      <c r="J40" s="120"/>
      <c r="K40" s="120"/>
      <c r="L40" s="120"/>
      <c r="M40" s="120"/>
      <c r="N40" s="120"/>
      <c r="O40" s="120"/>
      <c r="P40" s="120"/>
      <c r="Q40" s="120"/>
      <c r="R40" s="120"/>
      <c r="S40" s="121"/>
    </row>
    <row r="41" spans="1:254" s="45" customFormat="1" ht="18" customHeight="1" x14ac:dyDescent="0.15">
      <c r="A41" s="63"/>
      <c r="B41" s="167" t="s">
        <v>47</v>
      </c>
      <c r="C41" s="167"/>
      <c r="D41" s="169" t="s">
        <v>1268</v>
      </c>
      <c r="E41" s="170"/>
      <c r="F41" s="12"/>
      <c r="G41" s="120"/>
      <c r="H41" s="120"/>
      <c r="I41" s="120"/>
      <c r="J41" s="120"/>
      <c r="K41" s="120"/>
      <c r="L41" s="120"/>
      <c r="M41" s="120"/>
      <c r="N41" s="120"/>
      <c r="O41" s="120"/>
      <c r="P41" s="120"/>
      <c r="Q41" s="120"/>
      <c r="R41" s="120"/>
      <c r="S41" s="121"/>
    </row>
    <row r="42" spans="1:254" ht="14.25" customHeight="1" x14ac:dyDescent="0.15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36"/>
    </row>
    <row r="43" spans="1:254" ht="14.25" x14ac:dyDescent="0.15">
      <c r="A43" s="43" t="s">
        <v>0</v>
      </c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20" t="s">
        <v>36</v>
      </c>
      <c r="P43" s="180"/>
      <c r="Q43" s="180"/>
      <c r="R43" s="180"/>
      <c r="S43" s="34"/>
    </row>
    <row r="44" spans="1:254" ht="18" customHeight="1" x14ac:dyDescent="0.15">
      <c r="A44" s="2"/>
      <c r="B44" s="23"/>
      <c r="C44" s="23"/>
      <c r="D44" s="23"/>
      <c r="E44" s="23"/>
      <c r="F44" s="24"/>
      <c r="G44" s="24"/>
      <c r="H44" s="24"/>
      <c r="I44" s="23"/>
      <c r="J44" s="24"/>
      <c r="K44" s="24"/>
      <c r="L44" s="188" t="s">
        <v>4</v>
      </c>
      <c r="M44" s="188"/>
      <c r="N44" s="35"/>
      <c r="O44" s="31"/>
      <c r="P44" s="24"/>
      <c r="Q44" s="15"/>
      <c r="R44" s="15"/>
      <c r="S44" s="35"/>
    </row>
    <row r="45" spans="1:254" ht="18" customHeight="1" x14ac:dyDescent="0.15">
      <c r="A45" s="40"/>
      <c r="B45" s="171" t="s">
        <v>142</v>
      </c>
      <c r="C45" s="171"/>
      <c r="D45" s="210" t="s">
        <v>401</v>
      </c>
      <c r="E45" s="210"/>
      <c r="F45" s="209" t="s">
        <v>119</v>
      </c>
      <c r="G45" s="188"/>
      <c r="H45" s="171" t="s">
        <v>18</v>
      </c>
      <c r="I45" s="171"/>
      <c r="J45" s="189">
        <v>43844</v>
      </c>
      <c r="K45" s="189"/>
      <c r="L45" s="175">
        <f>IF(O26="","",O26)</f>
        <v>43861</v>
      </c>
      <c r="M45" s="176"/>
      <c r="N45" s="35"/>
      <c r="O45" s="1"/>
      <c r="P45" s="4"/>
      <c r="Q45" s="183" t="s">
        <v>124</v>
      </c>
      <c r="R45" s="184"/>
      <c r="S45" s="35"/>
    </row>
    <row r="46" spans="1:254" ht="18" customHeight="1" x14ac:dyDescent="0.15">
      <c r="A46" s="40"/>
      <c r="B46" s="171" t="s">
        <v>210</v>
      </c>
      <c r="C46" s="171"/>
      <c r="D46" s="179">
        <v>43857</v>
      </c>
      <c r="E46" s="178"/>
      <c r="F46" s="175">
        <f>IF(D9="","",D9+3)</f>
        <v>43857</v>
      </c>
      <c r="G46" s="176"/>
      <c r="H46" s="171" t="s">
        <v>99</v>
      </c>
      <c r="I46" s="171"/>
      <c r="J46" s="182">
        <v>43861</v>
      </c>
      <c r="K46" s="182"/>
      <c r="L46" s="1"/>
      <c r="M46" s="2"/>
      <c r="N46" s="35"/>
      <c r="O46" s="1"/>
      <c r="P46" s="4"/>
      <c r="Q46" s="183" t="s">
        <v>51</v>
      </c>
      <c r="R46" s="184"/>
      <c r="S46" s="35"/>
    </row>
    <row r="47" spans="1:254" ht="18" customHeight="1" x14ac:dyDescent="0.15">
      <c r="A47" s="40"/>
      <c r="B47" s="171" t="s">
        <v>54</v>
      </c>
      <c r="C47" s="171"/>
      <c r="D47" s="177">
        <v>43859</v>
      </c>
      <c r="E47" s="178"/>
      <c r="F47" s="175">
        <f>IF(D9="","",D9+7)</f>
        <v>43861</v>
      </c>
      <c r="G47" s="176"/>
      <c r="H47" s="171" t="s">
        <v>149</v>
      </c>
      <c r="I47" s="171"/>
      <c r="J47" s="182">
        <v>43881</v>
      </c>
      <c r="K47" s="182"/>
      <c r="L47" s="1"/>
      <c r="M47" s="2"/>
      <c r="N47" s="35"/>
      <c r="O47" s="1"/>
      <c r="P47" s="4"/>
      <c r="Q47" s="183" t="s">
        <v>212</v>
      </c>
      <c r="R47" s="184"/>
      <c r="S47" s="35"/>
    </row>
    <row r="48" spans="1:254" ht="18" customHeight="1" x14ac:dyDescent="0.15">
      <c r="A48" s="2"/>
      <c r="B48" s="171" t="s">
        <v>22</v>
      </c>
      <c r="C48" s="171"/>
      <c r="D48" s="177">
        <v>43899</v>
      </c>
      <c r="E48" s="178"/>
      <c r="F48" s="110"/>
      <c r="G48" s="110"/>
      <c r="H48" s="2"/>
      <c r="I48" s="2"/>
      <c r="J48" s="2"/>
      <c r="K48" s="2"/>
      <c r="L48" s="2"/>
      <c r="M48" s="2"/>
      <c r="N48" s="35"/>
      <c r="O48" s="1"/>
      <c r="P48" s="2"/>
      <c r="Q48" s="2"/>
      <c r="R48" s="2"/>
      <c r="S48" s="2"/>
    </row>
    <row r="49" spans="1:19" ht="14.25" customHeight="1" x14ac:dyDescent="0.15">
      <c r="A49" s="11"/>
      <c r="B49" s="13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0"/>
      <c r="P49" s="11"/>
      <c r="Q49" s="23"/>
      <c r="R49" s="11"/>
      <c r="S49" s="36"/>
    </row>
    <row r="50" spans="1:19" ht="18" customHeight="1" x14ac:dyDescent="0.15">
      <c r="A50" s="44" t="s">
        <v>134</v>
      </c>
      <c r="B50" s="34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</row>
    <row r="51" spans="1:19" ht="18" customHeight="1" x14ac:dyDescent="0.15">
      <c r="A51" s="35"/>
      <c r="B51" s="35"/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</row>
    <row r="52" spans="1:19" ht="18" customHeight="1" x14ac:dyDescent="0.15">
      <c r="A52" s="35"/>
      <c r="B52" s="171" t="s">
        <v>19</v>
      </c>
      <c r="C52" s="171"/>
      <c r="D52" s="168">
        <f>O13</f>
        <v>3163536</v>
      </c>
      <c r="E52" s="174"/>
      <c r="F52" s="174"/>
      <c r="G52" s="35"/>
      <c r="H52" s="171" t="s">
        <v>178</v>
      </c>
      <c r="I52" s="171"/>
      <c r="J52" s="168">
        <f>SUM(D32,D36,D40)</f>
        <v>1545318</v>
      </c>
      <c r="K52" s="174"/>
      <c r="L52" s="174"/>
      <c r="M52" s="35"/>
      <c r="N52" s="171" t="s">
        <v>25</v>
      </c>
      <c r="O52" s="171"/>
      <c r="P52" s="192">
        <f>D52-J52-J53</f>
        <v>1618218</v>
      </c>
      <c r="Q52" s="192"/>
      <c r="R52" s="192"/>
      <c r="S52" s="35"/>
    </row>
    <row r="53" spans="1:19" ht="18" customHeight="1" x14ac:dyDescent="0.15">
      <c r="A53" s="35"/>
      <c r="B53" s="35"/>
      <c r="C53" s="35"/>
      <c r="D53" s="35"/>
      <c r="E53" s="35"/>
      <c r="F53" s="35"/>
      <c r="G53" s="35"/>
      <c r="H53" s="171" t="s">
        <v>179</v>
      </c>
      <c r="I53" s="171"/>
      <c r="J53" s="168">
        <f>J36</f>
        <v>0</v>
      </c>
      <c r="K53" s="174"/>
      <c r="L53" s="174"/>
      <c r="M53" s="35"/>
      <c r="N53" s="171" t="s">
        <v>48</v>
      </c>
      <c r="O53" s="171"/>
      <c r="P53" s="191">
        <f>IF(ISERROR(SUM(P52)/D52*100),"",SUM(P52)/D52*100)</f>
        <v>51.152191724702988</v>
      </c>
      <c r="Q53" s="191"/>
      <c r="R53" s="191"/>
      <c r="S53" s="35"/>
    </row>
    <row r="54" spans="1:19" ht="10.5" customHeight="1" thickBot="1" x14ac:dyDescent="0.2">
      <c r="A54" s="37"/>
      <c r="B54" s="37"/>
      <c r="C54" s="37"/>
      <c r="D54" s="37"/>
      <c r="E54" s="37"/>
      <c r="F54" s="37"/>
      <c r="G54" s="37"/>
      <c r="H54" s="38"/>
      <c r="I54" s="38"/>
      <c r="J54" s="38"/>
      <c r="K54" s="38"/>
      <c r="L54" s="38"/>
      <c r="M54" s="37"/>
      <c r="N54" s="37"/>
      <c r="O54" s="37"/>
      <c r="P54" s="37"/>
      <c r="Q54" s="37"/>
      <c r="R54" s="37"/>
      <c r="S54" s="37"/>
    </row>
  </sheetData>
  <sheetProtection password="C60B" sheet="1"/>
  <mergeCells count="149">
    <mergeCell ref="B8:C8"/>
    <mergeCell ref="R12:S12"/>
    <mergeCell ref="B4:C4"/>
    <mergeCell ref="D4:F4"/>
    <mergeCell ref="D6:K6"/>
    <mergeCell ref="G5:H5"/>
    <mergeCell ref="B6:C6"/>
    <mergeCell ref="B5:C5"/>
    <mergeCell ref="G15:H15"/>
    <mergeCell ref="J3:K3"/>
    <mergeCell ref="G11:K11"/>
    <mergeCell ref="I4:K4"/>
    <mergeCell ref="E8:G8"/>
    <mergeCell ref="I8:K8"/>
    <mergeCell ref="J10:K10"/>
    <mergeCell ref="D9:G9"/>
    <mergeCell ref="B11:E11"/>
    <mergeCell ref="B7:C7"/>
    <mergeCell ref="I13:K13"/>
    <mergeCell ref="M15:N15"/>
    <mergeCell ref="M11:Q11"/>
    <mergeCell ref="C14:E14"/>
    <mergeCell ref="G13:H13"/>
    <mergeCell ref="O12:Q12"/>
    <mergeCell ref="M12:N12"/>
    <mergeCell ref="I12:K12"/>
    <mergeCell ref="C13:E13"/>
    <mergeCell ref="G14:K14"/>
    <mergeCell ref="D38:F38"/>
    <mergeCell ref="D23:E23"/>
    <mergeCell ref="B23:C23"/>
    <mergeCell ref="B9:C9"/>
    <mergeCell ref="D7:K7"/>
    <mergeCell ref="C12:E12"/>
    <mergeCell ref="G12:H12"/>
    <mergeCell ref="K22:L22"/>
    <mergeCell ref="C15:E15"/>
    <mergeCell ref="B22:C22"/>
    <mergeCell ref="O3:P3"/>
    <mergeCell ref="F45:G45"/>
    <mergeCell ref="B45:C45"/>
    <mergeCell ref="D45:E45"/>
    <mergeCell ref="B35:C35"/>
    <mergeCell ref="B37:C37"/>
    <mergeCell ref="D37:E37"/>
    <mergeCell ref="D36:F36"/>
    <mergeCell ref="B36:C36"/>
    <mergeCell ref="B38:C38"/>
    <mergeCell ref="H36:I36"/>
    <mergeCell ref="M3:N3"/>
    <mergeCell ref="O23:P23"/>
    <mergeCell ref="M13:N13"/>
    <mergeCell ref="M16:N16"/>
    <mergeCell ref="O16:Q16"/>
    <mergeCell ref="O22:P22"/>
    <mergeCell ref="O13:Q13"/>
    <mergeCell ref="M14:Q14"/>
    <mergeCell ref="O15:Q15"/>
    <mergeCell ref="D24:E24"/>
    <mergeCell ref="D32:F32"/>
    <mergeCell ref="H32:I32"/>
    <mergeCell ref="D35:F35"/>
    <mergeCell ref="D31:F31"/>
    <mergeCell ref="D34:F34"/>
    <mergeCell ref="H35:I35"/>
    <mergeCell ref="J35:L35"/>
    <mergeCell ref="J31:L31"/>
    <mergeCell ref="H31:I31"/>
    <mergeCell ref="J32:L32"/>
    <mergeCell ref="D33:E33"/>
    <mergeCell ref="H33:I33"/>
    <mergeCell ref="A19:R19"/>
    <mergeCell ref="M25:N25"/>
    <mergeCell ref="K26:N26"/>
    <mergeCell ref="J30:L30"/>
    <mergeCell ref="N30:O30"/>
    <mergeCell ref="O25:P25"/>
    <mergeCell ref="K25:L25"/>
    <mergeCell ref="O26:P26"/>
    <mergeCell ref="D22:E22"/>
    <mergeCell ref="D30:F30"/>
    <mergeCell ref="H45:I45"/>
    <mergeCell ref="O24:P24"/>
    <mergeCell ref="C18:Q18"/>
    <mergeCell ref="B24:C24"/>
    <mergeCell ref="B30:C30"/>
    <mergeCell ref="H24:I24"/>
    <mergeCell ref="H30:I30"/>
    <mergeCell ref="F24:G24"/>
    <mergeCell ref="F22:G22"/>
    <mergeCell ref="M22:N22"/>
    <mergeCell ref="N53:O53"/>
    <mergeCell ref="P53:R53"/>
    <mergeCell ref="H52:I52"/>
    <mergeCell ref="J52:L52"/>
    <mergeCell ref="N52:O52"/>
    <mergeCell ref="P52:R52"/>
    <mergeCell ref="H53:I53"/>
    <mergeCell ref="J53:L53"/>
    <mergeCell ref="N35:Q35"/>
    <mergeCell ref="J33:L33"/>
    <mergeCell ref="A27:R27"/>
    <mergeCell ref="P30:Q30"/>
    <mergeCell ref="B31:C31"/>
    <mergeCell ref="B32:C32"/>
    <mergeCell ref="N31:O31"/>
    <mergeCell ref="B34:C34"/>
    <mergeCell ref="H34:I34"/>
    <mergeCell ref="B33:C33"/>
    <mergeCell ref="H46:I46"/>
    <mergeCell ref="L45:M45"/>
    <mergeCell ref="Q47:R47"/>
    <mergeCell ref="J47:K47"/>
    <mergeCell ref="K23:L23"/>
    <mergeCell ref="M24:N24"/>
    <mergeCell ref="M23:N23"/>
    <mergeCell ref="P31:Q31"/>
    <mergeCell ref="L44:M44"/>
    <mergeCell ref="J45:K45"/>
    <mergeCell ref="D48:E48"/>
    <mergeCell ref="H47:I47"/>
    <mergeCell ref="P43:R43"/>
    <mergeCell ref="N34:Q34"/>
    <mergeCell ref="N33:Q33"/>
    <mergeCell ref="J36:L36"/>
    <mergeCell ref="J34:L34"/>
    <mergeCell ref="J46:K46"/>
    <mergeCell ref="Q46:R46"/>
    <mergeCell ref="Q45:R45"/>
    <mergeCell ref="K24:L24"/>
    <mergeCell ref="B52:C52"/>
    <mergeCell ref="D52:F52"/>
    <mergeCell ref="F46:G46"/>
    <mergeCell ref="D47:E47"/>
    <mergeCell ref="D46:E46"/>
    <mergeCell ref="B46:C46"/>
    <mergeCell ref="F47:G47"/>
    <mergeCell ref="B48:C48"/>
    <mergeCell ref="B47:C47"/>
    <mergeCell ref="B3:C3"/>
    <mergeCell ref="I15:K15"/>
    <mergeCell ref="G16:H16"/>
    <mergeCell ref="I16:K16"/>
    <mergeCell ref="B41:C41"/>
    <mergeCell ref="D41:E41"/>
    <mergeCell ref="B39:C39"/>
    <mergeCell ref="D39:F39"/>
    <mergeCell ref="B40:C40"/>
    <mergeCell ref="D40:F40"/>
  </mergeCells>
  <phoneticPr fontId="2"/>
  <conditionalFormatting sqref="J45:K45 D46:D48">
    <cfRule type="cellIs" dxfId="1" priority="1" stopIfTrue="1" operator="equal">
      <formula>$D$49</formula>
    </cfRule>
  </conditionalFormatting>
  <dataValidations count="9">
    <dataValidation type="list" showInputMessage="1" showErrorMessage="1" sqref="F5">
      <formula1>$IS$2:$IS$13</formula1>
    </dataValidation>
    <dataValidation type="date" allowBlank="1" showInputMessage="1" showErrorMessage="1" sqref="J46:K47">
      <formula1>36526</formula1>
      <formula2>50771</formula2>
    </dataValidation>
    <dataValidation type="list" showInputMessage="1" showErrorMessage="1" sqref="D3">
      <formula1>$IU$2:$IU$3</formula1>
    </dataValidation>
    <dataValidation type="list" allowBlank="1" showInputMessage="1" showErrorMessage="1" sqref="D24:E24">
      <formula1>$IQ$2:$IQ$10</formula1>
    </dataValidation>
    <dataValidation type="list" allowBlank="1" showInputMessage="1" showErrorMessage="1" sqref="D45:E45">
      <formula1>$IQ$2:$IQ$8</formula1>
    </dataValidation>
    <dataValidation type="list" allowBlank="1" showInputMessage="1" showErrorMessage="1" sqref="D38:F38 D30:F30 D34:F34">
      <formula1>$IP$2:$IP$14</formula1>
    </dataValidation>
    <dataValidation type="list" showInputMessage="1" showErrorMessage="1" sqref="E5">
      <formula1>$IR$2:$IR$20</formula1>
    </dataValidation>
    <dataValidation type="list" allowBlank="1" showInputMessage="1" showErrorMessage="1" sqref="D41:E41">
      <formula1>$IT$2:$IT$13</formula1>
    </dataValidation>
    <dataValidation type="list" allowBlank="1" showInputMessage="1" showErrorMessage="1" sqref="D33:E33 D37:E37">
      <formula1>$IT$2:$IT$13</formula1>
    </dataValidation>
  </dataValidations>
  <pageMargins left="0.59055118110236227" right="0.19685039370078741" top="0.59055118110236227" bottom="0.39370078740157483" header="0.19685039370078741" footer="0.19685039370078741"/>
  <pageSetup paperSize="9" orientation="portrait" r:id="rId1"/>
  <headerFooter alignWithMargins="0"/>
  <cellWatches>
    <cellWatch r="J46"/>
  </cellWatches>
  <drawing r:id="rId2"/>
  <legacyDrawing r:id="rId3"/>
  <controls>
    <mc:AlternateContent xmlns:mc="http://schemas.openxmlformats.org/markup-compatibility/2006">
      <mc:Choice Requires="x14">
        <control shapeId="1093" r:id="rId4" name="cmdAutoJudge1">
          <controlPr defaultSize="0" print="0" autoLine="0" r:id="rId5">
            <anchor moveWithCells="1">
              <from>
                <xdr:col>3</xdr:col>
                <xdr:colOff>152400</xdr:colOff>
                <xdr:row>9</xdr:row>
                <xdr:rowOff>209550</xdr:rowOff>
              </from>
              <to>
                <xdr:col>5</xdr:col>
                <xdr:colOff>19050</xdr:colOff>
                <xdr:row>10</xdr:row>
                <xdr:rowOff>228600</xdr:rowOff>
              </to>
            </anchor>
          </controlPr>
        </control>
      </mc:Choice>
      <mc:Fallback>
        <control shapeId="1093" r:id="rId4" name="cmdAutoJudge1"/>
      </mc:Fallback>
    </mc:AlternateContent>
    <mc:AlternateContent xmlns:mc="http://schemas.openxmlformats.org/markup-compatibility/2006">
      <mc:Choice Requires="x14">
        <control shapeId="1092" r:id="rId6" name="optKindSelector4">
          <controlPr locked="0" defaultSize="0" autoFill="0" autoLine="0" r:id="rId7">
            <anchor moveWithCells="1">
              <from>
                <xdr:col>1</xdr:col>
                <xdr:colOff>123825</xdr:colOff>
                <xdr:row>14</xdr:row>
                <xdr:rowOff>47625</xdr:rowOff>
              </from>
              <to>
                <xdr:col>1</xdr:col>
                <xdr:colOff>266700</xdr:colOff>
                <xdr:row>14</xdr:row>
                <xdr:rowOff>219075</xdr:rowOff>
              </to>
            </anchor>
          </controlPr>
        </control>
      </mc:Choice>
      <mc:Fallback>
        <control shapeId="1092" r:id="rId6" name="optKindSelector4"/>
      </mc:Fallback>
    </mc:AlternateContent>
    <mc:AlternateContent xmlns:mc="http://schemas.openxmlformats.org/markup-compatibility/2006">
      <mc:Choice Requires="x14">
        <control shapeId="1086" r:id="rId8" name="cmdListDisp">
          <controlPr defaultSize="0" print="0" autoLine="0" r:id="rId9">
            <anchor moveWithCells="1">
              <from>
                <xdr:col>14</xdr:col>
                <xdr:colOff>66675</xdr:colOff>
                <xdr:row>0</xdr:row>
                <xdr:rowOff>28575</xdr:rowOff>
              </from>
              <to>
                <xdr:col>15</xdr:col>
                <xdr:colOff>228600</xdr:colOff>
                <xdr:row>0</xdr:row>
                <xdr:rowOff>285750</xdr:rowOff>
              </to>
            </anchor>
          </controlPr>
        </control>
      </mc:Choice>
      <mc:Fallback>
        <control shapeId="1086" r:id="rId8" name="cmdListDisp"/>
      </mc:Fallback>
    </mc:AlternateContent>
    <mc:AlternateContent xmlns:mc="http://schemas.openxmlformats.org/markup-compatibility/2006">
      <mc:Choice Requires="x14">
        <control shapeId="1081" r:id="rId10" name="optKindSelector2">
          <controlPr locked="0" defaultSize="0" autoFill="0" autoLine="0" r:id="rId11">
            <anchor moveWithCells="1">
              <from>
                <xdr:col>1</xdr:col>
                <xdr:colOff>123825</xdr:colOff>
                <xdr:row>12</xdr:row>
                <xdr:rowOff>47625</xdr:rowOff>
              </from>
              <to>
                <xdr:col>1</xdr:col>
                <xdr:colOff>266700</xdr:colOff>
                <xdr:row>12</xdr:row>
                <xdr:rowOff>219075</xdr:rowOff>
              </to>
            </anchor>
          </controlPr>
        </control>
      </mc:Choice>
      <mc:Fallback>
        <control shapeId="1081" r:id="rId10" name="optKindSelector2"/>
      </mc:Fallback>
    </mc:AlternateContent>
    <mc:AlternateContent xmlns:mc="http://schemas.openxmlformats.org/markup-compatibility/2006">
      <mc:Choice Requires="x14">
        <control shapeId="1077" r:id="rId12" name="scrEntryMove">
          <controlPr defaultSize="0" print="0" autoLine="0" r:id="rId13">
            <anchor moveWithCells="1">
              <from>
                <xdr:col>7</xdr:col>
                <xdr:colOff>9525</xdr:colOff>
                <xdr:row>8</xdr:row>
                <xdr:rowOff>19050</xdr:rowOff>
              </from>
              <to>
                <xdr:col>11</xdr:col>
                <xdr:colOff>9525</xdr:colOff>
                <xdr:row>9</xdr:row>
                <xdr:rowOff>19050</xdr:rowOff>
              </to>
            </anchor>
          </controlPr>
        </control>
      </mc:Choice>
      <mc:Fallback>
        <control shapeId="1077" r:id="rId12" name="scrEntryMove"/>
      </mc:Fallback>
    </mc:AlternateContent>
    <mc:AlternateContent xmlns:mc="http://schemas.openxmlformats.org/markup-compatibility/2006">
      <mc:Choice Requires="x14">
        <control shapeId="1074" r:id="rId14" name="cmdUpdate">
          <controlPr defaultSize="0" print="0" autoLine="0" r:id="rId15">
            <anchor moveWithCells="1">
              <from>
                <xdr:col>11</xdr:col>
                <xdr:colOff>238125</xdr:colOff>
                <xdr:row>0</xdr:row>
                <xdr:rowOff>28575</xdr:rowOff>
              </from>
              <to>
                <xdr:col>13</xdr:col>
                <xdr:colOff>19050</xdr:colOff>
                <xdr:row>0</xdr:row>
                <xdr:rowOff>285750</xdr:rowOff>
              </to>
            </anchor>
          </controlPr>
        </control>
      </mc:Choice>
      <mc:Fallback>
        <control shapeId="1074" r:id="rId14" name="cmdUpdate"/>
      </mc:Fallback>
    </mc:AlternateContent>
    <mc:AlternateContent xmlns:mc="http://schemas.openxmlformats.org/markup-compatibility/2006">
      <mc:Choice Requires="x14">
        <control shapeId="1073" r:id="rId16" name="cmdExit">
          <controlPr defaultSize="0" print="0" autoLine="0" r:id="rId17">
            <anchor moveWithCells="1">
              <from>
                <xdr:col>16</xdr:col>
                <xdr:colOff>238125</xdr:colOff>
                <xdr:row>0</xdr:row>
                <xdr:rowOff>28575</xdr:rowOff>
              </from>
              <to>
                <xdr:col>18</xdr:col>
                <xdr:colOff>19050</xdr:colOff>
                <xdr:row>0</xdr:row>
                <xdr:rowOff>285750</xdr:rowOff>
              </to>
            </anchor>
          </controlPr>
        </control>
      </mc:Choice>
      <mc:Fallback>
        <control shapeId="1073" r:id="rId16" name="cmdExit"/>
      </mc:Fallback>
    </mc:AlternateContent>
    <mc:AlternateContent xmlns:mc="http://schemas.openxmlformats.org/markup-compatibility/2006">
      <mc:Choice Requires="x14">
        <control shapeId="1071" r:id="rId18" name="cmdCallExists">
          <controlPr defaultSize="0" print="0" autoLine="0" r:id="rId19">
            <anchor moveWithCells="1">
              <from>
                <xdr:col>8</xdr:col>
                <xdr:colOff>9525</xdr:colOff>
                <xdr:row>4</xdr:row>
                <xdr:rowOff>19050</xdr:rowOff>
              </from>
              <to>
                <xdr:col>9</xdr:col>
                <xdr:colOff>9525</xdr:colOff>
                <xdr:row>5</xdr:row>
                <xdr:rowOff>28575</xdr:rowOff>
              </to>
            </anchor>
          </controlPr>
        </control>
      </mc:Choice>
      <mc:Fallback>
        <control shapeId="1071" r:id="rId18" name="cmdCallExists"/>
      </mc:Fallback>
    </mc:AlternateContent>
    <mc:AlternateContent xmlns:mc="http://schemas.openxmlformats.org/markup-compatibility/2006">
      <mc:Choice Requires="x14">
        <control shapeId="1070" r:id="rId20" name="cmdNewEntry">
          <controlPr defaultSize="0" print="0" autoLine="0" r:id="rId21">
            <anchor moveWithCells="1">
              <from>
                <xdr:col>10</xdr:col>
                <xdr:colOff>9525</xdr:colOff>
                <xdr:row>4</xdr:row>
                <xdr:rowOff>19050</xdr:rowOff>
              </from>
              <to>
                <xdr:col>11</xdr:col>
                <xdr:colOff>9525</xdr:colOff>
                <xdr:row>5</xdr:row>
                <xdr:rowOff>28575</xdr:rowOff>
              </to>
            </anchor>
          </controlPr>
        </control>
      </mc:Choice>
      <mc:Fallback>
        <control shapeId="1070" r:id="rId20" name="cmdNewEntry"/>
      </mc:Fallback>
    </mc:AlternateContent>
    <mc:AlternateContent xmlns:mc="http://schemas.openxmlformats.org/markup-compatibility/2006">
      <mc:Choice Requires="x14">
        <control shapeId="1055" r:id="rId22" name="optStatusSelector3">
          <controlPr locked="0" defaultSize="0" autoFill="0" autoLine="0" r:id="rId23">
            <anchor moveWithCells="1">
              <from>
                <xdr:col>15</xdr:col>
                <xdr:colOff>123825</xdr:colOff>
                <xdr:row>46</xdr:row>
                <xdr:rowOff>66675</xdr:rowOff>
              </from>
              <to>
                <xdr:col>15</xdr:col>
                <xdr:colOff>266700</xdr:colOff>
                <xdr:row>47</xdr:row>
                <xdr:rowOff>9525</xdr:rowOff>
              </to>
            </anchor>
          </controlPr>
        </control>
      </mc:Choice>
      <mc:Fallback>
        <control shapeId="1055" r:id="rId22" name="optStatusSelector3"/>
      </mc:Fallback>
    </mc:AlternateContent>
    <mc:AlternateContent xmlns:mc="http://schemas.openxmlformats.org/markup-compatibility/2006">
      <mc:Choice Requires="x14">
        <control shapeId="1054" r:id="rId24" name="optStatusSelector2">
          <controlPr locked="0" defaultSize="0" autoFill="0" autoLine="0" r:id="rId25">
            <anchor moveWithCells="1">
              <from>
                <xdr:col>15</xdr:col>
                <xdr:colOff>123825</xdr:colOff>
                <xdr:row>45</xdr:row>
                <xdr:rowOff>66675</xdr:rowOff>
              </from>
              <to>
                <xdr:col>15</xdr:col>
                <xdr:colOff>266700</xdr:colOff>
                <xdr:row>46</xdr:row>
                <xdr:rowOff>9525</xdr:rowOff>
              </to>
            </anchor>
          </controlPr>
        </control>
      </mc:Choice>
      <mc:Fallback>
        <control shapeId="1054" r:id="rId24" name="optStatusSelector2"/>
      </mc:Fallback>
    </mc:AlternateContent>
    <mc:AlternateContent xmlns:mc="http://schemas.openxmlformats.org/markup-compatibility/2006">
      <mc:Choice Requires="x14">
        <control shapeId="1053" r:id="rId26" name="optStatusSelector1">
          <controlPr locked="0" defaultSize="0" autoFill="0" autoLine="0" r:id="rId27">
            <anchor moveWithCells="1">
              <from>
                <xdr:col>15</xdr:col>
                <xdr:colOff>123825</xdr:colOff>
                <xdr:row>44</xdr:row>
                <xdr:rowOff>47625</xdr:rowOff>
              </from>
              <to>
                <xdr:col>15</xdr:col>
                <xdr:colOff>266700</xdr:colOff>
                <xdr:row>44</xdr:row>
                <xdr:rowOff>219075</xdr:rowOff>
              </to>
            </anchor>
          </controlPr>
        </control>
      </mc:Choice>
      <mc:Fallback>
        <control shapeId="1053" r:id="rId26" name="optStatusSelector1"/>
      </mc:Fallback>
    </mc:AlternateContent>
    <mc:AlternateContent xmlns:mc="http://schemas.openxmlformats.org/markup-compatibility/2006">
      <mc:Choice Requires="x14">
        <control shapeId="1052" r:id="rId28" name="optKindSelector3">
          <controlPr locked="0" defaultSize="0" autoFill="0" autoLine="0" r:id="rId29">
            <anchor moveWithCells="1">
              <from>
                <xdr:col>1</xdr:col>
                <xdr:colOff>123825</xdr:colOff>
                <xdr:row>13</xdr:row>
                <xdr:rowOff>47625</xdr:rowOff>
              </from>
              <to>
                <xdr:col>1</xdr:col>
                <xdr:colOff>266700</xdr:colOff>
                <xdr:row>13</xdr:row>
                <xdr:rowOff>219075</xdr:rowOff>
              </to>
            </anchor>
          </controlPr>
        </control>
      </mc:Choice>
      <mc:Fallback>
        <control shapeId="1052" r:id="rId28" name="optKindSelector3"/>
      </mc:Fallback>
    </mc:AlternateContent>
    <mc:AlternateContent xmlns:mc="http://schemas.openxmlformats.org/markup-compatibility/2006">
      <mc:Choice Requires="x14">
        <control shapeId="1050" r:id="rId30" name="optKindSelector1">
          <controlPr locked="0" defaultSize="0" autoFill="0" autoLine="0" r:id="rId31">
            <anchor moveWithCells="1">
              <from>
                <xdr:col>1</xdr:col>
                <xdr:colOff>123825</xdr:colOff>
                <xdr:row>11</xdr:row>
                <xdr:rowOff>47625</xdr:rowOff>
              </from>
              <to>
                <xdr:col>1</xdr:col>
                <xdr:colOff>266700</xdr:colOff>
                <xdr:row>11</xdr:row>
                <xdr:rowOff>219075</xdr:rowOff>
              </to>
            </anchor>
          </controlPr>
        </control>
      </mc:Choice>
      <mc:Fallback>
        <control shapeId="1050" r:id="rId30" name="optKindSelector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K1523"/>
  <sheetViews>
    <sheetView tabSelected="1" zoomScaleNormal="100" zoomScaleSheetLayoutView="100" workbookViewId="0">
      <pane xSplit="18" ySplit="6" topLeftCell="U7" activePane="bottomRight" state="frozen"/>
      <selection pane="topRight" activeCell="S1" sqref="S1"/>
      <selection pane="bottomLeft" activeCell="A7" sqref="A7"/>
      <selection pane="bottomRight" activeCell="R813" sqref="R813"/>
    </sheetView>
  </sheetViews>
  <sheetFormatPr defaultRowHeight="10.5" x14ac:dyDescent="0.15"/>
  <cols>
    <col min="1" max="1" width="4.125" style="84" customWidth="1"/>
    <col min="2" max="2" width="7.125" style="85" customWidth="1"/>
    <col min="3" max="3" width="6.5" style="85" customWidth="1"/>
    <col min="4" max="4" width="7.5" style="85" customWidth="1"/>
    <col min="5" max="5" width="7.625" style="85" customWidth="1"/>
    <col min="6" max="6" width="7.125" style="85" customWidth="1"/>
    <col min="7" max="7" width="7" style="85" customWidth="1"/>
    <col min="8" max="8" width="8" style="85" customWidth="1"/>
    <col min="9" max="9" width="5.625" style="84" customWidth="1"/>
    <col min="10" max="10" width="4.125" style="84" customWidth="1"/>
    <col min="11" max="11" width="7.125" style="85" customWidth="1"/>
    <col min="12" max="12" width="4.125" style="84" customWidth="1"/>
    <col min="13" max="13" width="7.125" style="85" bestFit="1" customWidth="1"/>
    <col min="14" max="14" width="6.5" style="85" bestFit="1" customWidth="1"/>
    <col min="15" max="15" width="3" style="86" customWidth="1"/>
    <col min="16" max="16" width="2.375" style="84" customWidth="1"/>
    <col min="17" max="17" width="3" style="86" customWidth="1"/>
    <col min="18" max="18" width="4.125" style="86" customWidth="1"/>
    <col min="19" max="19" width="12.125" style="87" customWidth="1"/>
    <col min="20" max="20" width="28.875" style="87" customWidth="1"/>
    <col min="21" max="24" width="13" style="88" customWidth="1"/>
    <col min="25" max="26" width="12.125" style="88" customWidth="1"/>
    <col min="27" max="29" width="7.125" style="85" customWidth="1"/>
    <col min="30" max="32" width="9.125" style="84" customWidth="1"/>
    <col min="33" max="33" width="8.5" style="84" customWidth="1"/>
    <col min="34" max="34" width="11.125" style="84" customWidth="1"/>
    <col min="35" max="36" width="7.125" style="84" customWidth="1"/>
    <col min="37" max="37" width="10.125" style="84" customWidth="1"/>
    <col min="38" max="40" width="11.125" style="84" customWidth="1"/>
    <col min="41" max="41" width="9.875" style="85" customWidth="1"/>
    <col min="42" max="42" width="11.875" style="84" customWidth="1"/>
    <col min="43" max="43" width="11.125" style="84" customWidth="1"/>
    <col min="44" max="44" width="9.125" style="85" customWidth="1"/>
    <col min="45" max="45" width="11.375" style="84" customWidth="1"/>
    <col min="46" max="46" width="9.125" style="85" customWidth="1"/>
    <col min="47" max="47" width="11.375" style="84" customWidth="1"/>
    <col min="48" max="48" width="9.375" style="85" customWidth="1"/>
    <col min="49" max="49" width="4.125" style="123" customWidth="1"/>
    <col min="50" max="50" width="4" style="123" customWidth="1"/>
    <col min="51" max="52" width="13" style="132" customWidth="1"/>
    <col min="53" max="53" width="17.125" style="84" customWidth="1"/>
    <col min="54" max="55" width="13" style="88" customWidth="1"/>
    <col min="56" max="56" width="5.625" style="84" customWidth="1"/>
    <col min="57" max="57" width="13.625" style="84" customWidth="1"/>
    <col min="58" max="59" width="12.5" style="88" customWidth="1"/>
    <col min="60" max="60" width="7.125" style="84" customWidth="1"/>
    <col min="61" max="61" width="13.625" style="84" customWidth="1"/>
    <col min="62" max="63" width="12.5" style="88" customWidth="1"/>
    <col min="64" max="64" width="7.125" style="84" customWidth="1"/>
    <col min="65" max="65" width="8.375" style="88" customWidth="1"/>
    <col min="66" max="66" width="9" style="88" customWidth="1"/>
    <col min="67" max="67" width="8.375" style="88" customWidth="1"/>
    <col min="68" max="69" width="7.125" style="88" customWidth="1"/>
    <col min="70" max="70" width="8.125" style="88" customWidth="1"/>
    <col min="71" max="71" width="8.875" style="88" customWidth="1"/>
    <col min="72" max="72" width="9.5" style="114" customWidth="1"/>
    <col min="73" max="73" width="10.125" style="114" customWidth="1"/>
    <col min="74" max="74" width="14" style="89" customWidth="1"/>
    <col min="75" max="75" width="13.125" style="89" customWidth="1"/>
    <col min="76" max="76" width="11.5" style="89" customWidth="1"/>
    <col min="77" max="77" width="13.125" style="89" customWidth="1"/>
    <col min="78" max="78" width="10.625" style="112" customWidth="1"/>
    <col min="79" max="79" width="12.875" style="84" customWidth="1"/>
    <col min="80" max="80" width="12.5" style="84" customWidth="1"/>
    <col min="81" max="81" width="11.125" style="84" customWidth="1"/>
    <col min="82" max="82" width="9" style="87" customWidth="1"/>
    <col min="83" max="88" width="9" style="85" customWidth="1"/>
    <col min="89" max="89" width="13" style="88" customWidth="1"/>
    <col min="90" max="16384" width="9" style="83"/>
  </cols>
  <sheetData>
    <row r="1" spans="1:89" s="90" customFormat="1" ht="24.75" customHeight="1" thickTop="1" thickBot="1" x14ac:dyDescent="0.2">
      <c r="I1" s="235" t="s">
        <v>229</v>
      </c>
      <c r="J1" s="236"/>
      <c r="K1" s="103">
        <v>1</v>
      </c>
      <c r="Q1" s="134"/>
      <c r="S1" s="91"/>
      <c r="T1" s="91"/>
      <c r="U1" s="91"/>
      <c r="V1" s="91"/>
      <c r="W1" s="92"/>
      <c r="X1" s="92"/>
      <c r="AW1" s="122"/>
      <c r="AX1" s="122"/>
      <c r="AY1" s="129"/>
      <c r="AZ1" s="129"/>
      <c r="BB1" s="92"/>
      <c r="BC1" s="92"/>
      <c r="BF1" s="92"/>
      <c r="BG1" s="92"/>
      <c r="BJ1" s="92"/>
      <c r="BK1" s="92"/>
      <c r="BT1" s="113"/>
      <c r="BU1" s="113"/>
      <c r="BZ1" s="111"/>
      <c r="CD1" s="91"/>
      <c r="CK1" s="92"/>
    </row>
    <row r="2" spans="1:89" ht="13.5" customHeight="1" thickTop="1" x14ac:dyDescent="0.15">
      <c r="A2" s="238" t="s">
        <v>0</v>
      </c>
      <c r="B2" s="238"/>
      <c r="C2" s="238"/>
      <c r="D2" s="238"/>
      <c r="E2" s="238"/>
      <c r="F2" s="238"/>
      <c r="G2" s="238"/>
      <c r="H2" s="238"/>
      <c r="I2" s="239"/>
      <c r="J2" s="240" t="s">
        <v>41</v>
      </c>
      <c r="K2" s="240"/>
      <c r="L2" s="241"/>
      <c r="M2" s="241"/>
      <c r="N2" s="241"/>
      <c r="O2" s="241"/>
      <c r="P2" s="241"/>
      <c r="Q2" s="241"/>
      <c r="R2" s="241"/>
      <c r="S2" s="241"/>
      <c r="T2" s="241"/>
      <c r="U2" s="241"/>
      <c r="V2" s="241"/>
      <c r="W2" s="241"/>
      <c r="X2" s="241"/>
      <c r="Y2" s="241"/>
      <c r="Z2" s="241"/>
      <c r="AA2" s="241"/>
      <c r="AB2" s="241"/>
      <c r="AC2" s="241"/>
      <c r="AD2" s="241"/>
      <c r="AE2" s="241"/>
      <c r="AF2" s="241"/>
      <c r="AG2" s="241"/>
      <c r="AH2" s="241"/>
      <c r="AI2" s="241"/>
      <c r="AJ2" s="241"/>
      <c r="AK2" s="241"/>
      <c r="AL2" s="241"/>
      <c r="AM2" s="255" t="s">
        <v>145</v>
      </c>
      <c r="AN2" s="255"/>
      <c r="AO2" s="255"/>
      <c r="AP2" s="255"/>
      <c r="AQ2" s="255"/>
      <c r="AR2" s="255"/>
      <c r="AS2" s="255"/>
      <c r="AT2" s="255"/>
      <c r="AU2" s="255"/>
      <c r="AV2" s="255"/>
      <c r="AW2" s="255"/>
      <c r="AX2" s="255"/>
      <c r="AY2" s="130"/>
      <c r="AZ2" s="130"/>
      <c r="BA2" s="252" t="s">
        <v>70</v>
      </c>
      <c r="BB2" s="252"/>
      <c r="BC2" s="252"/>
      <c r="BD2" s="252"/>
      <c r="BE2" s="252"/>
      <c r="BF2" s="252"/>
      <c r="BG2" s="252"/>
      <c r="BH2" s="252"/>
      <c r="BI2" s="252"/>
      <c r="BJ2" s="252"/>
      <c r="BK2" s="252"/>
      <c r="BL2" s="252"/>
      <c r="BM2" s="252"/>
      <c r="BN2" s="252"/>
      <c r="BO2" s="252"/>
      <c r="BP2" s="252"/>
      <c r="BQ2" s="252"/>
      <c r="BR2" s="252"/>
      <c r="BS2" s="252"/>
      <c r="BT2" s="252"/>
      <c r="BU2" s="252"/>
      <c r="BV2" s="259" t="s">
        <v>123</v>
      </c>
      <c r="BW2" s="259"/>
      <c r="BX2" s="259"/>
      <c r="BY2" s="259"/>
      <c r="BZ2" s="259"/>
      <c r="CA2" s="252"/>
      <c r="CB2" s="252"/>
      <c r="CC2" s="252"/>
      <c r="CD2" s="243" t="s">
        <v>56</v>
      </c>
      <c r="CE2" s="245" t="s">
        <v>69</v>
      </c>
      <c r="CF2" s="246"/>
      <c r="CG2" s="246"/>
      <c r="CH2" s="246"/>
      <c r="CI2" s="246"/>
      <c r="CJ2" s="247"/>
      <c r="CK2" s="83"/>
    </row>
    <row r="3" spans="1:89" ht="13.5" customHeight="1" x14ac:dyDescent="0.15">
      <c r="A3" s="242" t="s">
        <v>36</v>
      </c>
      <c r="B3" s="242" t="s">
        <v>37</v>
      </c>
      <c r="C3" s="242"/>
      <c r="D3" s="237" t="s">
        <v>98</v>
      </c>
      <c r="E3" s="237" t="s">
        <v>198</v>
      </c>
      <c r="F3" s="237"/>
      <c r="G3" s="237" t="s">
        <v>210</v>
      </c>
      <c r="H3" s="237"/>
      <c r="I3" s="242" t="s">
        <v>136</v>
      </c>
      <c r="J3" s="242" t="s">
        <v>118</v>
      </c>
      <c r="K3" s="237" t="s">
        <v>69</v>
      </c>
      <c r="L3" s="237"/>
      <c r="M3" s="237" t="s">
        <v>156</v>
      </c>
      <c r="N3" s="257" t="s">
        <v>266</v>
      </c>
      <c r="O3" s="237" t="s">
        <v>108</v>
      </c>
      <c r="P3" s="237"/>
      <c r="Q3" s="237"/>
      <c r="R3" s="237"/>
      <c r="S3" s="242" t="s">
        <v>185</v>
      </c>
      <c r="T3" s="237" t="s">
        <v>42</v>
      </c>
      <c r="U3" s="237" t="s">
        <v>128</v>
      </c>
      <c r="V3" s="237"/>
      <c r="W3" s="237" t="s">
        <v>213</v>
      </c>
      <c r="X3" s="237"/>
      <c r="Y3" s="237" t="s">
        <v>214</v>
      </c>
      <c r="Z3" s="237"/>
      <c r="AA3" s="237" t="s">
        <v>43</v>
      </c>
      <c r="AB3" s="237"/>
      <c r="AC3" s="237"/>
      <c r="AD3" s="237" t="s">
        <v>125</v>
      </c>
      <c r="AE3" s="237"/>
      <c r="AF3" s="237"/>
      <c r="AG3" s="237" t="s">
        <v>23</v>
      </c>
      <c r="AH3" s="237"/>
      <c r="AI3" s="237"/>
      <c r="AJ3" s="237" t="s">
        <v>115</v>
      </c>
      <c r="AK3" s="237"/>
      <c r="AL3" s="237"/>
      <c r="AM3" s="237" t="s">
        <v>72</v>
      </c>
      <c r="AN3" s="237"/>
      <c r="AO3" s="237"/>
      <c r="AP3" s="237"/>
      <c r="AQ3" s="237"/>
      <c r="AR3" s="237" t="s">
        <v>79</v>
      </c>
      <c r="AS3" s="237"/>
      <c r="AT3" s="237" t="s">
        <v>87</v>
      </c>
      <c r="AU3" s="237"/>
      <c r="AV3" s="237" t="s">
        <v>20</v>
      </c>
      <c r="AW3" s="250" t="s">
        <v>55</v>
      </c>
      <c r="AX3" s="250" t="s">
        <v>201</v>
      </c>
      <c r="AY3" s="256" t="s">
        <v>263</v>
      </c>
      <c r="AZ3" s="256"/>
      <c r="BA3" s="237" t="s">
        <v>204</v>
      </c>
      <c r="BB3" s="237"/>
      <c r="BC3" s="237"/>
      <c r="BD3" s="237"/>
      <c r="BE3" s="237" t="s">
        <v>65</v>
      </c>
      <c r="BF3" s="237"/>
      <c r="BG3" s="237"/>
      <c r="BH3" s="237"/>
      <c r="BI3" s="237" t="s">
        <v>126</v>
      </c>
      <c r="BJ3" s="237"/>
      <c r="BK3" s="237"/>
      <c r="BL3" s="237"/>
      <c r="BM3" s="237" t="s">
        <v>16</v>
      </c>
      <c r="BN3" s="237"/>
      <c r="BO3" s="237"/>
      <c r="BP3" s="237"/>
      <c r="BQ3" s="237"/>
      <c r="BR3" s="237"/>
      <c r="BS3" s="237"/>
      <c r="BT3" s="253" t="s">
        <v>104</v>
      </c>
      <c r="BU3" s="253" t="s">
        <v>58</v>
      </c>
      <c r="BV3" s="242" t="s">
        <v>85</v>
      </c>
      <c r="BW3" s="237" t="s">
        <v>178</v>
      </c>
      <c r="BX3" s="237" t="s">
        <v>179</v>
      </c>
      <c r="BY3" s="242" t="s">
        <v>197</v>
      </c>
      <c r="BZ3" s="248" t="s">
        <v>168</v>
      </c>
      <c r="CA3" s="237" t="s">
        <v>56</v>
      </c>
      <c r="CB3" s="237"/>
      <c r="CC3" s="237"/>
      <c r="CD3" s="260"/>
      <c r="CE3" s="243" t="s">
        <v>31</v>
      </c>
      <c r="CF3" s="237">
        <v>1</v>
      </c>
      <c r="CG3" s="237">
        <v>2</v>
      </c>
      <c r="CH3" s="237">
        <v>3</v>
      </c>
      <c r="CI3" s="237">
        <v>4</v>
      </c>
      <c r="CJ3" s="237">
        <v>5</v>
      </c>
      <c r="CK3" s="83"/>
    </row>
    <row r="4" spans="1:89" ht="12" customHeight="1" x14ac:dyDescent="0.15">
      <c r="A4" s="237"/>
      <c r="B4" s="84" t="s">
        <v>163</v>
      </c>
      <c r="C4" s="84" t="s">
        <v>9</v>
      </c>
      <c r="D4" s="237"/>
      <c r="E4" s="84" t="s">
        <v>80</v>
      </c>
      <c r="F4" s="84" t="s">
        <v>9</v>
      </c>
      <c r="G4" s="84" t="s">
        <v>8</v>
      </c>
      <c r="H4" s="84" t="s">
        <v>9</v>
      </c>
      <c r="I4" s="237"/>
      <c r="J4" s="242"/>
      <c r="K4" s="84" t="s">
        <v>116</v>
      </c>
      <c r="L4" s="84" t="s">
        <v>147</v>
      </c>
      <c r="M4" s="237"/>
      <c r="N4" s="258"/>
      <c r="O4" s="237"/>
      <c r="P4" s="237"/>
      <c r="Q4" s="237"/>
      <c r="R4" s="237"/>
      <c r="S4" s="237"/>
      <c r="T4" s="237"/>
      <c r="U4" s="84" t="s">
        <v>97</v>
      </c>
      <c r="V4" s="84" t="s">
        <v>21</v>
      </c>
      <c r="W4" s="84" t="s">
        <v>97</v>
      </c>
      <c r="X4" s="84" t="s">
        <v>21</v>
      </c>
      <c r="Y4" s="84" t="s">
        <v>97</v>
      </c>
      <c r="Z4" s="84" t="s">
        <v>21</v>
      </c>
      <c r="AA4" s="84" t="s">
        <v>63</v>
      </c>
      <c r="AB4" s="84" t="s">
        <v>64</v>
      </c>
      <c r="AC4" s="84" t="s">
        <v>225</v>
      </c>
      <c r="AD4" s="84" t="s">
        <v>226</v>
      </c>
      <c r="AE4" s="84" t="s">
        <v>227</v>
      </c>
      <c r="AF4" s="84" t="s">
        <v>228</v>
      </c>
      <c r="AG4" s="84" t="s">
        <v>226</v>
      </c>
      <c r="AH4" s="84" t="s">
        <v>227</v>
      </c>
      <c r="AI4" s="84" t="s">
        <v>228</v>
      </c>
      <c r="AJ4" s="84" t="s">
        <v>226</v>
      </c>
      <c r="AK4" s="84" t="s">
        <v>12</v>
      </c>
      <c r="AL4" s="84" t="s">
        <v>88</v>
      </c>
      <c r="AM4" s="237" t="s">
        <v>61</v>
      </c>
      <c r="AN4" s="237"/>
      <c r="AO4" s="84" t="s">
        <v>84</v>
      </c>
      <c r="AP4" s="84" t="s">
        <v>5</v>
      </c>
      <c r="AQ4" s="84" t="s">
        <v>199</v>
      </c>
      <c r="AR4" s="84" t="s">
        <v>129</v>
      </c>
      <c r="AS4" s="84" t="s">
        <v>61</v>
      </c>
      <c r="AT4" s="84" t="s">
        <v>59</v>
      </c>
      <c r="AU4" s="84" t="s">
        <v>186</v>
      </c>
      <c r="AV4" s="237"/>
      <c r="AW4" s="251"/>
      <c r="AX4" s="251"/>
      <c r="AY4" s="128" t="s">
        <v>97</v>
      </c>
      <c r="AZ4" s="128" t="s">
        <v>21</v>
      </c>
      <c r="BA4" s="84" t="s">
        <v>203</v>
      </c>
      <c r="BB4" s="84" t="s">
        <v>200</v>
      </c>
      <c r="BC4" s="84" t="s">
        <v>21</v>
      </c>
      <c r="BD4" s="84" t="s">
        <v>47</v>
      </c>
      <c r="BE4" s="84" t="s">
        <v>203</v>
      </c>
      <c r="BF4" s="84" t="s">
        <v>200</v>
      </c>
      <c r="BG4" s="84" t="s">
        <v>21</v>
      </c>
      <c r="BH4" s="84" t="s">
        <v>47</v>
      </c>
      <c r="BI4" s="84" t="s">
        <v>203</v>
      </c>
      <c r="BJ4" s="84" t="s">
        <v>200</v>
      </c>
      <c r="BK4" s="84" t="s">
        <v>21</v>
      </c>
      <c r="BL4" s="84" t="s">
        <v>47</v>
      </c>
      <c r="BM4" s="84" t="s">
        <v>13</v>
      </c>
      <c r="BN4" s="84" t="s">
        <v>215</v>
      </c>
      <c r="BO4" s="84" t="s">
        <v>111</v>
      </c>
      <c r="BP4" s="84" t="s">
        <v>193</v>
      </c>
      <c r="BQ4" s="84" t="s">
        <v>67</v>
      </c>
      <c r="BR4" s="84" t="s">
        <v>131</v>
      </c>
      <c r="BS4" s="84" t="s">
        <v>27</v>
      </c>
      <c r="BT4" s="254"/>
      <c r="BU4" s="254"/>
      <c r="BV4" s="237"/>
      <c r="BW4" s="237"/>
      <c r="BX4" s="237"/>
      <c r="BY4" s="237"/>
      <c r="BZ4" s="249"/>
      <c r="CA4" s="84" t="s">
        <v>81</v>
      </c>
      <c r="CB4" s="84" t="s">
        <v>32</v>
      </c>
      <c r="CC4" s="84" t="s">
        <v>33</v>
      </c>
      <c r="CD4" s="244"/>
      <c r="CE4" s="244"/>
      <c r="CF4" s="237"/>
      <c r="CG4" s="237"/>
      <c r="CH4" s="237"/>
      <c r="CI4" s="237"/>
      <c r="CJ4" s="237"/>
      <c r="CK4" s="84" t="s">
        <v>278</v>
      </c>
    </row>
    <row r="5" spans="1:89" s="99" customFormat="1" ht="12.75" customHeight="1" x14ac:dyDescent="0.15">
      <c r="A5" s="98"/>
      <c r="B5" s="98"/>
      <c r="C5" s="98"/>
      <c r="D5" s="98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135"/>
      <c r="R5" s="98"/>
      <c r="S5" s="98"/>
      <c r="T5" s="98" t="str">
        <f>SUBTOTAL(3,T6:T2820) &amp; "件"</f>
        <v>1518件</v>
      </c>
      <c r="U5" s="108">
        <f t="shared" ref="U5:Z5" si="0">SUBTOTAL(9,U6:U2820)</f>
        <v>259031330</v>
      </c>
      <c r="V5" s="108">
        <f t="shared" si="0"/>
        <v>279753836.40000004</v>
      </c>
      <c r="W5" s="108">
        <f t="shared" si="0"/>
        <v>237986030</v>
      </c>
      <c r="X5" s="108">
        <f t="shared" si="0"/>
        <v>257024912.40000007</v>
      </c>
      <c r="Y5" s="108">
        <f t="shared" si="0"/>
        <v>20565300</v>
      </c>
      <c r="Z5" s="108">
        <f t="shared" si="0"/>
        <v>22210524</v>
      </c>
      <c r="AA5" s="98"/>
      <c r="AB5" s="98"/>
      <c r="AC5" s="98"/>
      <c r="AD5" s="98">
        <f t="shared" ref="AD5:AL5" si="1">SUBTOTAL(9,AD6:AD2820)</f>
        <v>9884</v>
      </c>
      <c r="AE5" s="98">
        <f t="shared" si="1"/>
        <v>6363</v>
      </c>
      <c r="AF5" s="98">
        <f t="shared" si="1"/>
        <v>3521</v>
      </c>
      <c r="AG5" s="98">
        <f t="shared" si="1"/>
        <v>0</v>
      </c>
      <c r="AH5" s="98">
        <f t="shared" si="1"/>
        <v>0</v>
      </c>
      <c r="AI5" s="98">
        <f t="shared" si="1"/>
        <v>0</v>
      </c>
      <c r="AJ5" s="98">
        <f t="shared" si="1"/>
        <v>0</v>
      </c>
      <c r="AK5" s="98">
        <f t="shared" si="1"/>
        <v>0</v>
      </c>
      <c r="AL5" s="98">
        <f t="shared" si="1"/>
        <v>0</v>
      </c>
      <c r="AM5" s="98"/>
      <c r="AN5" s="98"/>
      <c r="AO5" s="98"/>
      <c r="AP5" s="98"/>
      <c r="AQ5" s="98"/>
      <c r="AR5" s="98"/>
      <c r="AS5" s="98"/>
      <c r="AT5" s="98"/>
      <c r="AU5" s="98"/>
      <c r="AV5" s="98"/>
      <c r="AW5" s="124"/>
      <c r="AX5" s="124"/>
      <c r="AY5" s="131">
        <f>SUBTOTAL(9,AY6:AY2820)</f>
        <v>249099601</v>
      </c>
      <c r="AZ5" s="131">
        <f>SUBTOTAL(9,AZ6:AZ2820)</f>
        <v>269952069</v>
      </c>
      <c r="BA5" s="98"/>
      <c r="BB5" s="108">
        <f>SUBTOTAL(9,BB6:BB2820)</f>
        <v>89575902.5</v>
      </c>
      <c r="BC5" s="108">
        <f>SUBTOTAL(9,BC6:BC2820)</f>
        <v>96953247.099999994</v>
      </c>
      <c r="BD5" s="108"/>
      <c r="BE5" s="108"/>
      <c r="BF5" s="108">
        <f>SUBTOTAL(9,BF6:BF2820)</f>
        <v>550093</v>
      </c>
      <c r="BG5" s="108">
        <f>SUBTOTAL(9,BG6:BG2820)</f>
        <v>594100.43999999994</v>
      </c>
      <c r="BH5" s="108"/>
      <c r="BI5" s="108"/>
      <c r="BJ5" s="108">
        <f>SUBTOTAL(9,BJ6:BJ2820)</f>
        <v>12550667</v>
      </c>
      <c r="BK5" s="108">
        <f>SUBTOTAL(9,BK6:BK2820)</f>
        <v>13575896.240000054</v>
      </c>
      <c r="BL5" s="108"/>
      <c r="BM5" s="108">
        <f>SUBTOTAL(9,BM6:BM2820)</f>
        <v>0</v>
      </c>
      <c r="BN5" s="108">
        <f>SUBTOTAL(9,BN6:BN2820)</f>
        <v>0</v>
      </c>
      <c r="BO5" s="108">
        <f t="shared" ref="BO5:BU5" si="2">SUBTOTAL(9,BO6:BO2820)</f>
        <v>0</v>
      </c>
      <c r="BP5" s="108">
        <f t="shared" si="2"/>
        <v>0</v>
      </c>
      <c r="BQ5" s="108">
        <f t="shared" si="2"/>
        <v>0</v>
      </c>
      <c r="BR5" s="108">
        <f t="shared" si="2"/>
        <v>0</v>
      </c>
      <c r="BS5" s="108">
        <f t="shared" si="2"/>
        <v>0</v>
      </c>
      <c r="BT5" s="108">
        <f t="shared" si="2"/>
        <v>0</v>
      </c>
      <c r="BU5" s="108">
        <f t="shared" si="2"/>
        <v>0</v>
      </c>
      <c r="BV5" s="108">
        <f t="shared" ref="BV5:CC5" si="3">SUBTOTAL(9,BV6:BV2820)</f>
        <v>257024912.40000007</v>
      </c>
      <c r="BW5" s="108">
        <f t="shared" si="3"/>
        <v>110890795.49999999</v>
      </c>
      <c r="BX5" s="108">
        <f t="shared" si="3"/>
        <v>63890090</v>
      </c>
      <c r="BY5" s="108">
        <f t="shared" si="3"/>
        <v>133984706.49999951</v>
      </c>
      <c r="BZ5" s="108">
        <f t="shared" si="3"/>
        <v>217338.81675416118</v>
      </c>
      <c r="CA5" s="108">
        <f t="shared" si="3"/>
        <v>0</v>
      </c>
      <c r="CB5" s="108">
        <f t="shared" si="3"/>
        <v>0</v>
      </c>
      <c r="CC5" s="108">
        <f t="shared" si="3"/>
        <v>151425</v>
      </c>
      <c r="CD5" s="108"/>
      <c r="CE5" s="108"/>
      <c r="CF5" s="108"/>
      <c r="CG5" s="108"/>
      <c r="CH5" s="108"/>
      <c r="CI5" s="108"/>
      <c r="CJ5" s="108"/>
      <c r="CK5" s="108">
        <f>SUBTOTAL(9,CK6:CK2820)</f>
        <v>10725800</v>
      </c>
    </row>
    <row r="6" spans="1:89" x14ac:dyDescent="0.15">
      <c r="A6" s="84">
        <v>2</v>
      </c>
      <c r="B6" s="85">
        <v>43377</v>
      </c>
      <c r="C6" s="85">
        <v>43382</v>
      </c>
      <c r="D6" s="85">
        <v>43377</v>
      </c>
      <c r="E6" s="85">
        <v>43377</v>
      </c>
      <c r="F6" s="85" t="s">
        <v>338</v>
      </c>
      <c r="G6" s="85">
        <v>43377</v>
      </c>
      <c r="H6" s="85" t="s">
        <v>338</v>
      </c>
      <c r="I6" s="84" t="s">
        <v>380</v>
      </c>
      <c r="J6" s="84">
        <v>2</v>
      </c>
      <c r="L6" s="84">
        <v>0</v>
      </c>
      <c r="M6" s="85">
        <v>43374</v>
      </c>
      <c r="N6" s="85" t="s">
        <v>265</v>
      </c>
      <c r="O6" s="86" t="s">
        <v>340</v>
      </c>
      <c r="P6" s="84" t="s">
        <v>6</v>
      </c>
      <c r="Q6" s="86" t="s">
        <v>107</v>
      </c>
      <c r="R6" s="86" t="s">
        <v>339</v>
      </c>
      <c r="S6" s="87" t="s">
        <v>341</v>
      </c>
      <c r="T6" s="87" t="s">
        <v>342</v>
      </c>
      <c r="U6" s="88">
        <v>35000</v>
      </c>
      <c r="V6" s="88">
        <v>37800</v>
      </c>
      <c r="W6" s="88">
        <v>35000</v>
      </c>
      <c r="X6" s="88">
        <v>37800</v>
      </c>
      <c r="Z6" s="88">
        <v>0</v>
      </c>
      <c r="AA6" s="85">
        <v>43376</v>
      </c>
      <c r="AB6" s="85">
        <v>43376</v>
      </c>
      <c r="AD6" s="84">
        <v>0</v>
      </c>
      <c r="AG6" s="84">
        <v>0</v>
      </c>
      <c r="AJ6" s="84">
        <v>0</v>
      </c>
      <c r="AN6" s="84" t="s">
        <v>338</v>
      </c>
      <c r="AR6" s="85">
        <v>43376</v>
      </c>
      <c r="AS6" s="84">
        <v>6001603781</v>
      </c>
      <c r="AT6" s="85">
        <v>43376</v>
      </c>
      <c r="AU6" s="84" t="s">
        <v>372</v>
      </c>
      <c r="AV6" s="85">
        <v>43382</v>
      </c>
      <c r="AW6" s="123">
        <v>43404</v>
      </c>
      <c r="AX6" s="123">
        <v>43424</v>
      </c>
      <c r="AY6" s="132">
        <v>33600</v>
      </c>
      <c r="AZ6" s="132">
        <f>ROUNDDOWN(AY6+(AY6*MASTER!$A$2/100),0)</f>
        <v>36288</v>
      </c>
      <c r="BA6" s="84" t="s">
        <v>287</v>
      </c>
      <c r="BB6" s="88">
        <v>24000</v>
      </c>
      <c r="BC6" s="88">
        <v>25920</v>
      </c>
      <c r="BD6" s="84" t="s">
        <v>188</v>
      </c>
      <c r="BG6" s="88">
        <v>0</v>
      </c>
      <c r="BK6" s="88">
        <v>0</v>
      </c>
      <c r="BS6" s="88">
        <v>0</v>
      </c>
      <c r="BV6" s="89">
        <v>37800</v>
      </c>
      <c r="BW6" s="89">
        <v>25920</v>
      </c>
      <c r="BX6" s="89">
        <v>43374</v>
      </c>
      <c r="BY6" s="89">
        <v>11880</v>
      </c>
      <c r="BZ6" s="112">
        <v>31.428571428571427</v>
      </c>
      <c r="CK6" s="88">
        <v>0</v>
      </c>
    </row>
    <row r="7" spans="1:89" x14ac:dyDescent="0.15">
      <c r="A7" s="84">
        <v>2</v>
      </c>
      <c r="B7" s="85">
        <v>43384</v>
      </c>
      <c r="C7" s="85">
        <v>43385</v>
      </c>
      <c r="D7" s="85">
        <v>43406</v>
      </c>
      <c r="E7" s="85">
        <v>43397</v>
      </c>
      <c r="F7" s="85">
        <v>43392</v>
      </c>
      <c r="G7" s="85">
        <v>43385</v>
      </c>
      <c r="H7" s="85">
        <v>43388</v>
      </c>
      <c r="I7" s="84" t="s">
        <v>401</v>
      </c>
      <c r="J7" s="84">
        <v>1</v>
      </c>
      <c r="L7" s="84">
        <v>0</v>
      </c>
      <c r="M7" s="85">
        <v>43375</v>
      </c>
      <c r="N7" s="85" t="s">
        <v>265</v>
      </c>
      <c r="O7" s="86" t="s">
        <v>340</v>
      </c>
      <c r="P7" s="84" t="s">
        <v>26</v>
      </c>
      <c r="Q7" s="86" t="s">
        <v>107</v>
      </c>
      <c r="R7" s="86" t="s">
        <v>383</v>
      </c>
      <c r="S7" s="87" t="s">
        <v>384</v>
      </c>
      <c r="T7" s="87" t="s">
        <v>385</v>
      </c>
      <c r="U7" s="88">
        <v>85500</v>
      </c>
      <c r="V7" s="88">
        <v>92340</v>
      </c>
      <c r="W7" s="88">
        <v>76300</v>
      </c>
      <c r="X7" s="88">
        <v>82404</v>
      </c>
      <c r="Y7" s="88">
        <v>9200</v>
      </c>
      <c r="Z7" s="88">
        <v>9936</v>
      </c>
      <c r="AA7" s="85">
        <v>43384</v>
      </c>
      <c r="AB7" s="85">
        <v>43385</v>
      </c>
      <c r="AC7" s="85">
        <v>43385</v>
      </c>
      <c r="AD7" s="84">
        <v>0</v>
      </c>
      <c r="AG7" s="84">
        <v>0</v>
      </c>
      <c r="AJ7" s="84">
        <v>0</v>
      </c>
      <c r="AM7" s="84" t="s">
        <v>290</v>
      </c>
      <c r="AN7" s="84" t="s">
        <v>386</v>
      </c>
      <c r="AR7" s="85">
        <v>43383</v>
      </c>
      <c r="AS7" s="84">
        <v>6001606275</v>
      </c>
      <c r="AT7" s="85">
        <v>43383</v>
      </c>
      <c r="AU7" s="84" t="s">
        <v>404</v>
      </c>
      <c r="AV7" s="85">
        <v>43385</v>
      </c>
      <c r="AW7" s="123">
        <v>43404</v>
      </c>
      <c r="AX7" s="123">
        <v>43424</v>
      </c>
      <c r="AY7" s="132">
        <v>82080</v>
      </c>
      <c r="AZ7" s="132">
        <f>ROUNDDOWN(AY7+(AY7*MASTER!$A$2/100),0)</f>
        <v>88646</v>
      </c>
      <c r="BA7" s="84" t="s">
        <v>400</v>
      </c>
      <c r="BB7" s="88">
        <v>23800</v>
      </c>
      <c r="BC7" s="88">
        <v>25704</v>
      </c>
      <c r="BD7" s="84" t="s">
        <v>188</v>
      </c>
      <c r="BG7" s="88">
        <v>0</v>
      </c>
      <c r="BI7" s="84" t="s">
        <v>434</v>
      </c>
      <c r="BJ7" s="88">
        <v>5980</v>
      </c>
      <c r="BK7" s="88">
        <v>6458.4</v>
      </c>
      <c r="BL7" s="84" t="s">
        <v>188</v>
      </c>
      <c r="BS7" s="88">
        <v>0</v>
      </c>
      <c r="BV7" s="89">
        <v>82404</v>
      </c>
      <c r="BW7" s="89">
        <v>32162.400000000001</v>
      </c>
      <c r="BX7" s="89">
        <v>43375</v>
      </c>
      <c r="BY7" s="89">
        <v>50241.599999999999</v>
      </c>
      <c r="BZ7" s="112">
        <v>60.969855832241151</v>
      </c>
      <c r="CK7" s="88">
        <v>6300</v>
      </c>
    </row>
    <row r="8" spans="1:89" x14ac:dyDescent="0.15">
      <c r="A8" s="84">
        <v>2</v>
      </c>
      <c r="B8" s="85">
        <v>43384</v>
      </c>
      <c r="C8" s="85">
        <v>43390</v>
      </c>
      <c r="D8" s="85">
        <v>43395</v>
      </c>
      <c r="E8" s="85">
        <v>43397</v>
      </c>
      <c r="F8" s="85">
        <v>43397</v>
      </c>
      <c r="G8" s="85">
        <v>43395</v>
      </c>
      <c r="H8" s="85">
        <v>43393</v>
      </c>
      <c r="I8" s="84" t="s">
        <v>401</v>
      </c>
      <c r="J8" s="84">
        <v>1</v>
      </c>
      <c r="L8" s="84">
        <v>0</v>
      </c>
      <c r="M8" s="85">
        <v>43375</v>
      </c>
      <c r="N8" s="85" t="s">
        <v>265</v>
      </c>
      <c r="O8" s="86" t="s">
        <v>340</v>
      </c>
      <c r="P8" s="84" t="s">
        <v>26</v>
      </c>
      <c r="Q8" s="86" t="s">
        <v>107</v>
      </c>
      <c r="R8" s="86" t="s">
        <v>396</v>
      </c>
      <c r="S8" s="87" t="s">
        <v>397</v>
      </c>
      <c r="T8" s="87" t="s">
        <v>398</v>
      </c>
      <c r="U8" s="88">
        <v>474000</v>
      </c>
      <c r="V8" s="88">
        <v>511920</v>
      </c>
      <c r="W8" s="88">
        <v>462000</v>
      </c>
      <c r="X8" s="88">
        <v>498960</v>
      </c>
      <c r="Y8" s="88">
        <v>12000</v>
      </c>
      <c r="Z8" s="88">
        <v>12960</v>
      </c>
      <c r="AA8" s="85">
        <v>43384</v>
      </c>
      <c r="AB8" s="85">
        <v>43390</v>
      </c>
      <c r="AC8" s="85">
        <v>43390</v>
      </c>
      <c r="AD8" s="84">
        <v>0</v>
      </c>
      <c r="AG8" s="84">
        <v>0</v>
      </c>
      <c r="AJ8" s="84">
        <v>0</v>
      </c>
      <c r="AM8" s="84" t="s">
        <v>290</v>
      </c>
      <c r="AN8" s="84" t="s">
        <v>399</v>
      </c>
      <c r="AR8" s="85">
        <v>43383</v>
      </c>
      <c r="AS8" s="84">
        <v>6001606275</v>
      </c>
      <c r="AT8" s="85">
        <v>43383</v>
      </c>
      <c r="AU8" s="84" t="s">
        <v>404</v>
      </c>
      <c r="AV8" s="85">
        <v>43390</v>
      </c>
      <c r="AW8" s="123">
        <v>43404</v>
      </c>
      <c r="AX8" s="123">
        <v>43424</v>
      </c>
      <c r="AY8" s="132">
        <v>455040</v>
      </c>
      <c r="AZ8" s="132">
        <f>ROUNDDOWN(AY8+(AY8*MASTER!$A$2/100),0)</f>
        <v>491443</v>
      </c>
      <c r="BA8" s="84" t="s">
        <v>400</v>
      </c>
      <c r="BB8" s="88">
        <v>214000</v>
      </c>
      <c r="BC8" s="88">
        <v>231120</v>
      </c>
      <c r="BD8" s="84" t="s">
        <v>188</v>
      </c>
      <c r="BG8" s="88">
        <v>0</v>
      </c>
      <c r="BI8" s="84" t="s">
        <v>434</v>
      </c>
      <c r="BJ8" s="88">
        <v>7800</v>
      </c>
      <c r="BK8" s="88">
        <v>8424</v>
      </c>
      <c r="BL8" s="84" t="s">
        <v>188</v>
      </c>
      <c r="BS8" s="88">
        <v>0</v>
      </c>
      <c r="BV8" s="89">
        <v>498960</v>
      </c>
      <c r="BW8" s="89">
        <v>239544</v>
      </c>
      <c r="BX8" s="89">
        <v>43375</v>
      </c>
      <c r="BY8" s="89">
        <v>259416</v>
      </c>
      <c r="BZ8" s="112">
        <v>51.99134199134199</v>
      </c>
      <c r="CK8" s="88">
        <v>31500</v>
      </c>
    </row>
    <row r="9" spans="1:89" x14ac:dyDescent="0.15">
      <c r="A9" s="84">
        <v>1</v>
      </c>
      <c r="C9" s="85" t="s">
        <v>338</v>
      </c>
      <c r="F9" s="85" t="s">
        <v>338</v>
      </c>
      <c r="H9" s="85" t="s">
        <v>338</v>
      </c>
      <c r="J9" s="84">
        <v>4</v>
      </c>
      <c r="L9" s="84">
        <v>0</v>
      </c>
      <c r="M9" s="85">
        <v>43375</v>
      </c>
      <c r="N9" s="85" t="s">
        <v>265</v>
      </c>
      <c r="O9" s="86" t="s">
        <v>340</v>
      </c>
      <c r="P9" s="84" t="s">
        <v>26</v>
      </c>
      <c r="Q9" s="86" t="s">
        <v>107</v>
      </c>
      <c r="R9" s="86" t="s">
        <v>531</v>
      </c>
      <c r="S9" s="87" t="s">
        <v>532</v>
      </c>
      <c r="T9" s="87" t="s">
        <v>533</v>
      </c>
      <c r="U9" s="88">
        <v>0</v>
      </c>
      <c r="V9" s="88">
        <v>0</v>
      </c>
      <c r="W9" s="88">
        <v>0</v>
      </c>
      <c r="X9" s="88">
        <v>0</v>
      </c>
      <c r="Y9" s="88">
        <v>0</v>
      </c>
      <c r="Z9" s="88">
        <v>0</v>
      </c>
      <c r="AA9" s="85">
        <v>43368</v>
      </c>
      <c r="AB9" s="85">
        <v>43371</v>
      </c>
      <c r="AD9" s="84">
        <v>0</v>
      </c>
      <c r="AG9" s="84">
        <v>0</v>
      </c>
      <c r="AJ9" s="84">
        <v>0</v>
      </c>
      <c r="AY9" s="132">
        <v>0</v>
      </c>
      <c r="AZ9" s="132">
        <f>ROUNDDOWN(AY9+(AY9*MASTER!$A$2/100),0)</f>
        <v>0</v>
      </c>
      <c r="BC9" s="88">
        <v>0</v>
      </c>
      <c r="BG9" s="88">
        <v>0</v>
      </c>
      <c r="BI9" s="84" t="s">
        <v>434</v>
      </c>
      <c r="BJ9" s="88">
        <v>65000</v>
      </c>
      <c r="BK9" s="88">
        <v>70200</v>
      </c>
      <c r="BL9" s="84" t="s">
        <v>430</v>
      </c>
      <c r="BS9" s="88">
        <v>0</v>
      </c>
      <c r="BV9" s="89">
        <v>0</v>
      </c>
      <c r="BW9" s="89">
        <v>70200</v>
      </c>
      <c r="BX9" s="89">
        <v>43375</v>
      </c>
      <c r="BY9" s="89">
        <v>-70200</v>
      </c>
      <c r="BZ9" s="112" t="s">
        <v>338</v>
      </c>
    </row>
    <row r="10" spans="1:89" x14ac:dyDescent="0.15">
      <c r="A10" s="84">
        <v>1</v>
      </c>
      <c r="C10" s="85" t="s">
        <v>338</v>
      </c>
      <c r="F10" s="85" t="s">
        <v>338</v>
      </c>
      <c r="H10" s="85" t="s">
        <v>338</v>
      </c>
      <c r="J10" s="84">
        <v>4</v>
      </c>
      <c r="L10" s="84">
        <v>0</v>
      </c>
      <c r="M10" s="85">
        <v>43375</v>
      </c>
      <c r="N10" s="85" t="s">
        <v>265</v>
      </c>
      <c r="O10" s="86" t="s">
        <v>340</v>
      </c>
      <c r="P10" s="84" t="s">
        <v>26</v>
      </c>
      <c r="Q10" s="86" t="s">
        <v>107</v>
      </c>
      <c r="R10" s="86" t="s">
        <v>534</v>
      </c>
      <c r="S10" s="87" t="s">
        <v>532</v>
      </c>
      <c r="T10" s="87" t="s">
        <v>537</v>
      </c>
      <c r="U10" s="88">
        <v>0</v>
      </c>
      <c r="V10" s="88">
        <v>0</v>
      </c>
      <c r="W10" s="88">
        <v>0</v>
      </c>
      <c r="X10" s="88">
        <v>0</v>
      </c>
      <c r="Y10" s="88">
        <v>0</v>
      </c>
      <c r="Z10" s="88">
        <v>0</v>
      </c>
      <c r="AA10" s="85">
        <v>43363</v>
      </c>
      <c r="AB10" s="85">
        <v>43365</v>
      </c>
      <c r="AD10" s="84">
        <v>0</v>
      </c>
      <c r="AG10" s="84">
        <v>0</v>
      </c>
      <c r="AJ10" s="84">
        <v>0</v>
      </c>
      <c r="AY10" s="132">
        <v>0</v>
      </c>
      <c r="AZ10" s="132">
        <f>ROUNDDOWN(AY10+(AY10*MASTER!$A$2/100),0)</f>
        <v>0</v>
      </c>
      <c r="BC10" s="88">
        <v>0</v>
      </c>
      <c r="BG10" s="88">
        <v>0</v>
      </c>
      <c r="BI10" s="84" t="s">
        <v>434</v>
      </c>
      <c r="BJ10" s="88">
        <v>86513</v>
      </c>
      <c r="BK10" s="88">
        <v>93434.04</v>
      </c>
      <c r="BL10" s="84" t="s">
        <v>430</v>
      </c>
      <c r="BS10" s="88">
        <v>0</v>
      </c>
      <c r="BV10" s="89">
        <v>0</v>
      </c>
      <c r="BW10" s="89">
        <v>93434.04</v>
      </c>
      <c r="BX10" s="89">
        <v>43375</v>
      </c>
      <c r="BY10" s="89">
        <v>-93434.04</v>
      </c>
      <c r="BZ10" s="112" t="s">
        <v>338</v>
      </c>
    </row>
    <row r="11" spans="1:89" x14ac:dyDescent="0.15">
      <c r="A11" s="84">
        <v>1</v>
      </c>
      <c r="C11" s="85" t="s">
        <v>338</v>
      </c>
      <c r="F11" s="85" t="s">
        <v>338</v>
      </c>
      <c r="H11" s="85" t="s">
        <v>338</v>
      </c>
      <c r="J11" s="84">
        <v>4</v>
      </c>
      <c r="L11" s="84">
        <v>0</v>
      </c>
      <c r="M11" s="85">
        <v>43375</v>
      </c>
      <c r="N11" s="85" t="s">
        <v>265</v>
      </c>
      <c r="O11" s="86" t="s">
        <v>340</v>
      </c>
      <c r="P11" s="84" t="s">
        <v>26</v>
      </c>
      <c r="Q11" s="86" t="s">
        <v>107</v>
      </c>
      <c r="R11" s="86" t="s">
        <v>535</v>
      </c>
      <c r="S11" s="87" t="s">
        <v>532</v>
      </c>
      <c r="T11" s="87" t="s">
        <v>536</v>
      </c>
      <c r="U11" s="88">
        <v>0</v>
      </c>
      <c r="V11" s="88">
        <v>0</v>
      </c>
      <c r="W11" s="88">
        <v>0</v>
      </c>
      <c r="X11" s="88">
        <v>0</v>
      </c>
      <c r="Y11" s="88">
        <v>0</v>
      </c>
      <c r="Z11" s="88">
        <v>0</v>
      </c>
      <c r="AA11" s="85">
        <v>43376</v>
      </c>
      <c r="AB11" s="85">
        <v>43378</v>
      </c>
      <c r="AD11" s="84">
        <v>0</v>
      </c>
      <c r="AG11" s="84">
        <v>0</v>
      </c>
      <c r="AJ11" s="84">
        <v>0</v>
      </c>
      <c r="AY11" s="132">
        <v>0</v>
      </c>
      <c r="AZ11" s="132">
        <f>ROUNDDOWN(AY11+(AY11*MASTER!$A$2/100),0)</f>
        <v>0</v>
      </c>
      <c r="BC11" s="88">
        <v>0</v>
      </c>
      <c r="BG11" s="88">
        <v>0</v>
      </c>
      <c r="BI11" s="84" t="s">
        <v>434</v>
      </c>
      <c r="BJ11" s="88">
        <v>82009</v>
      </c>
      <c r="BK11" s="88">
        <v>88569.72</v>
      </c>
      <c r="BL11" s="84" t="s">
        <v>430</v>
      </c>
      <c r="BS11" s="88">
        <v>0</v>
      </c>
      <c r="BV11" s="89">
        <v>0</v>
      </c>
      <c r="BW11" s="89">
        <v>88569.72</v>
      </c>
      <c r="BX11" s="89">
        <v>43375</v>
      </c>
      <c r="BY11" s="89">
        <v>-88569.72</v>
      </c>
      <c r="BZ11" s="112" t="s">
        <v>338</v>
      </c>
    </row>
    <row r="12" spans="1:89" x14ac:dyDescent="0.15">
      <c r="A12" s="84">
        <v>1</v>
      </c>
      <c r="B12" s="85">
        <v>43389</v>
      </c>
      <c r="C12" s="85">
        <v>43388</v>
      </c>
      <c r="F12" s="85" t="s">
        <v>338</v>
      </c>
      <c r="H12" s="85" t="s">
        <v>338</v>
      </c>
      <c r="J12" s="84">
        <v>2</v>
      </c>
      <c r="L12" s="84">
        <v>0</v>
      </c>
      <c r="M12" s="85">
        <v>43375</v>
      </c>
      <c r="N12" s="85" t="s">
        <v>265</v>
      </c>
      <c r="O12" s="86" t="s">
        <v>340</v>
      </c>
      <c r="P12" s="84" t="s">
        <v>26</v>
      </c>
      <c r="Q12" s="86" t="s">
        <v>107</v>
      </c>
      <c r="R12" s="86" t="s">
        <v>441</v>
      </c>
      <c r="S12" s="87" t="s">
        <v>442</v>
      </c>
      <c r="T12" s="87" t="s">
        <v>443</v>
      </c>
      <c r="U12" s="88">
        <v>25000</v>
      </c>
      <c r="V12" s="88">
        <v>27000</v>
      </c>
      <c r="W12" s="88">
        <v>25000</v>
      </c>
      <c r="X12" s="88">
        <v>27000</v>
      </c>
      <c r="Z12" s="88">
        <v>0</v>
      </c>
      <c r="AD12" s="84">
        <v>0</v>
      </c>
      <c r="AG12" s="84">
        <v>0</v>
      </c>
      <c r="AJ12" s="84">
        <v>0</v>
      </c>
      <c r="AR12" s="85">
        <v>43388</v>
      </c>
      <c r="AS12" s="84">
        <v>6001607709</v>
      </c>
      <c r="AT12" s="85">
        <v>43388</v>
      </c>
      <c r="AU12" s="84" t="s">
        <v>458</v>
      </c>
      <c r="AV12" s="85">
        <v>43388</v>
      </c>
      <c r="AW12" s="123">
        <v>43404</v>
      </c>
      <c r="AX12" s="123">
        <v>43424</v>
      </c>
      <c r="AY12" s="132">
        <v>24000</v>
      </c>
      <c r="AZ12" s="132">
        <f>ROUNDDOWN(AY12+(AY12*MASTER!$A$2/100),0)</f>
        <v>25920</v>
      </c>
      <c r="BC12" s="88">
        <v>0</v>
      </c>
      <c r="BG12" s="88">
        <v>0</v>
      </c>
      <c r="BK12" s="88">
        <v>0</v>
      </c>
      <c r="BS12" s="88">
        <v>0</v>
      </c>
      <c r="BV12" s="89">
        <v>27000</v>
      </c>
      <c r="BW12" s="89">
        <v>0</v>
      </c>
      <c r="BX12" s="89">
        <v>43375</v>
      </c>
      <c r="BY12" s="89">
        <v>27000</v>
      </c>
      <c r="BZ12" s="112">
        <v>100</v>
      </c>
    </row>
    <row r="13" spans="1:89" x14ac:dyDescent="0.15">
      <c r="A13" s="84">
        <v>2</v>
      </c>
      <c r="B13" s="85">
        <v>43409</v>
      </c>
      <c r="C13" s="85">
        <v>43420</v>
      </c>
      <c r="D13" s="85">
        <v>43438</v>
      </c>
      <c r="F13" s="85">
        <v>43427</v>
      </c>
      <c r="G13" s="85">
        <v>43423</v>
      </c>
      <c r="H13" s="85">
        <v>43423</v>
      </c>
      <c r="I13" s="84" t="s">
        <v>776</v>
      </c>
      <c r="J13" s="84">
        <v>1</v>
      </c>
      <c r="L13" s="84">
        <v>0</v>
      </c>
      <c r="M13" s="85">
        <v>43376</v>
      </c>
      <c r="N13" s="85" t="s">
        <v>265</v>
      </c>
      <c r="O13" s="86" t="s">
        <v>340</v>
      </c>
      <c r="P13" s="84" t="s">
        <v>26</v>
      </c>
      <c r="Q13" s="86" t="s">
        <v>107</v>
      </c>
      <c r="R13" s="86" t="s">
        <v>698</v>
      </c>
      <c r="S13" s="87" t="s">
        <v>619</v>
      </c>
      <c r="T13" s="87" t="s">
        <v>699</v>
      </c>
      <c r="U13" s="88">
        <v>1598380</v>
      </c>
      <c r="V13" s="88">
        <v>1726250.4</v>
      </c>
      <c r="W13" s="88">
        <v>1497680</v>
      </c>
      <c r="X13" s="88">
        <v>1617494.4</v>
      </c>
      <c r="Y13" s="88">
        <v>100700</v>
      </c>
      <c r="Z13" s="88">
        <v>108756</v>
      </c>
      <c r="AA13" s="85">
        <v>43415</v>
      </c>
      <c r="AB13" s="85">
        <v>43420</v>
      </c>
      <c r="AC13" s="85">
        <v>43420</v>
      </c>
      <c r="AD13" s="84">
        <v>0</v>
      </c>
      <c r="AG13" s="84">
        <v>0</v>
      </c>
      <c r="AJ13" s="84">
        <v>0</v>
      </c>
      <c r="AM13" s="84" t="s">
        <v>290</v>
      </c>
      <c r="AN13" s="84" t="s">
        <v>700</v>
      </c>
      <c r="AR13" s="85">
        <v>43399</v>
      </c>
      <c r="AS13" s="84">
        <v>6001612732</v>
      </c>
      <c r="AT13" s="85">
        <v>43399</v>
      </c>
      <c r="AU13" s="84" t="s">
        <v>632</v>
      </c>
      <c r="AV13" s="85">
        <v>43420</v>
      </c>
      <c r="AW13" s="123">
        <v>43434</v>
      </c>
      <c r="AX13" s="123">
        <v>43454</v>
      </c>
      <c r="AY13" s="132">
        <v>1534444</v>
      </c>
      <c r="AZ13" s="132">
        <f>ROUNDDOWN(AY13+(AY13*MASTER!$A$2/100),0)</f>
        <v>1657199</v>
      </c>
      <c r="BA13" s="84" t="s">
        <v>287</v>
      </c>
      <c r="BB13" s="88">
        <v>596400</v>
      </c>
      <c r="BC13" s="88">
        <v>644112</v>
      </c>
      <c r="BD13" s="84" t="s">
        <v>189</v>
      </c>
      <c r="BG13" s="88">
        <v>0</v>
      </c>
      <c r="BI13" s="84" t="s">
        <v>434</v>
      </c>
      <c r="BJ13" s="88">
        <v>65455</v>
      </c>
      <c r="BK13" s="88">
        <v>70691.399999999994</v>
      </c>
      <c r="BL13" s="84" t="s">
        <v>189</v>
      </c>
      <c r="BS13" s="88">
        <v>0</v>
      </c>
      <c r="BV13" s="89">
        <v>1617494.4</v>
      </c>
      <c r="BW13" s="89">
        <v>714803.4</v>
      </c>
      <c r="BX13" s="89">
        <v>43376</v>
      </c>
      <c r="BY13" s="89">
        <v>902691</v>
      </c>
      <c r="BZ13" s="112">
        <v>55.807983013727892</v>
      </c>
      <c r="CK13" s="88">
        <v>105000</v>
      </c>
    </row>
    <row r="14" spans="1:89" x14ac:dyDescent="0.15">
      <c r="A14" s="84">
        <v>2</v>
      </c>
      <c r="B14" s="85">
        <v>43397</v>
      </c>
      <c r="C14" s="85">
        <v>43400</v>
      </c>
      <c r="D14" s="85">
        <v>43409</v>
      </c>
      <c r="E14" s="85">
        <v>43402</v>
      </c>
      <c r="F14" s="85">
        <v>43407</v>
      </c>
      <c r="G14" s="85">
        <v>43399</v>
      </c>
      <c r="H14" s="85">
        <v>43403</v>
      </c>
      <c r="I14" s="84" t="s">
        <v>401</v>
      </c>
      <c r="J14" s="84">
        <v>1</v>
      </c>
      <c r="L14" s="84">
        <v>0</v>
      </c>
      <c r="M14" s="85">
        <v>43376</v>
      </c>
      <c r="N14" s="85" t="s">
        <v>265</v>
      </c>
      <c r="O14" s="86" t="s">
        <v>340</v>
      </c>
      <c r="P14" s="84" t="s">
        <v>26</v>
      </c>
      <c r="Q14" s="86" t="s">
        <v>107</v>
      </c>
      <c r="R14" s="86" t="s">
        <v>574</v>
      </c>
      <c r="S14" s="87" t="s">
        <v>575</v>
      </c>
      <c r="T14" s="87" t="s">
        <v>576</v>
      </c>
      <c r="U14" s="88">
        <v>73200</v>
      </c>
      <c r="V14" s="88">
        <v>79056</v>
      </c>
      <c r="W14" s="88">
        <v>47000</v>
      </c>
      <c r="X14" s="88">
        <v>50760</v>
      </c>
      <c r="Y14" s="88">
        <v>26200</v>
      </c>
      <c r="Z14" s="88">
        <v>28296</v>
      </c>
      <c r="AA14" s="85">
        <v>43398</v>
      </c>
      <c r="AB14" s="85">
        <v>43400</v>
      </c>
      <c r="AC14" s="85">
        <v>43400</v>
      </c>
      <c r="AD14" s="84">
        <v>0</v>
      </c>
      <c r="AG14" s="84">
        <v>0</v>
      </c>
      <c r="AJ14" s="84">
        <v>0</v>
      </c>
      <c r="AM14" s="84" t="s">
        <v>290</v>
      </c>
      <c r="AN14" s="84" t="s">
        <v>577</v>
      </c>
      <c r="AR14" s="85">
        <v>43392</v>
      </c>
      <c r="AS14" s="84">
        <v>6001610135</v>
      </c>
      <c r="AT14" s="85">
        <v>43396</v>
      </c>
      <c r="AU14" s="84" t="s">
        <v>560</v>
      </c>
      <c r="AV14" s="85">
        <v>43400</v>
      </c>
      <c r="AW14" s="123">
        <v>43404</v>
      </c>
      <c r="AX14" s="123">
        <v>43424</v>
      </c>
      <c r="AY14" s="132">
        <v>70272</v>
      </c>
      <c r="AZ14" s="132">
        <f>ROUNDDOWN(AY14+(AY14*MASTER!$A$2/100),0)</f>
        <v>75893</v>
      </c>
      <c r="BA14" s="84" t="s">
        <v>543</v>
      </c>
      <c r="BB14" s="88">
        <v>32000</v>
      </c>
      <c r="BC14" s="88">
        <v>34560</v>
      </c>
      <c r="BD14" s="84" t="s">
        <v>189</v>
      </c>
      <c r="BG14" s="88">
        <v>0</v>
      </c>
      <c r="BI14" s="84" t="s">
        <v>276</v>
      </c>
      <c r="BJ14" s="88">
        <v>17030</v>
      </c>
      <c r="BK14" s="88">
        <v>18392.400000000001</v>
      </c>
      <c r="BL14" s="84" t="s">
        <v>677</v>
      </c>
      <c r="BS14" s="88">
        <v>0</v>
      </c>
      <c r="BV14" s="89">
        <v>50760</v>
      </c>
      <c r="BW14" s="89">
        <v>52952.4</v>
      </c>
      <c r="BX14" s="89">
        <v>43376</v>
      </c>
      <c r="BY14" s="89">
        <v>-2192.4</v>
      </c>
      <c r="BZ14" s="112">
        <v>-4.3191489361702153</v>
      </c>
      <c r="CK14" s="88">
        <v>0</v>
      </c>
    </row>
    <row r="15" spans="1:89" x14ac:dyDescent="0.15">
      <c r="A15" s="84">
        <v>2</v>
      </c>
      <c r="B15" s="85">
        <v>43409</v>
      </c>
      <c r="C15" s="85">
        <v>43420</v>
      </c>
      <c r="D15" s="85">
        <v>43440</v>
      </c>
      <c r="F15" s="85">
        <v>43427</v>
      </c>
      <c r="G15" s="85">
        <v>43423</v>
      </c>
      <c r="H15" s="85">
        <v>43423</v>
      </c>
      <c r="I15" s="84" t="s">
        <v>401</v>
      </c>
      <c r="J15" s="84">
        <v>1</v>
      </c>
      <c r="L15" s="84">
        <v>0</v>
      </c>
      <c r="M15" s="85">
        <v>43376</v>
      </c>
      <c r="N15" s="85" t="s">
        <v>265</v>
      </c>
      <c r="O15" s="86" t="s">
        <v>340</v>
      </c>
      <c r="P15" s="84" t="s">
        <v>26</v>
      </c>
      <c r="Q15" s="86" t="s">
        <v>107</v>
      </c>
      <c r="R15" s="86" t="s">
        <v>346</v>
      </c>
      <c r="S15" s="87" t="s">
        <v>347</v>
      </c>
      <c r="T15" s="87" t="s">
        <v>348</v>
      </c>
      <c r="U15" s="88">
        <v>975400</v>
      </c>
      <c r="V15" s="88">
        <v>1053432</v>
      </c>
      <c r="W15" s="88">
        <v>972400</v>
      </c>
      <c r="X15" s="88">
        <v>1050192</v>
      </c>
      <c r="Y15" s="88">
        <v>3000</v>
      </c>
      <c r="Z15" s="88">
        <v>3240</v>
      </c>
      <c r="AA15" s="85">
        <v>43411</v>
      </c>
      <c r="AB15" s="85">
        <v>43420</v>
      </c>
      <c r="AC15" s="85">
        <v>43420</v>
      </c>
      <c r="AD15" s="84">
        <v>0</v>
      </c>
      <c r="AG15" s="84">
        <v>0</v>
      </c>
      <c r="AJ15" s="84">
        <v>0</v>
      </c>
      <c r="AM15" s="84" t="s">
        <v>290</v>
      </c>
      <c r="AN15" s="84" t="s">
        <v>349</v>
      </c>
      <c r="AR15" s="85">
        <v>43399</v>
      </c>
      <c r="AS15" s="84">
        <v>6001612732</v>
      </c>
      <c r="AT15" s="85">
        <v>43399</v>
      </c>
      <c r="AU15" s="84" t="s">
        <v>632</v>
      </c>
      <c r="AV15" s="85">
        <v>43420</v>
      </c>
      <c r="AW15" s="123">
        <v>43434</v>
      </c>
      <c r="AX15" s="123">
        <v>43454</v>
      </c>
      <c r="AY15" s="132">
        <v>936384</v>
      </c>
      <c r="AZ15" s="132">
        <f>ROUNDDOWN(AY15+(AY15*MASTER!$A$2/100),0)</f>
        <v>1011294</v>
      </c>
      <c r="BA15" s="84" t="s">
        <v>400</v>
      </c>
      <c r="BB15" s="88">
        <v>287760</v>
      </c>
      <c r="BC15" s="88">
        <v>310780.79999999999</v>
      </c>
      <c r="BD15" s="84" t="s">
        <v>189</v>
      </c>
      <c r="BG15" s="88">
        <v>0</v>
      </c>
      <c r="BI15" s="84" t="s">
        <v>434</v>
      </c>
      <c r="BJ15" s="88">
        <v>1950</v>
      </c>
      <c r="BK15" s="88">
        <v>2106</v>
      </c>
      <c r="BL15" s="84" t="s">
        <v>189</v>
      </c>
      <c r="BS15" s="88">
        <v>0</v>
      </c>
      <c r="BV15" s="89">
        <v>1050192</v>
      </c>
      <c r="BW15" s="89">
        <v>312886.8</v>
      </c>
      <c r="BX15" s="89">
        <v>43376</v>
      </c>
      <c r="BY15" s="89">
        <v>737305.2</v>
      </c>
      <c r="BZ15" s="112">
        <v>70.206705059646239</v>
      </c>
      <c r="CK15" s="88">
        <v>31500</v>
      </c>
    </row>
    <row r="16" spans="1:89" x14ac:dyDescent="0.15">
      <c r="A16" s="84">
        <v>1</v>
      </c>
      <c r="B16" s="85">
        <v>43377</v>
      </c>
      <c r="C16" s="85">
        <v>43385</v>
      </c>
      <c r="F16" s="85" t="s">
        <v>338</v>
      </c>
      <c r="H16" s="85" t="s">
        <v>338</v>
      </c>
      <c r="J16" s="84">
        <v>2</v>
      </c>
      <c r="L16" s="84">
        <v>0</v>
      </c>
      <c r="M16" s="85">
        <v>43376</v>
      </c>
      <c r="N16" s="85" t="s">
        <v>265</v>
      </c>
      <c r="O16" s="86" t="s">
        <v>340</v>
      </c>
      <c r="P16" s="84" t="s">
        <v>26</v>
      </c>
      <c r="Q16" s="86" t="s">
        <v>107</v>
      </c>
      <c r="R16" s="86" t="s">
        <v>350</v>
      </c>
      <c r="S16" s="87" t="s">
        <v>351</v>
      </c>
      <c r="T16" s="87" t="s">
        <v>352</v>
      </c>
      <c r="U16" s="88">
        <v>21000</v>
      </c>
      <c r="V16" s="88">
        <v>22680</v>
      </c>
      <c r="W16" s="88">
        <v>21000</v>
      </c>
      <c r="X16" s="88">
        <v>22680</v>
      </c>
      <c r="Z16" s="88">
        <v>0</v>
      </c>
      <c r="AD16" s="84">
        <v>0</v>
      </c>
      <c r="AG16" s="84">
        <v>0</v>
      </c>
      <c r="AJ16" s="84">
        <v>0</v>
      </c>
      <c r="AR16" s="85">
        <v>43376</v>
      </c>
      <c r="AS16" s="84">
        <v>6001603782</v>
      </c>
      <c r="AT16" s="85">
        <v>43376</v>
      </c>
      <c r="AU16" s="84" t="s">
        <v>373</v>
      </c>
      <c r="AV16" s="85">
        <v>43385</v>
      </c>
      <c r="AW16" s="123">
        <v>43404</v>
      </c>
      <c r="AX16" s="123">
        <v>43424</v>
      </c>
      <c r="AY16" s="140">
        <v>21000</v>
      </c>
      <c r="AZ16" s="132">
        <f>ROUNDDOWN(AY16+(AY16*MASTER!$A$2/100),0)</f>
        <v>22680</v>
      </c>
      <c r="BC16" s="88">
        <v>0</v>
      </c>
      <c r="BG16" s="88">
        <v>0</v>
      </c>
      <c r="BK16" s="88">
        <v>0</v>
      </c>
      <c r="BS16" s="88">
        <v>0</v>
      </c>
      <c r="BV16" s="89">
        <v>22680</v>
      </c>
      <c r="BW16" s="89">
        <v>0</v>
      </c>
      <c r="BX16" s="89">
        <v>43376</v>
      </c>
      <c r="BY16" s="89">
        <v>22680</v>
      </c>
      <c r="BZ16" s="112">
        <v>100</v>
      </c>
      <c r="CK16" s="88">
        <v>0</v>
      </c>
    </row>
    <row r="17" spans="1:89" x14ac:dyDescent="0.15">
      <c r="A17" s="84">
        <v>1</v>
      </c>
      <c r="B17" s="85">
        <v>43377</v>
      </c>
      <c r="C17" s="85">
        <v>43385</v>
      </c>
      <c r="F17" s="85" t="s">
        <v>338</v>
      </c>
      <c r="H17" s="85" t="s">
        <v>338</v>
      </c>
      <c r="J17" s="84">
        <v>2</v>
      </c>
      <c r="L17" s="84">
        <v>0</v>
      </c>
      <c r="M17" s="85">
        <v>43376</v>
      </c>
      <c r="N17" s="85" t="s">
        <v>265</v>
      </c>
      <c r="O17" s="86" t="s">
        <v>340</v>
      </c>
      <c r="P17" s="84" t="s">
        <v>26</v>
      </c>
      <c r="Q17" s="86" t="s">
        <v>107</v>
      </c>
      <c r="R17" s="86" t="s">
        <v>353</v>
      </c>
      <c r="S17" s="87" t="s">
        <v>351</v>
      </c>
      <c r="T17" s="87" t="s">
        <v>352</v>
      </c>
      <c r="U17" s="88">
        <v>21000</v>
      </c>
      <c r="V17" s="88">
        <v>22680</v>
      </c>
      <c r="W17" s="88">
        <v>21000</v>
      </c>
      <c r="X17" s="88">
        <v>22680</v>
      </c>
      <c r="Z17" s="88">
        <v>0</v>
      </c>
      <c r="AD17" s="84">
        <v>0</v>
      </c>
      <c r="AG17" s="84">
        <v>0</v>
      </c>
      <c r="AJ17" s="84">
        <v>0</v>
      </c>
      <c r="AR17" s="85">
        <v>43376</v>
      </c>
      <c r="AS17" s="84">
        <v>6001603782</v>
      </c>
      <c r="AT17" s="85">
        <v>43376</v>
      </c>
      <c r="AU17" s="84" t="s">
        <v>373</v>
      </c>
      <c r="AV17" s="85">
        <v>43385</v>
      </c>
      <c r="AW17" s="123">
        <v>43404</v>
      </c>
      <c r="AX17" s="123">
        <v>43424</v>
      </c>
      <c r="AY17" s="140">
        <v>21000</v>
      </c>
      <c r="AZ17" s="132">
        <f>ROUNDDOWN(AY17+(AY17*MASTER!$A$2/100),0)</f>
        <v>22680</v>
      </c>
      <c r="BC17" s="88">
        <v>0</v>
      </c>
      <c r="BG17" s="88">
        <v>0</v>
      </c>
      <c r="BK17" s="88">
        <v>0</v>
      </c>
      <c r="BS17" s="88">
        <v>0</v>
      </c>
      <c r="BV17" s="89">
        <v>22680</v>
      </c>
      <c r="BW17" s="89">
        <v>0</v>
      </c>
      <c r="BX17" s="89">
        <v>43376</v>
      </c>
      <c r="BY17" s="89">
        <v>22680</v>
      </c>
      <c r="BZ17" s="112">
        <v>100</v>
      </c>
      <c r="CK17" s="88">
        <v>0</v>
      </c>
    </row>
    <row r="18" spans="1:89" x14ac:dyDescent="0.15">
      <c r="A18" s="84">
        <v>1</v>
      </c>
      <c r="B18" s="85">
        <v>43377</v>
      </c>
      <c r="C18" s="85">
        <v>43385</v>
      </c>
      <c r="F18" s="85" t="s">
        <v>338</v>
      </c>
      <c r="H18" s="85" t="s">
        <v>338</v>
      </c>
      <c r="J18" s="84">
        <v>2</v>
      </c>
      <c r="L18" s="84">
        <v>0</v>
      </c>
      <c r="M18" s="85">
        <v>43376</v>
      </c>
      <c r="N18" s="85" t="s">
        <v>265</v>
      </c>
      <c r="O18" s="86" t="s">
        <v>340</v>
      </c>
      <c r="P18" s="84" t="s">
        <v>26</v>
      </c>
      <c r="Q18" s="86" t="s">
        <v>107</v>
      </c>
      <c r="R18" s="86" t="s">
        <v>354</v>
      </c>
      <c r="S18" s="87" t="s">
        <v>351</v>
      </c>
      <c r="T18" s="87" t="s">
        <v>352</v>
      </c>
      <c r="U18" s="88">
        <v>63000</v>
      </c>
      <c r="V18" s="88">
        <v>68040</v>
      </c>
      <c r="W18" s="88">
        <v>63000</v>
      </c>
      <c r="X18" s="88">
        <v>68040</v>
      </c>
      <c r="Z18" s="88">
        <v>0</v>
      </c>
      <c r="AD18" s="84">
        <v>0</v>
      </c>
      <c r="AG18" s="84">
        <v>0</v>
      </c>
      <c r="AJ18" s="84">
        <v>0</v>
      </c>
      <c r="AR18" s="85">
        <v>43376</v>
      </c>
      <c r="AS18" s="84">
        <v>6001603782</v>
      </c>
      <c r="AT18" s="85">
        <v>43376</v>
      </c>
      <c r="AU18" s="84" t="s">
        <v>373</v>
      </c>
      <c r="AV18" s="85">
        <v>43385</v>
      </c>
      <c r="AW18" s="123">
        <v>43404</v>
      </c>
      <c r="AX18" s="123">
        <v>43424</v>
      </c>
      <c r="AY18" s="140">
        <v>63000</v>
      </c>
      <c r="AZ18" s="132">
        <f>ROUNDDOWN(AY18+(AY18*MASTER!$A$2/100),0)</f>
        <v>68040</v>
      </c>
      <c r="BC18" s="88">
        <v>0</v>
      </c>
      <c r="BG18" s="88">
        <v>0</v>
      </c>
      <c r="BK18" s="88">
        <v>0</v>
      </c>
      <c r="BS18" s="88">
        <v>0</v>
      </c>
      <c r="BV18" s="89">
        <v>68040</v>
      </c>
      <c r="BW18" s="89">
        <v>0</v>
      </c>
      <c r="BX18" s="89">
        <v>43376</v>
      </c>
      <c r="BY18" s="89">
        <v>68040</v>
      </c>
      <c r="BZ18" s="112">
        <v>100</v>
      </c>
      <c r="CK18" s="88">
        <v>0</v>
      </c>
    </row>
    <row r="19" spans="1:89" x14ac:dyDescent="0.15">
      <c r="A19" s="84">
        <v>1</v>
      </c>
      <c r="B19" s="85">
        <v>43377</v>
      </c>
      <c r="C19" s="85">
        <v>43385</v>
      </c>
      <c r="F19" s="85" t="s">
        <v>338</v>
      </c>
      <c r="H19" s="85" t="s">
        <v>338</v>
      </c>
      <c r="J19" s="84">
        <v>2</v>
      </c>
      <c r="L19" s="84">
        <v>0</v>
      </c>
      <c r="M19" s="85">
        <v>43376</v>
      </c>
      <c r="N19" s="85" t="s">
        <v>265</v>
      </c>
      <c r="O19" s="86" t="s">
        <v>340</v>
      </c>
      <c r="P19" s="84" t="s">
        <v>26</v>
      </c>
      <c r="Q19" s="86" t="s">
        <v>107</v>
      </c>
      <c r="R19" s="86" t="s">
        <v>355</v>
      </c>
      <c r="S19" s="87" t="s">
        <v>351</v>
      </c>
      <c r="T19" s="87" t="s">
        <v>352</v>
      </c>
      <c r="U19" s="88">
        <v>21000</v>
      </c>
      <c r="V19" s="88">
        <v>22680</v>
      </c>
      <c r="W19" s="88">
        <v>21000</v>
      </c>
      <c r="X19" s="88">
        <v>22680</v>
      </c>
      <c r="Z19" s="88">
        <v>0</v>
      </c>
      <c r="AD19" s="84">
        <v>0</v>
      </c>
      <c r="AG19" s="84">
        <v>0</v>
      </c>
      <c r="AJ19" s="84">
        <v>0</v>
      </c>
      <c r="AR19" s="85">
        <v>43376</v>
      </c>
      <c r="AS19" s="84">
        <v>6001603782</v>
      </c>
      <c r="AT19" s="85">
        <v>43376</v>
      </c>
      <c r="AU19" s="84" t="s">
        <v>373</v>
      </c>
      <c r="AV19" s="85">
        <v>43385</v>
      </c>
      <c r="AW19" s="123">
        <v>43404</v>
      </c>
      <c r="AX19" s="123">
        <v>43424</v>
      </c>
      <c r="AY19" s="140">
        <v>21000</v>
      </c>
      <c r="AZ19" s="132">
        <f>ROUNDDOWN(AY19+(AY19*MASTER!$A$2/100),0)</f>
        <v>22680</v>
      </c>
      <c r="BC19" s="88">
        <v>0</v>
      </c>
      <c r="BG19" s="88">
        <v>0</v>
      </c>
      <c r="BK19" s="88">
        <v>0</v>
      </c>
      <c r="BS19" s="88">
        <v>0</v>
      </c>
      <c r="BV19" s="89">
        <v>22680</v>
      </c>
      <c r="BW19" s="89">
        <v>0</v>
      </c>
      <c r="BX19" s="89">
        <v>43376</v>
      </c>
      <c r="BY19" s="89">
        <v>22680</v>
      </c>
      <c r="BZ19" s="112">
        <v>100</v>
      </c>
      <c r="CK19" s="88">
        <v>0</v>
      </c>
    </row>
    <row r="20" spans="1:89" x14ac:dyDescent="0.15">
      <c r="A20" s="84">
        <v>1</v>
      </c>
      <c r="B20" s="85">
        <v>43377</v>
      </c>
      <c r="C20" s="85">
        <v>43385</v>
      </c>
      <c r="F20" s="85" t="s">
        <v>338</v>
      </c>
      <c r="H20" s="85" t="s">
        <v>338</v>
      </c>
      <c r="J20" s="84">
        <v>2</v>
      </c>
      <c r="L20" s="84">
        <v>0</v>
      </c>
      <c r="M20" s="85">
        <v>43376</v>
      </c>
      <c r="N20" s="85" t="s">
        <v>265</v>
      </c>
      <c r="O20" s="86" t="s">
        <v>340</v>
      </c>
      <c r="P20" s="84" t="s">
        <v>26</v>
      </c>
      <c r="Q20" s="86" t="s">
        <v>107</v>
      </c>
      <c r="R20" s="86" t="s">
        <v>356</v>
      </c>
      <c r="S20" s="87" t="s">
        <v>351</v>
      </c>
      <c r="T20" s="87" t="s">
        <v>352</v>
      </c>
      <c r="U20" s="88">
        <v>21000</v>
      </c>
      <c r="V20" s="88">
        <v>22680</v>
      </c>
      <c r="W20" s="88">
        <v>21000</v>
      </c>
      <c r="X20" s="88">
        <v>22680</v>
      </c>
      <c r="Z20" s="88">
        <v>0</v>
      </c>
      <c r="AD20" s="84">
        <v>0</v>
      </c>
      <c r="AG20" s="84">
        <v>0</v>
      </c>
      <c r="AJ20" s="84">
        <v>0</v>
      </c>
      <c r="AR20" s="85">
        <v>43376</v>
      </c>
      <c r="AS20" s="84">
        <v>6001603782</v>
      </c>
      <c r="AT20" s="85">
        <v>43376</v>
      </c>
      <c r="AU20" s="84" t="s">
        <v>373</v>
      </c>
      <c r="AV20" s="85">
        <v>43385</v>
      </c>
      <c r="AW20" s="123">
        <v>43404</v>
      </c>
      <c r="AX20" s="123">
        <v>43424</v>
      </c>
      <c r="AY20" s="140">
        <v>21000</v>
      </c>
      <c r="AZ20" s="132">
        <f>ROUNDDOWN(AY20+(AY20*MASTER!$A$2/100),0)</f>
        <v>22680</v>
      </c>
      <c r="BC20" s="88">
        <v>0</v>
      </c>
      <c r="BG20" s="88">
        <v>0</v>
      </c>
      <c r="BK20" s="88">
        <v>0</v>
      </c>
      <c r="BS20" s="88">
        <v>0</v>
      </c>
      <c r="BV20" s="89">
        <v>22680</v>
      </c>
      <c r="BW20" s="89">
        <v>0</v>
      </c>
      <c r="BX20" s="89">
        <v>43376</v>
      </c>
      <c r="BY20" s="89">
        <v>22680</v>
      </c>
      <c r="BZ20" s="112">
        <v>100</v>
      </c>
      <c r="CK20" s="88">
        <v>0</v>
      </c>
    </row>
    <row r="21" spans="1:89" x14ac:dyDescent="0.15">
      <c r="A21" s="84">
        <v>1</v>
      </c>
      <c r="B21" s="85">
        <v>43377</v>
      </c>
      <c r="C21" s="85">
        <v>43385</v>
      </c>
      <c r="F21" s="85" t="s">
        <v>338</v>
      </c>
      <c r="H21" s="85" t="s">
        <v>338</v>
      </c>
      <c r="J21" s="84">
        <v>2</v>
      </c>
      <c r="L21" s="84">
        <v>0</v>
      </c>
      <c r="M21" s="85">
        <v>43376</v>
      </c>
      <c r="N21" s="85" t="s">
        <v>265</v>
      </c>
      <c r="O21" s="86" t="s">
        <v>340</v>
      </c>
      <c r="P21" s="84" t="s">
        <v>26</v>
      </c>
      <c r="Q21" s="86" t="s">
        <v>107</v>
      </c>
      <c r="R21" s="86" t="s">
        <v>357</v>
      </c>
      <c r="S21" s="87" t="s">
        <v>351</v>
      </c>
      <c r="T21" s="87" t="s">
        <v>352</v>
      </c>
      <c r="U21" s="88">
        <v>21000</v>
      </c>
      <c r="V21" s="88">
        <v>22680</v>
      </c>
      <c r="W21" s="88">
        <v>21000</v>
      </c>
      <c r="X21" s="88">
        <v>22680</v>
      </c>
      <c r="Z21" s="88">
        <v>0</v>
      </c>
      <c r="AD21" s="84">
        <v>0</v>
      </c>
      <c r="AG21" s="84">
        <v>0</v>
      </c>
      <c r="AJ21" s="84">
        <v>0</v>
      </c>
      <c r="AR21" s="85">
        <v>43376</v>
      </c>
      <c r="AS21" s="84">
        <v>6001603782</v>
      </c>
      <c r="AT21" s="85">
        <v>43376</v>
      </c>
      <c r="AU21" s="84" t="s">
        <v>373</v>
      </c>
      <c r="AV21" s="85">
        <v>43385</v>
      </c>
      <c r="AW21" s="123">
        <v>43404</v>
      </c>
      <c r="AX21" s="123">
        <v>43424</v>
      </c>
      <c r="AY21" s="140">
        <v>21000</v>
      </c>
      <c r="AZ21" s="132">
        <f>ROUNDDOWN(AY21+(AY21*MASTER!$A$2/100),0)</f>
        <v>22680</v>
      </c>
      <c r="BC21" s="88">
        <v>0</v>
      </c>
      <c r="BG21" s="88">
        <v>0</v>
      </c>
      <c r="BK21" s="88">
        <v>0</v>
      </c>
      <c r="BS21" s="88">
        <v>0</v>
      </c>
      <c r="BV21" s="89">
        <v>22680</v>
      </c>
      <c r="BW21" s="89">
        <v>0</v>
      </c>
      <c r="BX21" s="89">
        <v>43376</v>
      </c>
      <c r="BY21" s="89">
        <v>22680</v>
      </c>
      <c r="BZ21" s="112">
        <v>100</v>
      </c>
      <c r="CK21" s="88">
        <v>0</v>
      </c>
    </row>
    <row r="22" spans="1:89" x14ac:dyDescent="0.15">
      <c r="A22" s="84">
        <v>1</v>
      </c>
      <c r="B22" s="85">
        <v>43377</v>
      </c>
      <c r="C22" s="85">
        <v>43385</v>
      </c>
      <c r="F22" s="85" t="s">
        <v>338</v>
      </c>
      <c r="H22" s="85" t="s">
        <v>338</v>
      </c>
      <c r="J22" s="84">
        <v>2</v>
      </c>
      <c r="L22" s="84">
        <v>0</v>
      </c>
      <c r="M22" s="85">
        <v>43376</v>
      </c>
      <c r="N22" s="85" t="s">
        <v>265</v>
      </c>
      <c r="O22" s="86" t="s">
        <v>340</v>
      </c>
      <c r="P22" s="84" t="s">
        <v>26</v>
      </c>
      <c r="Q22" s="86" t="s">
        <v>107</v>
      </c>
      <c r="R22" s="86" t="s">
        <v>358</v>
      </c>
      <c r="S22" s="87" t="s">
        <v>351</v>
      </c>
      <c r="T22" s="87" t="s">
        <v>352</v>
      </c>
      <c r="U22" s="88">
        <v>42000</v>
      </c>
      <c r="V22" s="88">
        <v>45360</v>
      </c>
      <c r="W22" s="88">
        <v>42000</v>
      </c>
      <c r="X22" s="88">
        <v>45360</v>
      </c>
      <c r="Z22" s="88">
        <v>0</v>
      </c>
      <c r="AD22" s="84">
        <v>0</v>
      </c>
      <c r="AG22" s="84">
        <v>0</v>
      </c>
      <c r="AJ22" s="84">
        <v>0</v>
      </c>
      <c r="AR22" s="85">
        <v>43376</v>
      </c>
      <c r="AS22" s="84">
        <v>6001603782</v>
      </c>
      <c r="AT22" s="85">
        <v>43376</v>
      </c>
      <c r="AU22" s="84" t="s">
        <v>373</v>
      </c>
      <c r="AV22" s="85">
        <v>43385</v>
      </c>
      <c r="AW22" s="123">
        <v>43404</v>
      </c>
      <c r="AX22" s="123">
        <v>43424</v>
      </c>
      <c r="AY22" s="140">
        <v>42000</v>
      </c>
      <c r="AZ22" s="132">
        <f>ROUNDDOWN(AY22+(AY22*MASTER!$A$2/100),0)</f>
        <v>45360</v>
      </c>
      <c r="BC22" s="88">
        <v>0</v>
      </c>
      <c r="BG22" s="88">
        <v>0</v>
      </c>
      <c r="BK22" s="88">
        <v>0</v>
      </c>
      <c r="BS22" s="88">
        <v>0</v>
      </c>
      <c r="BV22" s="89">
        <v>45360</v>
      </c>
      <c r="BW22" s="89">
        <v>0</v>
      </c>
      <c r="BX22" s="89">
        <v>43376</v>
      </c>
      <c r="BY22" s="89">
        <v>45360</v>
      </c>
      <c r="BZ22" s="112">
        <v>100</v>
      </c>
      <c r="CK22" s="88">
        <v>0</v>
      </c>
    </row>
    <row r="23" spans="1:89" x14ac:dyDescent="0.15">
      <c r="A23" s="84">
        <v>1</v>
      </c>
      <c r="B23" s="85">
        <v>43377</v>
      </c>
      <c r="C23" s="85">
        <v>43385</v>
      </c>
      <c r="F23" s="85" t="s">
        <v>338</v>
      </c>
      <c r="H23" s="85" t="s">
        <v>338</v>
      </c>
      <c r="J23" s="84">
        <v>2</v>
      </c>
      <c r="L23" s="84">
        <v>0</v>
      </c>
      <c r="M23" s="85">
        <v>43376</v>
      </c>
      <c r="N23" s="85" t="s">
        <v>265</v>
      </c>
      <c r="O23" s="86" t="s">
        <v>340</v>
      </c>
      <c r="P23" s="84" t="s">
        <v>26</v>
      </c>
      <c r="Q23" s="86" t="s">
        <v>107</v>
      </c>
      <c r="R23" s="86" t="s">
        <v>359</v>
      </c>
      <c r="S23" s="87" t="s">
        <v>351</v>
      </c>
      <c r="T23" s="87" t="s">
        <v>352</v>
      </c>
      <c r="U23" s="88">
        <v>21000</v>
      </c>
      <c r="V23" s="88">
        <v>22680</v>
      </c>
      <c r="W23" s="88">
        <v>21000</v>
      </c>
      <c r="X23" s="88">
        <v>22680</v>
      </c>
      <c r="Z23" s="88">
        <v>0</v>
      </c>
      <c r="AD23" s="84">
        <v>0</v>
      </c>
      <c r="AG23" s="84">
        <v>0</v>
      </c>
      <c r="AJ23" s="84">
        <v>0</v>
      </c>
      <c r="AR23" s="85">
        <v>43376</v>
      </c>
      <c r="AS23" s="84">
        <v>6001603782</v>
      </c>
      <c r="AT23" s="85">
        <v>43376</v>
      </c>
      <c r="AU23" s="84" t="s">
        <v>373</v>
      </c>
      <c r="AV23" s="85">
        <v>43385</v>
      </c>
      <c r="AW23" s="123">
        <v>43404</v>
      </c>
      <c r="AX23" s="123">
        <v>43424</v>
      </c>
      <c r="AY23" s="140">
        <v>21000</v>
      </c>
      <c r="AZ23" s="132">
        <f>ROUNDDOWN(AY23+(AY23*MASTER!$A$2/100),0)</f>
        <v>22680</v>
      </c>
      <c r="BC23" s="88">
        <v>0</v>
      </c>
      <c r="BG23" s="88">
        <v>0</v>
      </c>
      <c r="BK23" s="88">
        <v>0</v>
      </c>
      <c r="BS23" s="88">
        <v>0</v>
      </c>
      <c r="BV23" s="89">
        <v>22680</v>
      </c>
      <c r="BW23" s="89">
        <v>0</v>
      </c>
      <c r="BX23" s="89">
        <v>43376</v>
      </c>
      <c r="BY23" s="89">
        <v>22680</v>
      </c>
      <c r="BZ23" s="112">
        <v>100</v>
      </c>
      <c r="CK23" s="88">
        <v>0</v>
      </c>
    </row>
    <row r="24" spans="1:89" x14ac:dyDescent="0.15">
      <c r="A24" s="84">
        <v>1</v>
      </c>
      <c r="B24" s="85">
        <v>43377</v>
      </c>
      <c r="C24" s="85">
        <v>43385</v>
      </c>
      <c r="F24" s="85" t="s">
        <v>338</v>
      </c>
      <c r="H24" s="85" t="s">
        <v>338</v>
      </c>
      <c r="J24" s="84">
        <v>2</v>
      </c>
      <c r="L24" s="84">
        <v>0</v>
      </c>
      <c r="M24" s="85">
        <v>43376</v>
      </c>
      <c r="N24" s="85" t="s">
        <v>265</v>
      </c>
      <c r="O24" s="86" t="s">
        <v>340</v>
      </c>
      <c r="P24" s="84" t="s">
        <v>26</v>
      </c>
      <c r="Q24" s="86" t="s">
        <v>107</v>
      </c>
      <c r="R24" s="86" t="s">
        <v>360</v>
      </c>
      <c r="S24" s="87" t="s">
        <v>351</v>
      </c>
      <c r="T24" s="87" t="s">
        <v>352</v>
      </c>
      <c r="U24" s="88">
        <v>42000</v>
      </c>
      <c r="V24" s="88">
        <v>45360</v>
      </c>
      <c r="W24" s="88">
        <v>42000</v>
      </c>
      <c r="X24" s="88">
        <v>45360</v>
      </c>
      <c r="Z24" s="88">
        <v>0</v>
      </c>
      <c r="AD24" s="84">
        <v>0</v>
      </c>
      <c r="AG24" s="84">
        <v>0</v>
      </c>
      <c r="AJ24" s="84">
        <v>0</v>
      </c>
      <c r="AR24" s="85">
        <v>43376</v>
      </c>
      <c r="AS24" s="84">
        <v>6001603782</v>
      </c>
      <c r="AT24" s="85">
        <v>43376</v>
      </c>
      <c r="AU24" s="84" t="s">
        <v>373</v>
      </c>
      <c r="AV24" s="85">
        <v>43385</v>
      </c>
      <c r="AW24" s="123">
        <v>43404</v>
      </c>
      <c r="AX24" s="123">
        <v>43424</v>
      </c>
      <c r="AY24" s="140">
        <v>42000</v>
      </c>
      <c r="AZ24" s="132">
        <f>ROUNDDOWN(AY24+(AY24*MASTER!$A$2/100),0)</f>
        <v>45360</v>
      </c>
      <c r="BC24" s="88">
        <v>0</v>
      </c>
      <c r="BG24" s="88">
        <v>0</v>
      </c>
      <c r="BK24" s="88">
        <v>0</v>
      </c>
      <c r="BS24" s="88">
        <v>0</v>
      </c>
      <c r="BV24" s="89">
        <v>45360</v>
      </c>
      <c r="BW24" s="89">
        <v>0</v>
      </c>
      <c r="BX24" s="89">
        <v>43376</v>
      </c>
      <c r="BY24" s="89">
        <v>45360</v>
      </c>
      <c r="BZ24" s="112">
        <v>100</v>
      </c>
      <c r="CK24" s="88">
        <v>0</v>
      </c>
    </row>
    <row r="25" spans="1:89" x14ac:dyDescent="0.15">
      <c r="A25" s="84">
        <v>1</v>
      </c>
      <c r="B25" s="85">
        <v>43377</v>
      </c>
      <c r="C25" s="85">
        <v>43385</v>
      </c>
      <c r="F25" s="85" t="s">
        <v>338</v>
      </c>
      <c r="H25" s="85" t="s">
        <v>338</v>
      </c>
      <c r="J25" s="84">
        <v>2</v>
      </c>
      <c r="L25" s="84">
        <v>0</v>
      </c>
      <c r="M25" s="85">
        <v>43376</v>
      </c>
      <c r="N25" s="85" t="s">
        <v>265</v>
      </c>
      <c r="O25" s="86" t="s">
        <v>340</v>
      </c>
      <c r="P25" s="84" t="s">
        <v>26</v>
      </c>
      <c r="Q25" s="86" t="s">
        <v>107</v>
      </c>
      <c r="R25" s="86" t="s">
        <v>361</v>
      </c>
      <c r="S25" s="87" t="s">
        <v>351</v>
      </c>
      <c r="T25" s="87" t="s">
        <v>352</v>
      </c>
      <c r="U25" s="88">
        <v>21000</v>
      </c>
      <c r="V25" s="88">
        <v>22680</v>
      </c>
      <c r="W25" s="88">
        <v>21000</v>
      </c>
      <c r="X25" s="88">
        <v>22680</v>
      </c>
      <c r="Z25" s="88">
        <v>0</v>
      </c>
      <c r="AD25" s="84">
        <v>0</v>
      </c>
      <c r="AG25" s="84">
        <v>0</v>
      </c>
      <c r="AJ25" s="84">
        <v>0</v>
      </c>
      <c r="AR25" s="85">
        <v>43376</v>
      </c>
      <c r="AS25" s="84">
        <v>6001603782</v>
      </c>
      <c r="AT25" s="85">
        <v>43376</v>
      </c>
      <c r="AU25" s="84" t="s">
        <v>373</v>
      </c>
      <c r="AV25" s="85">
        <v>43385</v>
      </c>
      <c r="AW25" s="123">
        <v>43404</v>
      </c>
      <c r="AX25" s="123">
        <v>43424</v>
      </c>
      <c r="AY25" s="140">
        <v>21000</v>
      </c>
      <c r="AZ25" s="132">
        <f>ROUNDDOWN(AY25+(AY25*MASTER!$A$2/100),0)</f>
        <v>22680</v>
      </c>
      <c r="BC25" s="88">
        <v>0</v>
      </c>
      <c r="BG25" s="88">
        <v>0</v>
      </c>
      <c r="BK25" s="88">
        <v>0</v>
      </c>
      <c r="BS25" s="88">
        <v>0</v>
      </c>
      <c r="BV25" s="89">
        <v>22680</v>
      </c>
      <c r="BW25" s="89">
        <v>0</v>
      </c>
      <c r="BX25" s="89">
        <v>43376</v>
      </c>
      <c r="BY25" s="89">
        <v>22680</v>
      </c>
      <c r="BZ25" s="112">
        <v>100</v>
      </c>
      <c r="CK25" s="88">
        <v>0</v>
      </c>
    </row>
    <row r="26" spans="1:89" x14ac:dyDescent="0.15">
      <c r="A26" s="84">
        <v>1</v>
      </c>
      <c r="B26" s="85">
        <v>43377</v>
      </c>
      <c r="C26" s="85">
        <v>43385</v>
      </c>
      <c r="F26" s="85" t="s">
        <v>338</v>
      </c>
      <c r="H26" s="85" t="s">
        <v>338</v>
      </c>
      <c r="J26" s="84">
        <v>2</v>
      </c>
      <c r="L26" s="84">
        <v>0</v>
      </c>
      <c r="M26" s="85">
        <v>43376</v>
      </c>
      <c r="N26" s="85" t="s">
        <v>265</v>
      </c>
      <c r="O26" s="86" t="s">
        <v>340</v>
      </c>
      <c r="P26" s="84" t="s">
        <v>26</v>
      </c>
      <c r="Q26" s="86" t="s">
        <v>107</v>
      </c>
      <c r="R26" s="86" t="s">
        <v>362</v>
      </c>
      <c r="S26" s="87" t="s">
        <v>351</v>
      </c>
      <c r="T26" s="87" t="s">
        <v>352</v>
      </c>
      <c r="U26" s="88">
        <v>21000</v>
      </c>
      <c r="V26" s="88">
        <v>22680</v>
      </c>
      <c r="W26" s="88">
        <v>21000</v>
      </c>
      <c r="X26" s="88">
        <v>22680</v>
      </c>
      <c r="Z26" s="88">
        <v>0</v>
      </c>
      <c r="AD26" s="84">
        <v>0</v>
      </c>
      <c r="AG26" s="84">
        <v>0</v>
      </c>
      <c r="AJ26" s="84">
        <v>0</v>
      </c>
      <c r="AR26" s="85">
        <v>43376</v>
      </c>
      <c r="AS26" s="84">
        <v>6001603782</v>
      </c>
      <c r="AT26" s="85">
        <v>43376</v>
      </c>
      <c r="AU26" s="84" t="s">
        <v>373</v>
      </c>
      <c r="AV26" s="85">
        <v>43385</v>
      </c>
      <c r="AW26" s="123">
        <v>43404</v>
      </c>
      <c r="AX26" s="123">
        <v>43424</v>
      </c>
      <c r="AY26" s="140">
        <v>21000</v>
      </c>
      <c r="AZ26" s="132">
        <f>ROUNDDOWN(AY26+(AY26*MASTER!$A$2/100),0)</f>
        <v>22680</v>
      </c>
      <c r="BC26" s="88">
        <v>0</v>
      </c>
      <c r="BG26" s="88">
        <v>0</v>
      </c>
      <c r="BK26" s="88">
        <v>0</v>
      </c>
      <c r="BS26" s="88">
        <v>0</v>
      </c>
      <c r="BV26" s="89">
        <v>22680</v>
      </c>
      <c r="BW26" s="89">
        <v>0</v>
      </c>
      <c r="BX26" s="89">
        <v>43376</v>
      </c>
      <c r="BY26" s="89">
        <v>22680</v>
      </c>
      <c r="BZ26" s="112">
        <v>100</v>
      </c>
      <c r="CK26" s="88">
        <v>0</v>
      </c>
    </row>
    <row r="27" spans="1:89" x14ac:dyDescent="0.15">
      <c r="A27" s="84">
        <v>1</v>
      </c>
      <c r="B27" s="85">
        <v>43377</v>
      </c>
      <c r="C27" s="85">
        <v>43385</v>
      </c>
      <c r="F27" s="85" t="s">
        <v>338</v>
      </c>
      <c r="H27" s="85" t="s">
        <v>338</v>
      </c>
      <c r="J27" s="84">
        <v>2</v>
      </c>
      <c r="L27" s="84">
        <v>0</v>
      </c>
      <c r="M27" s="85">
        <v>43376</v>
      </c>
      <c r="N27" s="85" t="s">
        <v>265</v>
      </c>
      <c r="O27" s="86" t="s">
        <v>340</v>
      </c>
      <c r="P27" s="84" t="s">
        <v>26</v>
      </c>
      <c r="Q27" s="86" t="s">
        <v>107</v>
      </c>
      <c r="R27" s="86" t="s">
        <v>363</v>
      </c>
      <c r="S27" s="87" t="s">
        <v>351</v>
      </c>
      <c r="T27" s="87" t="s">
        <v>352</v>
      </c>
      <c r="U27" s="88">
        <v>21000</v>
      </c>
      <c r="V27" s="88">
        <v>22680</v>
      </c>
      <c r="W27" s="88">
        <v>21000</v>
      </c>
      <c r="X27" s="88">
        <v>22680</v>
      </c>
      <c r="Z27" s="88">
        <v>0</v>
      </c>
      <c r="AD27" s="84">
        <v>0</v>
      </c>
      <c r="AG27" s="84">
        <v>0</v>
      </c>
      <c r="AJ27" s="84">
        <v>0</v>
      </c>
      <c r="AR27" s="85">
        <v>43376</v>
      </c>
      <c r="AS27" s="84">
        <v>6001603782</v>
      </c>
      <c r="AT27" s="85">
        <v>43376</v>
      </c>
      <c r="AU27" s="84" t="s">
        <v>373</v>
      </c>
      <c r="AV27" s="85">
        <v>43385</v>
      </c>
      <c r="AW27" s="123">
        <v>43404</v>
      </c>
      <c r="AX27" s="123">
        <v>43424</v>
      </c>
      <c r="AY27" s="140">
        <v>21000</v>
      </c>
      <c r="AZ27" s="132">
        <f>ROUNDDOWN(AY27+(AY27*MASTER!$A$2/100),0)</f>
        <v>22680</v>
      </c>
      <c r="BC27" s="88">
        <v>0</v>
      </c>
      <c r="BG27" s="88">
        <v>0</v>
      </c>
      <c r="BK27" s="88">
        <v>0</v>
      </c>
      <c r="BS27" s="88">
        <v>0</v>
      </c>
      <c r="BV27" s="89">
        <v>22680</v>
      </c>
      <c r="BW27" s="89">
        <v>0</v>
      </c>
      <c r="BX27" s="89">
        <v>43376</v>
      </c>
      <c r="BY27" s="89">
        <v>22680</v>
      </c>
      <c r="BZ27" s="112">
        <v>100</v>
      </c>
      <c r="CK27" s="88">
        <v>0</v>
      </c>
    </row>
    <row r="28" spans="1:89" x14ac:dyDescent="0.15">
      <c r="A28" s="84">
        <v>1</v>
      </c>
      <c r="B28" s="85">
        <v>43377</v>
      </c>
      <c r="C28" s="85">
        <v>43385</v>
      </c>
      <c r="F28" s="85" t="s">
        <v>338</v>
      </c>
      <c r="H28" s="85" t="s">
        <v>338</v>
      </c>
      <c r="J28" s="84">
        <v>2</v>
      </c>
      <c r="L28" s="84">
        <v>0</v>
      </c>
      <c r="M28" s="85">
        <v>43376</v>
      </c>
      <c r="N28" s="85" t="s">
        <v>265</v>
      </c>
      <c r="O28" s="86" t="s">
        <v>340</v>
      </c>
      <c r="P28" s="84" t="s">
        <v>26</v>
      </c>
      <c r="Q28" s="86" t="s">
        <v>107</v>
      </c>
      <c r="R28" s="86" t="s">
        <v>364</v>
      </c>
      <c r="S28" s="87" t="s">
        <v>351</v>
      </c>
      <c r="T28" s="87" t="s">
        <v>352</v>
      </c>
      <c r="U28" s="88">
        <v>21000</v>
      </c>
      <c r="V28" s="88">
        <v>22680</v>
      </c>
      <c r="W28" s="88">
        <v>21000</v>
      </c>
      <c r="X28" s="88">
        <v>22680</v>
      </c>
      <c r="Z28" s="88">
        <v>0</v>
      </c>
      <c r="AD28" s="84">
        <v>0</v>
      </c>
      <c r="AG28" s="84">
        <v>0</v>
      </c>
      <c r="AJ28" s="84">
        <v>0</v>
      </c>
      <c r="AR28" s="85">
        <v>43376</v>
      </c>
      <c r="AS28" s="84">
        <v>6001603782</v>
      </c>
      <c r="AT28" s="85">
        <v>43376</v>
      </c>
      <c r="AU28" s="84" t="s">
        <v>373</v>
      </c>
      <c r="AV28" s="85">
        <v>43385</v>
      </c>
      <c r="AW28" s="123">
        <v>43404</v>
      </c>
      <c r="AX28" s="123">
        <v>43424</v>
      </c>
      <c r="AY28" s="140">
        <v>21000</v>
      </c>
      <c r="AZ28" s="132">
        <f>ROUNDDOWN(AY28+(AY28*MASTER!$A$2/100),0)</f>
        <v>22680</v>
      </c>
      <c r="BC28" s="88">
        <v>0</v>
      </c>
      <c r="BG28" s="88">
        <v>0</v>
      </c>
      <c r="BK28" s="88">
        <v>0</v>
      </c>
      <c r="BS28" s="88">
        <v>0</v>
      </c>
      <c r="BV28" s="89">
        <v>22680</v>
      </c>
      <c r="BW28" s="89">
        <v>0</v>
      </c>
      <c r="BX28" s="89">
        <v>43376</v>
      </c>
      <c r="BY28" s="89">
        <v>22680</v>
      </c>
      <c r="BZ28" s="112">
        <v>100</v>
      </c>
      <c r="CK28" s="88">
        <v>0</v>
      </c>
    </row>
    <row r="29" spans="1:89" x14ac:dyDescent="0.15">
      <c r="A29" s="84">
        <v>1</v>
      </c>
      <c r="B29" s="85">
        <v>43377</v>
      </c>
      <c r="C29" s="85">
        <v>43385</v>
      </c>
      <c r="F29" s="85" t="s">
        <v>338</v>
      </c>
      <c r="H29" s="85" t="s">
        <v>338</v>
      </c>
      <c r="J29" s="84">
        <v>2</v>
      </c>
      <c r="L29" s="84">
        <v>0</v>
      </c>
      <c r="M29" s="85">
        <v>43376</v>
      </c>
      <c r="N29" s="85" t="s">
        <v>265</v>
      </c>
      <c r="O29" s="86" t="s">
        <v>340</v>
      </c>
      <c r="P29" s="84" t="s">
        <v>26</v>
      </c>
      <c r="Q29" s="86" t="s">
        <v>107</v>
      </c>
      <c r="R29" s="86" t="s">
        <v>365</v>
      </c>
      <c r="S29" s="87" t="s">
        <v>351</v>
      </c>
      <c r="T29" s="87" t="s">
        <v>352</v>
      </c>
      <c r="U29" s="88">
        <v>21000</v>
      </c>
      <c r="V29" s="88">
        <v>22680</v>
      </c>
      <c r="W29" s="88">
        <v>21000</v>
      </c>
      <c r="X29" s="88">
        <v>22680</v>
      </c>
      <c r="Z29" s="88">
        <v>0</v>
      </c>
      <c r="AD29" s="84">
        <v>0</v>
      </c>
      <c r="AG29" s="84">
        <v>0</v>
      </c>
      <c r="AJ29" s="84">
        <v>0</v>
      </c>
      <c r="AR29" s="85">
        <v>43376</v>
      </c>
      <c r="AS29" s="84">
        <v>6001603782</v>
      </c>
      <c r="AT29" s="85">
        <v>43376</v>
      </c>
      <c r="AU29" s="84" t="s">
        <v>373</v>
      </c>
      <c r="AV29" s="85">
        <v>43385</v>
      </c>
      <c r="AW29" s="123">
        <v>43404</v>
      </c>
      <c r="AX29" s="123">
        <v>43424</v>
      </c>
      <c r="AY29" s="140">
        <v>21000</v>
      </c>
      <c r="AZ29" s="132">
        <f>ROUNDDOWN(AY29+(AY29*MASTER!$A$2/100),0)</f>
        <v>22680</v>
      </c>
      <c r="BC29" s="88">
        <v>0</v>
      </c>
      <c r="BG29" s="88">
        <v>0</v>
      </c>
      <c r="BK29" s="88">
        <v>0</v>
      </c>
      <c r="BS29" s="88">
        <v>0</v>
      </c>
      <c r="BV29" s="89">
        <v>22680</v>
      </c>
      <c r="BW29" s="89">
        <v>0</v>
      </c>
      <c r="BX29" s="89">
        <v>43376</v>
      </c>
      <c r="BY29" s="89">
        <v>22680</v>
      </c>
      <c r="BZ29" s="112">
        <v>100</v>
      </c>
      <c r="CK29" s="88">
        <v>0</v>
      </c>
    </row>
    <row r="30" spans="1:89" x14ac:dyDescent="0.15">
      <c r="A30" s="84">
        <v>1</v>
      </c>
      <c r="B30" s="85">
        <v>43377</v>
      </c>
      <c r="C30" s="85">
        <v>43385</v>
      </c>
      <c r="F30" s="85" t="s">
        <v>338</v>
      </c>
      <c r="H30" s="85" t="s">
        <v>338</v>
      </c>
      <c r="J30" s="84">
        <v>2</v>
      </c>
      <c r="L30" s="84">
        <v>0</v>
      </c>
      <c r="M30" s="85">
        <v>43376</v>
      </c>
      <c r="N30" s="85" t="s">
        <v>265</v>
      </c>
      <c r="O30" s="86" t="s">
        <v>340</v>
      </c>
      <c r="P30" s="84" t="s">
        <v>26</v>
      </c>
      <c r="Q30" s="86" t="s">
        <v>107</v>
      </c>
      <c r="R30" s="86" t="s">
        <v>366</v>
      </c>
      <c r="S30" s="87" t="s">
        <v>351</v>
      </c>
      <c r="T30" s="87" t="s">
        <v>352</v>
      </c>
      <c r="U30" s="88">
        <v>21000</v>
      </c>
      <c r="V30" s="88">
        <v>22680</v>
      </c>
      <c r="W30" s="88">
        <v>21000</v>
      </c>
      <c r="X30" s="88">
        <v>22680</v>
      </c>
      <c r="Z30" s="88">
        <v>0</v>
      </c>
      <c r="AD30" s="84">
        <v>0</v>
      </c>
      <c r="AG30" s="84">
        <v>0</v>
      </c>
      <c r="AJ30" s="84">
        <v>0</v>
      </c>
      <c r="AR30" s="85">
        <v>43376</v>
      </c>
      <c r="AS30" s="84">
        <v>6001603782</v>
      </c>
      <c r="AT30" s="85">
        <v>43376</v>
      </c>
      <c r="AU30" s="84" t="s">
        <v>373</v>
      </c>
      <c r="AV30" s="85">
        <v>43385</v>
      </c>
      <c r="AW30" s="123">
        <v>43404</v>
      </c>
      <c r="AX30" s="123">
        <v>43424</v>
      </c>
      <c r="AY30" s="140">
        <v>21000</v>
      </c>
      <c r="AZ30" s="132">
        <f>ROUNDDOWN(AY30+(AY30*MASTER!$A$2/100),0)</f>
        <v>22680</v>
      </c>
      <c r="BC30" s="88">
        <v>0</v>
      </c>
      <c r="BG30" s="88">
        <v>0</v>
      </c>
      <c r="BK30" s="88">
        <v>0</v>
      </c>
      <c r="BS30" s="88">
        <v>0</v>
      </c>
      <c r="BV30" s="89">
        <v>22680</v>
      </c>
      <c r="BW30" s="89">
        <v>0</v>
      </c>
      <c r="BX30" s="89">
        <v>43376</v>
      </c>
      <c r="BY30" s="89">
        <v>22680</v>
      </c>
      <c r="BZ30" s="112">
        <v>100</v>
      </c>
      <c r="CK30" s="88">
        <v>0</v>
      </c>
    </row>
    <row r="31" spans="1:89" x14ac:dyDescent="0.15">
      <c r="A31" s="84">
        <v>1</v>
      </c>
      <c r="B31" s="85">
        <v>43377</v>
      </c>
      <c r="C31" s="85">
        <v>43385</v>
      </c>
      <c r="F31" s="85" t="s">
        <v>338</v>
      </c>
      <c r="H31" s="85" t="s">
        <v>338</v>
      </c>
      <c r="J31" s="84">
        <v>2</v>
      </c>
      <c r="L31" s="84">
        <v>0</v>
      </c>
      <c r="M31" s="85">
        <v>43376</v>
      </c>
      <c r="N31" s="85" t="s">
        <v>265</v>
      </c>
      <c r="O31" s="86" t="s">
        <v>340</v>
      </c>
      <c r="P31" s="84" t="s">
        <v>26</v>
      </c>
      <c r="Q31" s="86" t="s">
        <v>107</v>
      </c>
      <c r="R31" s="86" t="s">
        <v>367</v>
      </c>
      <c r="S31" s="87" t="s">
        <v>351</v>
      </c>
      <c r="T31" s="87" t="s">
        <v>352</v>
      </c>
      <c r="U31" s="88">
        <v>42000</v>
      </c>
      <c r="V31" s="88">
        <v>45360</v>
      </c>
      <c r="W31" s="88">
        <v>42000</v>
      </c>
      <c r="X31" s="88">
        <v>45360</v>
      </c>
      <c r="Z31" s="88">
        <v>0</v>
      </c>
      <c r="AD31" s="84">
        <v>0</v>
      </c>
      <c r="AG31" s="84">
        <v>0</v>
      </c>
      <c r="AJ31" s="84">
        <v>0</v>
      </c>
      <c r="AR31" s="85">
        <v>43376</v>
      </c>
      <c r="AS31" s="84">
        <v>6001603782</v>
      </c>
      <c r="AT31" s="85">
        <v>43376</v>
      </c>
      <c r="AU31" s="84" t="s">
        <v>373</v>
      </c>
      <c r="AV31" s="85">
        <v>43385</v>
      </c>
      <c r="AW31" s="123">
        <v>43404</v>
      </c>
      <c r="AX31" s="123">
        <v>43424</v>
      </c>
      <c r="AY31" s="140">
        <v>42000</v>
      </c>
      <c r="AZ31" s="132">
        <f>ROUNDDOWN(AY31+(AY31*MASTER!$A$2/100),0)</f>
        <v>45360</v>
      </c>
      <c r="BC31" s="88">
        <v>0</v>
      </c>
      <c r="BG31" s="88">
        <v>0</v>
      </c>
      <c r="BK31" s="88">
        <v>0</v>
      </c>
      <c r="BS31" s="88">
        <v>0</v>
      </c>
      <c r="BV31" s="89">
        <v>45360</v>
      </c>
      <c r="BW31" s="89">
        <v>0</v>
      </c>
      <c r="BX31" s="89">
        <v>43376</v>
      </c>
      <c r="BY31" s="89">
        <v>45360</v>
      </c>
      <c r="BZ31" s="112">
        <v>100</v>
      </c>
      <c r="CK31" s="88">
        <v>0</v>
      </c>
    </row>
    <row r="32" spans="1:89" x14ac:dyDescent="0.15">
      <c r="A32" s="84">
        <v>1</v>
      </c>
      <c r="B32" s="85">
        <v>43377</v>
      </c>
      <c r="C32" s="85">
        <v>43385</v>
      </c>
      <c r="F32" s="85" t="s">
        <v>338</v>
      </c>
      <c r="H32" s="85" t="s">
        <v>338</v>
      </c>
      <c r="J32" s="84">
        <v>2</v>
      </c>
      <c r="L32" s="84">
        <v>0</v>
      </c>
      <c r="M32" s="85">
        <v>43376</v>
      </c>
      <c r="N32" s="85" t="s">
        <v>265</v>
      </c>
      <c r="O32" s="86" t="s">
        <v>340</v>
      </c>
      <c r="P32" s="84" t="s">
        <v>26</v>
      </c>
      <c r="Q32" s="86" t="s">
        <v>107</v>
      </c>
      <c r="R32" s="86" t="s">
        <v>368</v>
      </c>
      <c r="S32" s="87" t="s">
        <v>351</v>
      </c>
      <c r="T32" s="87" t="s">
        <v>352</v>
      </c>
      <c r="U32" s="88">
        <v>21000</v>
      </c>
      <c r="V32" s="88">
        <v>22680</v>
      </c>
      <c r="W32" s="88">
        <v>21000</v>
      </c>
      <c r="X32" s="88">
        <v>22680</v>
      </c>
      <c r="Z32" s="88">
        <v>0</v>
      </c>
      <c r="AD32" s="84">
        <v>0</v>
      </c>
      <c r="AG32" s="84">
        <v>0</v>
      </c>
      <c r="AJ32" s="84">
        <v>0</v>
      </c>
      <c r="AR32" s="85">
        <v>43376</v>
      </c>
      <c r="AS32" s="84">
        <v>6001603782</v>
      </c>
      <c r="AT32" s="85">
        <v>43376</v>
      </c>
      <c r="AU32" s="84" t="s">
        <v>373</v>
      </c>
      <c r="AV32" s="85">
        <v>43385</v>
      </c>
      <c r="AW32" s="123">
        <v>43404</v>
      </c>
      <c r="AX32" s="123">
        <v>43424</v>
      </c>
      <c r="AY32" s="140">
        <v>21000</v>
      </c>
      <c r="AZ32" s="132">
        <f>ROUNDDOWN(AY32+(AY32*MASTER!$A$2/100),0)</f>
        <v>22680</v>
      </c>
      <c r="BC32" s="88">
        <v>0</v>
      </c>
      <c r="BG32" s="88">
        <v>0</v>
      </c>
      <c r="BK32" s="88">
        <v>0</v>
      </c>
      <c r="BS32" s="88">
        <v>0</v>
      </c>
      <c r="BV32" s="89">
        <v>22680</v>
      </c>
      <c r="BW32" s="89">
        <v>0</v>
      </c>
      <c r="BX32" s="89">
        <v>43376</v>
      </c>
      <c r="BY32" s="89">
        <v>22680</v>
      </c>
      <c r="BZ32" s="112">
        <v>100</v>
      </c>
      <c r="CK32" s="88">
        <v>0</v>
      </c>
    </row>
    <row r="33" spans="1:89" x14ac:dyDescent="0.15">
      <c r="A33" s="84">
        <v>1</v>
      </c>
      <c r="B33" s="85">
        <v>43377</v>
      </c>
      <c r="C33" s="85">
        <v>43385</v>
      </c>
      <c r="F33" s="85" t="s">
        <v>338</v>
      </c>
      <c r="H33" s="85" t="s">
        <v>338</v>
      </c>
      <c r="J33" s="84">
        <v>2</v>
      </c>
      <c r="L33" s="84">
        <v>0</v>
      </c>
      <c r="M33" s="85">
        <v>43376</v>
      </c>
      <c r="N33" s="85" t="s">
        <v>265</v>
      </c>
      <c r="O33" s="86" t="s">
        <v>340</v>
      </c>
      <c r="P33" s="84" t="s">
        <v>26</v>
      </c>
      <c r="Q33" s="86" t="s">
        <v>107</v>
      </c>
      <c r="R33" s="86" t="s">
        <v>369</v>
      </c>
      <c r="S33" s="87" t="s">
        <v>351</v>
      </c>
      <c r="T33" s="87" t="s">
        <v>352</v>
      </c>
      <c r="U33" s="88">
        <v>21000</v>
      </c>
      <c r="V33" s="88">
        <v>22680</v>
      </c>
      <c r="W33" s="88">
        <v>21000</v>
      </c>
      <c r="X33" s="88">
        <v>22680</v>
      </c>
      <c r="Z33" s="88">
        <v>0</v>
      </c>
      <c r="AD33" s="84">
        <v>0</v>
      </c>
      <c r="AG33" s="84">
        <v>0</v>
      </c>
      <c r="AJ33" s="84">
        <v>0</v>
      </c>
      <c r="AR33" s="85">
        <v>43376</v>
      </c>
      <c r="AS33" s="84">
        <v>6001603782</v>
      </c>
      <c r="AT33" s="85">
        <v>43376</v>
      </c>
      <c r="AU33" s="84" t="s">
        <v>373</v>
      </c>
      <c r="AV33" s="85">
        <v>43385</v>
      </c>
      <c r="AW33" s="123">
        <v>43404</v>
      </c>
      <c r="AX33" s="123">
        <v>43424</v>
      </c>
      <c r="AY33" s="140">
        <v>21000</v>
      </c>
      <c r="AZ33" s="132">
        <f>ROUNDDOWN(AY33+(AY33*MASTER!$A$2/100),0)</f>
        <v>22680</v>
      </c>
      <c r="BC33" s="88">
        <v>0</v>
      </c>
      <c r="BG33" s="88">
        <v>0</v>
      </c>
      <c r="BK33" s="88">
        <v>0</v>
      </c>
      <c r="BS33" s="88">
        <v>0</v>
      </c>
      <c r="BV33" s="89">
        <v>22680</v>
      </c>
      <c r="BW33" s="89">
        <v>0</v>
      </c>
      <c r="BX33" s="89">
        <v>43376</v>
      </c>
      <c r="BY33" s="89">
        <v>22680</v>
      </c>
      <c r="BZ33" s="112">
        <v>100</v>
      </c>
      <c r="CK33" s="88">
        <v>0</v>
      </c>
    </row>
    <row r="34" spans="1:89" x14ac:dyDescent="0.15">
      <c r="A34" s="84">
        <v>1</v>
      </c>
      <c r="B34" s="85">
        <v>43377</v>
      </c>
      <c r="C34" s="85">
        <v>43385</v>
      </c>
      <c r="F34" s="85" t="s">
        <v>338</v>
      </c>
      <c r="H34" s="85" t="s">
        <v>338</v>
      </c>
      <c r="J34" s="84">
        <v>2</v>
      </c>
      <c r="L34" s="84">
        <v>0</v>
      </c>
      <c r="M34" s="85">
        <v>43376</v>
      </c>
      <c r="N34" s="85" t="s">
        <v>265</v>
      </c>
      <c r="O34" s="86" t="s">
        <v>340</v>
      </c>
      <c r="P34" s="84" t="s">
        <v>26</v>
      </c>
      <c r="Q34" s="86" t="s">
        <v>107</v>
      </c>
      <c r="R34" s="86" t="s">
        <v>370</v>
      </c>
      <c r="S34" s="87" t="s">
        <v>351</v>
      </c>
      <c r="T34" s="87" t="s">
        <v>352</v>
      </c>
      <c r="U34" s="88">
        <v>21000</v>
      </c>
      <c r="V34" s="88">
        <v>22680</v>
      </c>
      <c r="W34" s="88">
        <v>21000</v>
      </c>
      <c r="X34" s="88">
        <v>22680</v>
      </c>
      <c r="Z34" s="88">
        <v>0</v>
      </c>
      <c r="AD34" s="84">
        <v>0</v>
      </c>
      <c r="AG34" s="84">
        <v>0</v>
      </c>
      <c r="AJ34" s="84">
        <v>0</v>
      </c>
      <c r="AR34" s="85">
        <v>43376</v>
      </c>
      <c r="AS34" s="84">
        <v>6001603782</v>
      </c>
      <c r="AT34" s="85">
        <v>43376</v>
      </c>
      <c r="AU34" s="84" t="s">
        <v>373</v>
      </c>
      <c r="AV34" s="85">
        <v>43385</v>
      </c>
      <c r="AW34" s="123">
        <v>43404</v>
      </c>
      <c r="AX34" s="123">
        <v>43424</v>
      </c>
      <c r="AY34" s="140">
        <v>21000</v>
      </c>
      <c r="AZ34" s="132">
        <f>ROUNDDOWN(AY34+(AY34*MASTER!$A$2/100),0)</f>
        <v>22680</v>
      </c>
      <c r="BC34" s="88">
        <v>0</v>
      </c>
      <c r="BG34" s="88">
        <v>0</v>
      </c>
      <c r="BK34" s="88">
        <v>0</v>
      </c>
      <c r="BS34" s="88">
        <v>0</v>
      </c>
      <c r="BV34" s="89">
        <v>22680</v>
      </c>
      <c r="BW34" s="89">
        <v>0</v>
      </c>
      <c r="BX34" s="89">
        <v>43376</v>
      </c>
      <c r="BY34" s="89">
        <v>22680</v>
      </c>
      <c r="BZ34" s="112">
        <v>100</v>
      </c>
      <c r="CK34" s="88">
        <v>0</v>
      </c>
    </row>
    <row r="35" spans="1:89" x14ac:dyDescent="0.15">
      <c r="A35" s="84">
        <v>1</v>
      </c>
      <c r="B35" s="85">
        <v>43377</v>
      </c>
      <c r="C35" s="85">
        <v>43385</v>
      </c>
      <c r="F35" s="85" t="s">
        <v>338</v>
      </c>
      <c r="H35" s="85" t="s">
        <v>338</v>
      </c>
      <c r="J35" s="84">
        <v>2</v>
      </c>
      <c r="L35" s="84">
        <v>0</v>
      </c>
      <c r="M35" s="85">
        <v>43376</v>
      </c>
      <c r="N35" s="85" t="s">
        <v>265</v>
      </c>
      <c r="O35" s="86" t="s">
        <v>340</v>
      </c>
      <c r="P35" s="84" t="s">
        <v>26</v>
      </c>
      <c r="Q35" s="86" t="s">
        <v>107</v>
      </c>
      <c r="R35" s="86" t="s">
        <v>371</v>
      </c>
      <c r="S35" s="87" t="s">
        <v>351</v>
      </c>
      <c r="T35" s="87" t="s">
        <v>352</v>
      </c>
      <c r="U35" s="88">
        <v>21000</v>
      </c>
      <c r="V35" s="88">
        <v>22680</v>
      </c>
      <c r="W35" s="88">
        <v>21000</v>
      </c>
      <c r="X35" s="88">
        <v>22680</v>
      </c>
      <c r="Z35" s="88">
        <v>0</v>
      </c>
      <c r="AD35" s="84">
        <v>0</v>
      </c>
      <c r="AG35" s="84">
        <v>0</v>
      </c>
      <c r="AJ35" s="84">
        <v>0</v>
      </c>
      <c r="AR35" s="85">
        <v>43376</v>
      </c>
      <c r="AS35" s="84">
        <v>6001603782</v>
      </c>
      <c r="AT35" s="85">
        <v>43376</v>
      </c>
      <c r="AU35" s="84" t="s">
        <v>373</v>
      </c>
      <c r="AV35" s="85">
        <v>43385</v>
      </c>
      <c r="AW35" s="123">
        <v>43404</v>
      </c>
      <c r="AX35" s="123">
        <v>43424</v>
      </c>
      <c r="AY35" s="140">
        <v>21000</v>
      </c>
      <c r="AZ35" s="132">
        <f>ROUNDDOWN(AY35+(AY35*MASTER!$A$2/100),0)</f>
        <v>22680</v>
      </c>
      <c r="BC35" s="88">
        <v>0</v>
      </c>
      <c r="BG35" s="88">
        <v>0</v>
      </c>
      <c r="BK35" s="88">
        <v>0</v>
      </c>
      <c r="BS35" s="88">
        <v>0</v>
      </c>
      <c r="BV35" s="89">
        <v>22680</v>
      </c>
      <c r="BW35" s="89">
        <v>0</v>
      </c>
      <c r="BX35" s="89">
        <v>43376</v>
      </c>
      <c r="BY35" s="89">
        <v>22680</v>
      </c>
      <c r="BZ35" s="112">
        <v>100</v>
      </c>
      <c r="CK35" s="88">
        <v>0</v>
      </c>
    </row>
    <row r="36" spans="1:89" x14ac:dyDescent="0.15">
      <c r="A36" s="84">
        <v>2</v>
      </c>
      <c r="B36" s="85">
        <v>43409</v>
      </c>
      <c r="C36" s="85">
        <v>43418</v>
      </c>
      <c r="D36" s="85">
        <v>43438</v>
      </c>
      <c r="F36" s="85">
        <v>43425</v>
      </c>
      <c r="G36" s="85">
        <v>43420</v>
      </c>
      <c r="H36" s="85">
        <v>43421</v>
      </c>
      <c r="I36" s="84" t="s">
        <v>776</v>
      </c>
      <c r="J36" s="84">
        <v>1</v>
      </c>
      <c r="L36" s="84">
        <v>0</v>
      </c>
      <c r="M36" s="85">
        <v>43377</v>
      </c>
      <c r="N36" s="85" t="s">
        <v>265</v>
      </c>
      <c r="O36" s="86" t="s">
        <v>340</v>
      </c>
      <c r="P36" s="84" t="s">
        <v>26</v>
      </c>
      <c r="Q36" s="86" t="s">
        <v>107</v>
      </c>
      <c r="R36" s="86" t="s">
        <v>690</v>
      </c>
      <c r="S36" s="87" t="s">
        <v>691</v>
      </c>
      <c r="T36" s="87" t="s">
        <v>692</v>
      </c>
      <c r="U36" s="88">
        <v>564200</v>
      </c>
      <c r="V36" s="88">
        <v>609336</v>
      </c>
      <c r="W36" s="88">
        <v>440500</v>
      </c>
      <c r="X36" s="88">
        <v>475740</v>
      </c>
      <c r="Y36" s="88">
        <v>123700</v>
      </c>
      <c r="Z36" s="88">
        <v>133596</v>
      </c>
      <c r="AA36" s="85">
        <v>43415</v>
      </c>
      <c r="AB36" s="85">
        <v>43418</v>
      </c>
      <c r="AC36" s="85">
        <v>43418</v>
      </c>
      <c r="AD36" s="84">
        <v>0</v>
      </c>
      <c r="AG36" s="84">
        <v>0</v>
      </c>
      <c r="AJ36" s="84">
        <v>0</v>
      </c>
      <c r="AM36" s="84" t="s">
        <v>290</v>
      </c>
      <c r="AN36" s="84" t="s">
        <v>693</v>
      </c>
      <c r="AR36" s="85">
        <v>43399</v>
      </c>
      <c r="AS36" s="84">
        <v>6001612730</v>
      </c>
      <c r="AT36" s="85">
        <v>43399</v>
      </c>
      <c r="AU36" s="84" t="s">
        <v>631</v>
      </c>
      <c r="AV36" s="85">
        <v>43418</v>
      </c>
      <c r="AW36" s="123">
        <v>43434</v>
      </c>
      <c r="AX36" s="123">
        <v>43454</v>
      </c>
      <c r="AY36" s="132">
        <v>541632</v>
      </c>
      <c r="AZ36" s="132">
        <f>ROUNDDOWN(AY36+(AY36*MASTER!$A$2/100),0)</f>
        <v>584962</v>
      </c>
      <c r="BA36" s="84" t="s">
        <v>287</v>
      </c>
      <c r="BB36" s="88">
        <v>210000</v>
      </c>
      <c r="BC36" s="88">
        <v>226800</v>
      </c>
      <c r="BD36" s="84" t="s">
        <v>189</v>
      </c>
      <c r="BG36" s="88">
        <v>0</v>
      </c>
      <c r="BI36" s="84" t="s">
        <v>434</v>
      </c>
      <c r="BJ36" s="88">
        <v>80405</v>
      </c>
      <c r="BK36" s="88">
        <v>86837.4</v>
      </c>
      <c r="BL36" s="84" t="s">
        <v>189</v>
      </c>
      <c r="BS36" s="88">
        <v>0</v>
      </c>
      <c r="BV36" s="89">
        <v>475740</v>
      </c>
      <c r="BW36" s="89">
        <v>313637.40000000002</v>
      </c>
      <c r="BX36" s="89">
        <v>43377</v>
      </c>
      <c r="BY36" s="89">
        <v>162102.6</v>
      </c>
      <c r="BZ36" s="112">
        <v>34.073779795686718</v>
      </c>
      <c r="CK36" s="88">
        <v>31500</v>
      </c>
    </row>
    <row r="37" spans="1:89" x14ac:dyDescent="0.15">
      <c r="A37" s="84">
        <v>2</v>
      </c>
      <c r="B37" s="85">
        <v>43451</v>
      </c>
      <c r="C37" s="85">
        <v>43461</v>
      </c>
      <c r="D37" s="85">
        <v>43512</v>
      </c>
      <c r="E37" s="85">
        <v>43470</v>
      </c>
      <c r="F37" s="85">
        <v>43468</v>
      </c>
      <c r="G37" s="85">
        <v>43460</v>
      </c>
      <c r="H37" s="85">
        <v>43464</v>
      </c>
      <c r="I37" s="84" t="s">
        <v>776</v>
      </c>
      <c r="J37" s="84">
        <v>1</v>
      </c>
      <c r="L37" s="84">
        <v>0</v>
      </c>
      <c r="M37" s="85">
        <v>43377</v>
      </c>
      <c r="N37" s="85" t="s">
        <v>265</v>
      </c>
      <c r="O37" s="86" t="s">
        <v>340</v>
      </c>
      <c r="P37" s="84" t="s">
        <v>26</v>
      </c>
      <c r="Q37" s="86" t="s">
        <v>107</v>
      </c>
      <c r="R37" s="86" t="s">
        <v>860</v>
      </c>
      <c r="S37" s="87" t="s">
        <v>395</v>
      </c>
      <c r="T37" s="87" t="s">
        <v>861</v>
      </c>
      <c r="U37" s="88">
        <v>59000</v>
      </c>
      <c r="V37" s="88">
        <v>63720</v>
      </c>
      <c r="W37" s="88">
        <v>47000</v>
      </c>
      <c r="X37" s="88">
        <v>50760</v>
      </c>
      <c r="Y37" s="88">
        <v>12000</v>
      </c>
      <c r="Z37" s="88">
        <v>12960</v>
      </c>
      <c r="AA37" s="85">
        <v>43458</v>
      </c>
      <c r="AB37" s="85">
        <v>43461</v>
      </c>
      <c r="AC37" s="85">
        <v>43461</v>
      </c>
      <c r="AD37" s="84">
        <v>0</v>
      </c>
      <c r="AG37" s="84">
        <v>0</v>
      </c>
      <c r="AJ37" s="84">
        <v>0</v>
      </c>
      <c r="AM37" s="84" t="s">
        <v>290</v>
      </c>
      <c r="AN37" s="84" t="s">
        <v>862</v>
      </c>
      <c r="AR37" s="85">
        <v>43397</v>
      </c>
      <c r="AS37" s="84">
        <v>6001611745</v>
      </c>
      <c r="AT37" s="85">
        <v>43397</v>
      </c>
      <c r="AU37" s="84" t="s">
        <v>587</v>
      </c>
      <c r="AV37" s="85">
        <v>43461</v>
      </c>
      <c r="AW37" s="123">
        <v>43465</v>
      </c>
      <c r="AX37" s="123">
        <v>43485</v>
      </c>
      <c r="AY37" s="132">
        <v>56640</v>
      </c>
      <c r="AZ37" s="132">
        <f>ROUNDDOWN(AY37+(AY37*MASTER!$A$2/100),0)</f>
        <v>61171</v>
      </c>
      <c r="BA37" s="84" t="s">
        <v>287</v>
      </c>
      <c r="BB37" s="88">
        <v>33000</v>
      </c>
      <c r="BC37" s="88">
        <v>35640</v>
      </c>
      <c r="BD37" s="84" t="s">
        <v>190</v>
      </c>
      <c r="BG37" s="88">
        <v>0</v>
      </c>
      <c r="BI37" s="84" t="s">
        <v>434</v>
      </c>
      <c r="BJ37" s="88">
        <v>7800</v>
      </c>
      <c r="BK37" s="88">
        <v>8424</v>
      </c>
      <c r="BL37" s="84" t="s">
        <v>1138</v>
      </c>
      <c r="BS37" s="88">
        <v>0</v>
      </c>
      <c r="BV37" s="89">
        <v>50760</v>
      </c>
      <c r="BW37" s="89">
        <v>44064</v>
      </c>
      <c r="BX37" s="89">
        <v>43377</v>
      </c>
      <c r="BY37" s="89">
        <v>6696</v>
      </c>
      <c r="BZ37" s="112">
        <v>13.191489361702127</v>
      </c>
      <c r="CK37" s="88">
        <v>0</v>
      </c>
    </row>
    <row r="38" spans="1:89" x14ac:dyDescent="0.15">
      <c r="A38" s="84">
        <v>2</v>
      </c>
      <c r="B38" s="85">
        <v>43441</v>
      </c>
      <c r="C38" s="85">
        <v>43456</v>
      </c>
      <c r="D38" s="85">
        <v>43512</v>
      </c>
      <c r="F38" s="85">
        <v>43463</v>
      </c>
      <c r="G38" s="85">
        <v>43459</v>
      </c>
      <c r="H38" s="85">
        <v>43459</v>
      </c>
      <c r="I38" s="84" t="s">
        <v>776</v>
      </c>
      <c r="J38" s="84">
        <v>1</v>
      </c>
      <c r="L38" s="84">
        <v>0</v>
      </c>
      <c r="M38" s="85">
        <v>43377</v>
      </c>
      <c r="N38" s="85" t="s">
        <v>265</v>
      </c>
      <c r="O38" s="86" t="s">
        <v>340</v>
      </c>
      <c r="P38" s="84" t="s">
        <v>26</v>
      </c>
      <c r="Q38" s="86" t="s">
        <v>107</v>
      </c>
      <c r="R38" s="86" t="s">
        <v>1179</v>
      </c>
      <c r="S38" s="87" t="s">
        <v>1180</v>
      </c>
      <c r="T38" s="87" t="s">
        <v>1181</v>
      </c>
      <c r="U38" s="88">
        <v>980700</v>
      </c>
      <c r="V38" s="88">
        <v>1059156</v>
      </c>
      <c r="W38" s="88">
        <v>886000</v>
      </c>
      <c r="X38" s="88">
        <v>956880</v>
      </c>
      <c r="Y38" s="88">
        <v>94700</v>
      </c>
      <c r="Z38" s="88">
        <v>102276</v>
      </c>
      <c r="AA38" s="85">
        <v>43451</v>
      </c>
      <c r="AB38" s="85">
        <v>43456</v>
      </c>
      <c r="AC38" s="85">
        <v>43456</v>
      </c>
      <c r="AD38" s="84">
        <v>0</v>
      </c>
      <c r="AG38" s="84">
        <v>0</v>
      </c>
      <c r="AJ38" s="84">
        <v>0</v>
      </c>
      <c r="AM38" s="84" t="s">
        <v>290</v>
      </c>
      <c r="AN38" s="84" t="s">
        <v>1182</v>
      </c>
      <c r="AR38" s="85">
        <v>43439</v>
      </c>
      <c r="AS38" s="84">
        <v>6001626565</v>
      </c>
      <c r="AT38" s="85">
        <v>43439</v>
      </c>
      <c r="AU38" s="84" t="s">
        <v>1132</v>
      </c>
      <c r="AV38" s="85">
        <v>43456</v>
      </c>
      <c r="AW38" s="123">
        <v>43465</v>
      </c>
      <c r="AX38" s="123">
        <v>43485</v>
      </c>
      <c r="AY38" s="132">
        <v>941472</v>
      </c>
      <c r="AZ38" s="132">
        <f>ROUNDDOWN(AY38+(AY38*MASTER!$A$2/100),0)</f>
        <v>1016789</v>
      </c>
      <c r="BA38" s="84" t="s">
        <v>287</v>
      </c>
      <c r="BB38" s="88">
        <v>316840</v>
      </c>
      <c r="BC38" s="88">
        <v>342187.2</v>
      </c>
      <c r="BD38" s="84" t="s">
        <v>1138</v>
      </c>
      <c r="BG38" s="88">
        <v>0</v>
      </c>
      <c r="BI38" s="84" t="s">
        <v>434</v>
      </c>
      <c r="BJ38" s="88">
        <v>61555</v>
      </c>
      <c r="BK38" s="88">
        <v>66479.399999999994</v>
      </c>
      <c r="BL38" s="84" t="s">
        <v>1138</v>
      </c>
      <c r="BS38" s="88">
        <v>0</v>
      </c>
      <c r="BV38" s="89">
        <v>956880</v>
      </c>
      <c r="BW38" s="89">
        <v>408666.6</v>
      </c>
      <c r="BX38" s="89">
        <v>43377</v>
      </c>
      <c r="BY38" s="89">
        <v>548213.4</v>
      </c>
      <c r="BZ38" s="112">
        <v>57.291760722347632</v>
      </c>
      <c r="CK38" s="88">
        <v>105000</v>
      </c>
    </row>
    <row r="39" spans="1:89" s="151" customFormat="1" x14ac:dyDescent="0.15">
      <c r="A39" s="141">
        <v>3</v>
      </c>
      <c r="B39" s="142"/>
      <c r="C39" s="142" t="s">
        <v>338</v>
      </c>
      <c r="D39" s="142"/>
      <c r="E39" s="142"/>
      <c r="F39" s="142" t="s">
        <v>338</v>
      </c>
      <c r="G39" s="142"/>
      <c r="H39" s="142" t="s">
        <v>338</v>
      </c>
      <c r="I39" s="141"/>
      <c r="J39" s="141">
        <v>2</v>
      </c>
      <c r="K39" s="142"/>
      <c r="L39" s="141">
        <v>0</v>
      </c>
      <c r="M39" s="142">
        <v>43377</v>
      </c>
      <c r="N39" s="142" t="s">
        <v>265</v>
      </c>
      <c r="O39" s="143" t="s">
        <v>340</v>
      </c>
      <c r="P39" s="141" t="s">
        <v>26</v>
      </c>
      <c r="Q39" s="143" t="s">
        <v>107</v>
      </c>
      <c r="R39" s="143" t="s">
        <v>1550</v>
      </c>
      <c r="S39" s="144" t="s">
        <v>1551</v>
      </c>
      <c r="T39" s="144" t="s">
        <v>1552</v>
      </c>
      <c r="U39" s="145">
        <v>678830</v>
      </c>
      <c r="V39" s="145">
        <v>733136.4</v>
      </c>
      <c r="W39" s="145">
        <v>678830</v>
      </c>
      <c r="X39" s="145">
        <v>733136.4</v>
      </c>
      <c r="Y39" s="145"/>
      <c r="Z39" s="145">
        <v>0</v>
      </c>
      <c r="AA39" s="142"/>
      <c r="AB39" s="142"/>
      <c r="AC39" s="142"/>
      <c r="AD39" s="141">
        <v>0</v>
      </c>
      <c r="AE39" s="141"/>
      <c r="AF39" s="141"/>
      <c r="AG39" s="141">
        <v>0</v>
      </c>
      <c r="AH39" s="141"/>
      <c r="AI39" s="141"/>
      <c r="AJ39" s="141">
        <v>0</v>
      </c>
      <c r="AK39" s="141"/>
      <c r="AL39" s="141"/>
      <c r="AM39" s="141"/>
      <c r="AN39" s="141" t="s">
        <v>338</v>
      </c>
      <c r="AO39" s="142"/>
      <c r="AP39" s="141"/>
      <c r="AQ39" s="141"/>
      <c r="AR39" s="142"/>
      <c r="AS39" s="141"/>
      <c r="AT39" s="142"/>
      <c r="AU39" s="141"/>
      <c r="AV39" s="142"/>
      <c r="AW39" s="146"/>
      <c r="AX39" s="146"/>
      <c r="AY39" s="147">
        <v>0</v>
      </c>
      <c r="AZ39" s="132">
        <v>0</v>
      </c>
      <c r="BA39" s="141"/>
      <c r="BB39" s="145"/>
      <c r="BC39" s="145">
        <v>0</v>
      </c>
      <c r="BD39" s="141"/>
      <c r="BE39" s="141"/>
      <c r="BF39" s="145"/>
      <c r="BG39" s="145">
        <v>0</v>
      </c>
      <c r="BH39" s="141"/>
      <c r="BI39" s="141"/>
      <c r="BJ39" s="145"/>
      <c r="BK39" s="145">
        <v>0</v>
      </c>
      <c r="BL39" s="141"/>
      <c r="BM39" s="145"/>
      <c r="BN39" s="145"/>
      <c r="BO39" s="145"/>
      <c r="BP39" s="145"/>
      <c r="BQ39" s="145"/>
      <c r="BR39" s="145"/>
      <c r="BS39" s="145">
        <v>0</v>
      </c>
      <c r="BT39" s="148"/>
      <c r="BU39" s="148"/>
      <c r="BV39" s="149">
        <v>733136.4</v>
      </c>
      <c r="BW39" s="149">
        <v>0</v>
      </c>
      <c r="BX39" s="149">
        <v>43377</v>
      </c>
      <c r="BY39" s="149">
        <v>733136.4</v>
      </c>
      <c r="BZ39" s="150">
        <v>100</v>
      </c>
      <c r="CA39" s="141"/>
      <c r="CB39" s="141"/>
      <c r="CC39" s="141"/>
      <c r="CD39" s="144"/>
      <c r="CE39" s="142"/>
      <c r="CF39" s="142"/>
      <c r="CG39" s="142"/>
      <c r="CH39" s="142"/>
      <c r="CI39" s="142"/>
      <c r="CJ39" s="142"/>
      <c r="CK39" s="145">
        <v>0</v>
      </c>
    </row>
    <row r="40" spans="1:89" x14ac:dyDescent="0.15">
      <c r="A40" s="84">
        <v>1</v>
      </c>
      <c r="B40" s="85">
        <v>43384</v>
      </c>
      <c r="C40" s="85">
        <v>43392</v>
      </c>
      <c r="F40" s="85" t="s">
        <v>338</v>
      </c>
      <c r="H40" s="85" t="s">
        <v>338</v>
      </c>
      <c r="J40" s="84">
        <v>2</v>
      </c>
      <c r="L40" s="84">
        <v>0</v>
      </c>
      <c r="M40" s="85">
        <v>43377</v>
      </c>
      <c r="N40" s="85" t="s">
        <v>265</v>
      </c>
      <c r="O40" s="86" t="s">
        <v>340</v>
      </c>
      <c r="P40" s="84" t="s">
        <v>269</v>
      </c>
      <c r="Q40" s="86" t="s">
        <v>107</v>
      </c>
      <c r="R40" s="86" t="s">
        <v>376</v>
      </c>
      <c r="S40" s="87" t="s">
        <v>377</v>
      </c>
      <c r="T40" s="87" t="s">
        <v>375</v>
      </c>
      <c r="U40" s="88">
        <v>66000</v>
      </c>
      <c r="V40" s="88">
        <v>71280</v>
      </c>
      <c r="W40" s="88">
        <v>66000</v>
      </c>
      <c r="X40" s="88">
        <v>71280</v>
      </c>
      <c r="Z40" s="88">
        <v>0</v>
      </c>
      <c r="AD40" s="84">
        <v>0</v>
      </c>
      <c r="AG40" s="84">
        <v>0</v>
      </c>
      <c r="AJ40" s="84">
        <v>0</v>
      </c>
      <c r="AR40" s="85">
        <v>43382</v>
      </c>
      <c r="AS40" s="84">
        <v>6001605958</v>
      </c>
      <c r="AT40" s="85">
        <v>43383</v>
      </c>
      <c r="AU40" s="84" t="s">
        <v>405</v>
      </c>
      <c r="AV40" s="85">
        <v>43392</v>
      </c>
      <c r="AW40" s="123">
        <v>43404</v>
      </c>
      <c r="AX40" s="123">
        <v>43424</v>
      </c>
      <c r="AY40" s="132">
        <v>63360</v>
      </c>
      <c r="AZ40" s="132">
        <f>ROUNDDOWN(AY40+(AY40*MASTER!$A$2/100),0)</f>
        <v>68428</v>
      </c>
      <c r="BC40" s="88">
        <v>0</v>
      </c>
      <c r="BG40" s="88">
        <v>0</v>
      </c>
      <c r="BK40" s="88">
        <v>0</v>
      </c>
      <c r="BS40" s="88">
        <v>0</v>
      </c>
      <c r="BV40" s="89">
        <v>71280</v>
      </c>
      <c r="BW40" s="89">
        <v>0</v>
      </c>
      <c r="BX40" s="89">
        <v>43377</v>
      </c>
      <c r="BY40" s="89">
        <v>71280</v>
      </c>
      <c r="BZ40" s="112">
        <v>100</v>
      </c>
      <c r="CK40" s="88">
        <v>0</v>
      </c>
    </row>
    <row r="41" spans="1:89" x14ac:dyDescent="0.15">
      <c r="A41" s="84">
        <v>1</v>
      </c>
      <c r="B41" s="85">
        <v>43399</v>
      </c>
      <c r="C41" s="85">
        <v>43402</v>
      </c>
      <c r="F41" s="85" t="s">
        <v>338</v>
      </c>
      <c r="H41" s="85" t="s">
        <v>338</v>
      </c>
      <c r="J41" s="84">
        <v>2</v>
      </c>
      <c r="L41" s="84">
        <v>0</v>
      </c>
      <c r="M41" s="85">
        <v>43377</v>
      </c>
      <c r="N41" s="85" t="s">
        <v>265</v>
      </c>
      <c r="O41" s="86" t="s">
        <v>340</v>
      </c>
      <c r="P41" s="84" t="s">
        <v>26</v>
      </c>
      <c r="Q41" s="86" t="s">
        <v>107</v>
      </c>
      <c r="R41" s="86" t="s">
        <v>378</v>
      </c>
      <c r="S41" s="87" t="s">
        <v>351</v>
      </c>
      <c r="T41" s="87" t="s">
        <v>379</v>
      </c>
      <c r="U41" s="88">
        <v>50000</v>
      </c>
      <c r="V41" s="88">
        <v>54000</v>
      </c>
      <c r="W41" s="88">
        <v>50000</v>
      </c>
      <c r="X41" s="88">
        <v>54000</v>
      </c>
      <c r="Z41" s="88">
        <v>0</v>
      </c>
      <c r="AA41" s="85" t="s">
        <v>188</v>
      </c>
      <c r="AD41" s="84">
        <v>0</v>
      </c>
      <c r="AG41" s="84">
        <v>0</v>
      </c>
      <c r="AJ41" s="84">
        <v>0</v>
      </c>
      <c r="AR41" s="85">
        <v>43398</v>
      </c>
      <c r="AS41" s="84">
        <v>6001612211</v>
      </c>
      <c r="AT41" s="85">
        <v>43398</v>
      </c>
      <c r="AU41" s="84" t="s">
        <v>595</v>
      </c>
      <c r="AV41" s="85">
        <v>43402</v>
      </c>
      <c r="AW41" s="123">
        <v>43404</v>
      </c>
      <c r="AX41" s="123">
        <v>43424</v>
      </c>
      <c r="AY41" s="132">
        <v>48000</v>
      </c>
      <c r="AZ41" s="132">
        <f>ROUNDDOWN(AY41+(AY41*MASTER!$A$2/100),0)</f>
        <v>51840</v>
      </c>
      <c r="BC41" s="88">
        <v>0</v>
      </c>
      <c r="BG41" s="88">
        <v>0</v>
      </c>
      <c r="BK41" s="88">
        <v>0</v>
      </c>
      <c r="BS41" s="88">
        <v>0</v>
      </c>
      <c r="BV41" s="89">
        <v>54000</v>
      </c>
      <c r="BW41" s="89">
        <v>0</v>
      </c>
      <c r="BX41" s="89">
        <v>43377</v>
      </c>
      <c r="BY41" s="89">
        <v>54000</v>
      </c>
      <c r="BZ41" s="112">
        <v>100</v>
      </c>
      <c r="CD41" s="87" t="s">
        <v>667</v>
      </c>
    </row>
    <row r="42" spans="1:89" x14ac:dyDescent="0.15">
      <c r="A42" s="84">
        <v>2</v>
      </c>
      <c r="B42" s="85">
        <v>43384</v>
      </c>
      <c r="C42" s="85">
        <v>43395</v>
      </c>
      <c r="D42" s="85">
        <v>43384</v>
      </c>
      <c r="E42" s="85">
        <v>43384</v>
      </c>
      <c r="F42" s="85" t="s">
        <v>338</v>
      </c>
      <c r="G42" s="85">
        <v>43384</v>
      </c>
      <c r="H42" s="85" t="s">
        <v>338</v>
      </c>
      <c r="I42" s="84" t="s">
        <v>380</v>
      </c>
      <c r="J42" s="84">
        <v>2</v>
      </c>
      <c r="L42" s="84">
        <v>0</v>
      </c>
      <c r="M42" s="85">
        <v>43377</v>
      </c>
      <c r="N42" s="85" t="s">
        <v>265</v>
      </c>
      <c r="O42" s="86" t="s">
        <v>340</v>
      </c>
      <c r="P42" s="84" t="s">
        <v>6</v>
      </c>
      <c r="Q42" s="86" t="s">
        <v>107</v>
      </c>
      <c r="R42" s="86" t="s">
        <v>409</v>
      </c>
      <c r="S42" s="87" t="s">
        <v>410</v>
      </c>
      <c r="T42" s="87" t="s">
        <v>342</v>
      </c>
      <c r="U42" s="88">
        <v>35000</v>
      </c>
      <c r="V42" s="88">
        <v>37800</v>
      </c>
      <c r="W42" s="88">
        <v>35000</v>
      </c>
      <c r="X42" s="88">
        <v>37800</v>
      </c>
      <c r="Z42" s="88">
        <v>0</v>
      </c>
      <c r="AA42" s="85">
        <v>43377</v>
      </c>
      <c r="AB42" s="85">
        <v>43377</v>
      </c>
      <c r="AD42" s="84">
        <v>0</v>
      </c>
      <c r="AG42" s="84">
        <v>0</v>
      </c>
      <c r="AJ42" s="84">
        <v>0</v>
      </c>
      <c r="AN42" s="84" t="s">
        <v>338</v>
      </c>
      <c r="AR42" s="85">
        <v>43383</v>
      </c>
      <c r="AS42" s="84">
        <v>6001606524</v>
      </c>
      <c r="AT42" s="85">
        <v>43384</v>
      </c>
      <c r="AU42" s="84" t="s">
        <v>411</v>
      </c>
      <c r="AV42" s="85">
        <v>43395</v>
      </c>
      <c r="AW42" s="123">
        <v>43404</v>
      </c>
      <c r="AX42" s="123">
        <v>43424</v>
      </c>
      <c r="AY42" s="132">
        <v>33600</v>
      </c>
      <c r="AZ42" s="132">
        <f>ROUNDDOWN(AY42+(AY42*MASTER!$A$2/100),0)</f>
        <v>36288</v>
      </c>
      <c r="BA42" s="84" t="s">
        <v>287</v>
      </c>
      <c r="BB42" s="88">
        <v>21000</v>
      </c>
      <c r="BC42" s="88">
        <v>22680</v>
      </c>
      <c r="BD42" s="84" t="s">
        <v>188</v>
      </c>
      <c r="BG42" s="88">
        <v>0</v>
      </c>
      <c r="BK42" s="88">
        <v>0</v>
      </c>
      <c r="BS42" s="88">
        <v>0</v>
      </c>
      <c r="BV42" s="89">
        <v>37800</v>
      </c>
      <c r="BW42" s="89">
        <v>22680</v>
      </c>
      <c r="BX42" s="89">
        <v>43377</v>
      </c>
      <c r="BY42" s="89">
        <v>15120</v>
      </c>
      <c r="BZ42" s="112">
        <v>40</v>
      </c>
      <c r="CK42" s="88">
        <v>0</v>
      </c>
    </row>
    <row r="43" spans="1:89" x14ac:dyDescent="0.15">
      <c r="A43" s="84">
        <v>2</v>
      </c>
      <c r="B43" s="85">
        <v>43412</v>
      </c>
      <c r="C43" s="85">
        <v>43426</v>
      </c>
      <c r="D43" s="85">
        <v>43467</v>
      </c>
      <c r="F43" s="85">
        <v>43433</v>
      </c>
      <c r="G43" s="85">
        <v>43425</v>
      </c>
      <c r="H43" s="85">
        <v>43429</v>
      </c>
      <c r="I43" s="84" t="s">
        <v>401</v>
      </c>
      <c r="J43" s="84">
        <v>2</v>
      </c>
      <c r="L43" s="84">
        <v>0</v>
      </c>
      <c r="M43" s="85">
        <v>43377</v>
      </c>
      <c r="N43" s="85" t="s">
        <v>265</v>
      </c>
      <c r="O43" s="86" t="s">
        <v>340</v>
      </c>
      <c r="P43" s="84" t="s">
        <v>26</v>
      </c>
      <c r="Q43" s="86" t="s">
        <v>107</v>
      </c>
      <c r="R43" s="86" t="s">
        <v>820</v>
      </c>
      <c r="S43" s="87" t="s">
        <v>821</v>
      </c>
      <c r="T43" s="87" t="s">
        <v>455</v>
      </c>
      <c r="U43" s="88">
        <v>97800</v>
      </c>
      <c r="V43" s="88">
        <v>105624</v>
      </c>
      <c r="W43" s="88">
        <v>97800</v>
      </c>
      <c r="X43" s="88">
        <v>105624</v>
      </c>
      <c r="Z43" s="88">
        <v>0</v>
      </c>
      <c r="AA43" s="85">
        <v>43423</v>
      </c>
      <c r="AB43" s="85">
        <v>43426</v>
      </c>
      <c r="AC43" s="85">
        <v>43426</v>
      </c>
      <c r="AD43" s="84">
        <v>0</v>
      </c>
      <c r="AG43" s="84">
        <v>0</v>
      </c>
      <c r="AJ43" s="84">
        <v>0</v>
      </c>
      <c r="AM43" s="84" t="s">
        <v>290</v>
      </c>
      <c r="AN43" s="84" t="s">
        <v>822</v>
      </c>
      <c r="AR43" s="85">
        <v>43409</v>
      </c>
      <c r="AS43" s="84">
        <v>6001615454</v>
      </c>
      <c r="AT43" s="85">
        <v>43411</v>
      </c>
      <c r="AU43" s="84" t="s">
        <v>786</v>
      </c>
      <c r="AV43" s="85">
        <v>43426</v>
      </c>
      <c r="AW43" s="123">
        <v>43434</v>
      </c>
      <c r="AX43" s="123">
        <v>43454</v>
      </c>
      <c r="AY43" s="132">
        <v>93888</v>
      </c>
      <c r="AZ43" s="132">
        <f>ROUNDDOWN(AY43+(AY43*MASTER!$A$2/100),0)</f>
        <v>101399</v>
      </c>
      <c r="BA43" s="84" t="s">
        <v>286</v>
      </c>
      <c r="BB43" s="88">
        <v>62000</v>
      </c>
      <c r="BC43" s="88">
        <v>66960</v>
      </c>
      <c r="BD43" s="84" t="s">
        <v>190</v>
      </c>
      <c r="BG43" s="88">
        <v>0</v>
      </c>
      <c r="BK43" s="88">
        <v>0</v>
      </c>
      <c r="BS43" s="88">
        <v>0</v>
      </c>
      <c r="BV43" s="89">
        <v>105624</v>
      </c>
      <c r="BW43" s="89">
        <v>66960</v>
      </c>
      <c r="BX43" s="89">
        <v>43377</v>
      </c>
      <c r="BY43" s="89">
        <v>38664</v>
      </c>
      <c r="BZ43" s="112">
        <v>36.605316973415128</v>
      </c>
      <c r="CK43" s="88">
        <v>6300</v>
      </c>
    </row>
    <row r="44" spans="1:89" x14ac:dyDescent="0.15">
      <c r="A44" s="84">
        <v>2</v>
      </c>
      <c r="B44" s="85">
        <v>43384</v>
      </c>
      <c r="C44" s="85">
        <v>43388</v>
      </c>
      <c r="D44" s="85">
        <v>43382</v>
      </c>
      <c r="E44" s="85">
        <v>43382</v>
      </c>
      <c r="F44" s="85" t="s">
        <v>338</v>
      </c>
      <c r="G44" s="85">
        <v>43382</v>
      </c>
      <c r="H44" s="85" t="s">
        <v>338</v>
      </c>
      <c r="I44" s="84" t="s">
        <v>380</v>
      </c>
      <c r="J44" s="84">
        <v>2</v>
      </c>
      <c r="L44" s="84">
        <v>0</v>
      </c>
      <c r="M44" s="85">
        <v>43377</v>
      </c>
      <c r="N44" s="85" t="s">
        <v>265</v>
      </c>
      <c r="O44" s="86" t="s">
        <v>340</v>
      </c>
      <c r="P44" s="84" t="s">
        <v>6</v>
      </c>
      <c r="Q44" s="86" t="s">
        <v>107</v>
      </c>
      <c r="R44" s="86" t="s">
        <v>381</v>
      </c>
      <c r="S44" s="87" t="s">
        <v>382</v>
      </c>
      <c r="T44" s="87" t="s">
        <v>342</v>
      </c>
      <c r="U44" s="88">
        <v>35000</v>
      </c>
      <c r="V44" s="88">
        <v>37800</v>
      </c>
      <c r="W44" s="88">
        <v>35000</v>
      </c>
      <c r="X44" s="88">
        <v>37800</v>
      </c>
      <c r="Z44" s="88">
        <v>0</v>
      </c>
      <c r="AA44" s="85">
        <v>43380</v>
      </c>
      <c r="AB44" s="85">
        <v>43380</v>
      </c>
      <c r="AD44" s="84">
        <v>0</v>
      </c>
      <c r="AG44" s="84">
        <v>0</v>
      </c>
      <c r="AJ44" s="84">
        <v>0</v>
      </c>
      <c r="AR44" s="85">
        <v>43383</v>
      </c>
      <c r="AS44" s="84">
        <v>6001606524</v>
      </c>
      <c r="AT44" s="85">
        <v>43384</v>
      </c>
      <c r="AU44" s="84" t="s">
        <v>411</v>
      </c>
      <c r="AV44" s="85">
        <v>43388</v>
      </c>
      <c r="AW44" s="123">
        <v>43404</v>
      </c>
      <c r="AX44" s="123">
        <v>43424</v>
      </c>
      <c r="AY44" s="132">
        <v>33600</v>
      </c>
      <c r="AZ44" s="132">
        <f>ROUNDDOWN(AY44+(AY44*MASTER!$A$2/100),0)</f>
        <v>36288</v>
      </c>
      <c r="BA44" s="84" t="s">
        <v>400</v>
      </c>
      <c r="BB44" s="88">
        <v>38000</v>
      </c>
      <c r="BC44" s="88">
        <v>41040</v>
      </c>
      <c r="BD44" s="84" t="s">
        <v>188</v>
      </c>
      <c r="BG44" s="88">
        <v>0</v>
      </c>
      <c r="BK44" s="88">
        <v>0</v>
      </c>
      <c r="BS44" s="88">
        <v>0</v>
      </c>
      <c r="BV44" s="89">
        <v>37800</v>
      </c>
      <c r="BW44" s="89">
        <v>41040</v>
      </c>
      <c r="BX44" s="89">
        <v>43377</v>
      </c>
      <c r="BY44" s="89">
        <v>-3240</v>
      </c>
      <c r="BZ44" s="112">
        <v>-8.5714285714285712</v>
      </c>
    </row>
    <row r="45" spans="1:89" x14ac:dyDescent="0.15">
      <c r="A45" s="84">
        <v>1</v>
      </c>
      <c r="C45" s="85">
        <v>43399</v>
      </c>
      <c r="F45" s="85" t="s">
        <v>338</v>
      </c>
      <c r="H45" s="85" t="s">
        <v>338</v>
      </c>
      <c r="J45" s="84">
        <v>2</v>
      </c>
      <c r="L45" s="84">
        <v>0</v>
      </c>
      <c r="M45" s="85">
        <v>43378</v>
      </c>
      <c r="N45" s="85" t="s">
        <v>264</v>
      </c>
      <c r="O45" s="86" t="s">
        <v>340</v>
      </c>
      <c r="P45" s="84" t="s">
        <v>272</v>
      </c>
      <c r="Q45" s="86" t="s">
        <v>107</v>
      </c>
      <c r="R45" s="86" t="s">
        <v>437</v>
      </c>
      <c r="S45" s="87" t="s">
        <v>387</v>
      </c>
      <c r="T45" s="87" t="s">
        <v>438</v>
      </c>
      <c r="U45" s="88">
        <v>560000</v>
      </c>
      <c r="V45" s="88">
        <v>604800</v>
      </c>
      <c r="W45" s="88">
        <v>560000</v>
      </c>
      <c r="X45" s="88">
        <v>604800</v>
      </c>
      <c r="Z45" s="88">
        <v>0</v>
      </c>
      <c r="AD45" s="84">
        <v>0</v>
      </c>
      <c r="AG45" s="84">
        <v>0</v>
      </c>
      <c r="AJ45" s="84">
        <v>0</v>
      </c>
      <c r="AN45" s="84" t="s">
        <v>338</v>
      </c>
      <c r="AR45" s="85">
        <v>43388</v>
      </c>
      <c r="AS45" s="84">
        <v>6001607708</v>
      </c>
      <c r="AT45" s="85">
        <v>43388</v>
      </c>
      <c r="AU45" s="84" t="s">
        <v>440</v>
      </c>
      <c r="AV45" s="85">
        <v>43399</v>
      </c>
      <c r="AW45" s="123">
        <v>43404</v>
      </c>
      <c r="AX45" s="123">
        <v>43424</v>
      </c>
      <c r="AY45" s="140">
        <v>560000</v>
      </c>
      <c r="AZ45" s="132">
        <f>ROUNDDOWN(AY45+(AY45*MASTER!$A$2/100),0)</f>
        <v>604800</v>
      </c>
      <c r="BC45" s="88">
        <v>0</v>
      </c>
      <c r="BG45" s="88">
        <v>0</v>
      </c>
      <c r="BK45" s="88">
        <v>0</v>
      </c>
      <c r="BS45" s="88">
        <v>0</v>
      </c>
      <c r="BV45" s="89">
        <v>604800</v>
      </c>
      <c r="BW45" s="89">
        <v>0</v>
      </c>
      <c r="BX45" s="89">
        <v>43378</v>
      </c>
      <c r="BY45" s="89">
        <v>604800</v>
      </c>
      <c r="BZ45" s="112">
        <v>100</v>
      </c>
      <c r="CD45" s="87" t="s">
        <v>439</v>
      </c>
    </row>
    <row r="46" spans="1:89" x14ac:dyDescent="0.15">
      <c r="A46" s="84">
        <v>2</v>
      </c>
      <c r="B46" s="85">
        <v>43431</v>
      </c>
      <c r="C46" s="85">
        <v>43438</v>
      </c>
      <c r="D46" s="85">
        <v>43487</v>
      </c>
      <c r="F46" s="85">
        <v>43468</v>
      </c>
      <c r="G46" s="85">
        <v>43472</v>
      </c>
      <c r="H46" s="85">
        <v>43464</v>
      </c>
      <c r="I46" s="84" t="s">
        <v>401</v>
      </c>
      <c r="J46" s="84">
        <v>2</v>
      </c>
      <c r="L46" s="84">
        <v>0</v>
      </c>
      <c r="M46" s="85">
        <v>43378</v>
      </c>
      <c r="N46" s="85" t="s">
        <v>265</v>
      </c>
      <c r="O46" s="86" t="s">
        <v>340</v>
      </c>
      <c r="P46" s="84" t="s">
        <v>26</v>
      </c>
      <c r="Q46" s="86" t="s">
        <v>107</v>
      </c>
      <c r="R46" s="86" t="s">
        <v>996</v>
      </c>
      <c r="S46" s="87" t="s">
        <v>997</v>
      </c>
      <c r="T46" s="87" t="s">
        <v>998</v>
      </c>
      <c r="U46" s="88">
        <v>302460</v>
      </c>
      <c r="V46" s="88">
        <v>326656.8</v>
      </c>
      <c r="W46" s="88">
        <v>302460</v>
      </c>
      <c r="X46" s="88">
        <v>326656.8</v>
      </c>
      <c r="Z46" s="88">
        <v>0</v>
      </c>
      <c r="AA46" s="85">
        <v>43458</v>
      </c>
      <c r="AB46" s="85">
        <v>43461</v>
      </c>
      <c r="AC46" s="85">
        <v>43461</v>
      </c>
      <c r="AD46" s="84">
        <v>0</v>
      </c>
      <c r="AG46" s="84">
        <v>0</v>
      </c>
      <c r="AJ46" s="84">
        <v>0</v>
      </c>
      <c r="AM46" s="84" t="s">
        <v>290</v>
      </c>
      <c r="AN46" s="84" t="s">
        <v>999</v>
      </c>
      <c r="AR46" s="85">
        <v>43399</v>
      </c>
      <c r="AS46" s="84">
        <v>6001612733</v>
      </c>
      <c r="AT46" s="85">
        <v>43399</v>
      </c>
      <c r="AU46" s="84" t="s">
        <v>633</v>
      </c>
      <c r="AV46" s="85">
        <v>43438</v>
      </c>
      <c r="AW46" s="123">
        <v>43465</v>
      </c>
      <c r="AX46" s="123">
        <v>43485</v>
      </c>
      <c r="AY46" s="132">
        <v>290361</v>
      </c>
      <c r="AZ46" s="132">
        <f>ROUNDDOWN(AY46+(AY46*MASTER!$A$2/100),0)</f>
        <v>313589</v>
      </c>
      <c r="BA46" s="84" t="s">
        <v>286</v>
      </c>
      <c r="BB46" s="88">
        <v>82200</v>
      </c>
      <c r="BC46" s="88">
        <v>88776</v>
      </c>
      <c r="BD46" s="84" t="s">
        <v>1138</v>
      </c>
      <c r="BG46" s="88">
        <v>0</v>
      </c>
      <c r="BK46" s="88">
        <v>0</v>
      </c>
      <c r="BS46" s="88">
        <v>0</v>
      </c>
      <c r="BV46" s="89">
        <v>326656.8</v>
      </c>
      <c r="BW46" s="89">
        <v>88776</v>
      </c>
      <c r="BX46" s="89">
        <v>43378</v>
      </c>
      <c r="BY46" s="89">
        <v>237880.8</v>
      </c>
      <c r="BZ46" s="112">
        <v>72.822852608609395</v>
      </c>
      <c r="CK46" s="88">
        <v>0</v>
      </c>
    </row>
    <row r="47" spans="1:89" x14ac:dyDescent="0.15">
      <c r="A47" s="84">
        <v>2</v>
      </c>
      <c r="B47" s="85">
        <v>43441</v>
      </c>
      <c r="C47" s="85">
        <v>43453</v>
      </c>
      <c r="D47" s="85">
        <v>43467</v>
      </c>
      <c r="F47" s="85">
        <v>43460</v>
      </c>
      <c r="G47" s="85">
        <v>43454</v>
      </c>
      <c r="H47" s="85">
        <v>43456</v>
      </c>
      <c r="I47" s="84" t="s">
        <v>401</v>
      </c>
      <c r="J47" s="84">
        <v>1</v>
      </c>
      <c r="K47" s="85">
        <v>43398</v>
      </c>
      <c r="L47" s="84" t="s">
        <v>818</v>
      </c>
      <c r="M47" s="85">
        <v>43378</v>
      </c>
      <c r="N47" s="85" t="s">
        <v>265</v>
      </c>
      <c r="O47" s="86" t="s">
        <v>340</v>
      </c>
      <c r="P47" s="84" t="s">
        <v>26</v>
      </c>
      <c r="Q47" s="86" t="s">
        <v>107</v>
      </c>
      <c r="R47" s="86" t="s">
        <v>588</v>
      </c>
      <c r="S47" s="87" t="s">
        <v>589</v>
      </c>
      <c r="T47" s="87" t="s">
        <v>590</v>
      </c>
      <c r="U47" s="88">
        <v>58200</v>
      </c>
      <c r="V47" s="88">
        <v>62856</v>
      </c>
      <c r="W47" s="88">
        <v>39000</v>
      </c>
      <c r="X47" s="88">
        <v>42120</v>
      </c>
      <c r="Y47" s="88">
        <v>19200</v>
      </c>
      <c r="Z47" s="88">
        <v>20736</v>
      </c>
      <c r="AA47" s="85">
        <v>43451</v>
      </c>
      <c r="AB47" s="85">
        <v>43453</v>
      </c>
      <c r="AC47" s="85">
        <v>43453</v>
      </c>
      <c r="AD47" s="84">
        <v>0</v>
      </c>
      <c r="AG47" s="84">
        <v>0</v>
      </c>
      <c r="AJ47" s="84">
        <v>0</v>
      </c>
      <c r="AM47" s="84" t="s">
        <v>290</v>
      </c>
      <c r="AN47" s="84" t="s">
        <v>591</v>
      </c>
      <c r="AR47" s="85">
        <v>43439</v>
      </c>
      <c r="AS47" s="84">
        <v>6001626565</v>
      </c>
      <c r="AT47" s="85">
        <v>43439</v>
      </c>
      <c r="AU47" s="84" t="s">
        <v>1132</v>
      </c>
      <c r="AV47" s="85">
        <v>43453</v>
      </c>
      <c r="AW47" s="123">
        <v>43465</v>
      </c>
      <c r="AX47" s="123">
        <v>43485</v>
      </c>
      <c r="AY47" s="132">
        <v>55872</v>
      </c>
      <c r="AZ47" s="132">
        <f>ROUNDDOWN(AY47+(AY47*MASTER!$A$2/100),0)</f>
        <v>60341</v>
      </c>
      <c r="BA47" s="84" t="s">
        <v>286</v>
      </c>
      <c r="BB47" s="88">
        <v>30000</v>
      </c>
      <c r="BC47" s="88">
        <v>32400</v>
      </c>
      <c r="BD47" s="84" t="s">
        <v>190</v>
      </c>
      <c r="BG47" s="88">
        <v>0</v>
      </c>
      <c r="BI47" s="84" t="s">
        <v>434</v>
      </c>
      <c r="BJ47" s="88">
        <v>12480</v>
      </c>
      <c r="BK47" s="88">
        <v>13478.4</v>
      </c>
      <c r="BL47" s="84" t="s">
        <v>190</v>
      </c>
      <c r="BS47" s="88">
        <v>0</v>
      </c>
      <c r="BV47" s="89">
        <v>42120</v>
      </c>
      <c r="BW47" s="89">
        <v>45878.400000000001</v>
      </c>
      <c r="BX47" s="89">
        <v>0</v>
      </c>
      <c r="BY47" s="89">
        <v>43398</v>
      </c>
      <c r="BZ47" s="112">
        <v>-8.9230769230769269</v>
      </c>
      <c r="CK47" s="88">
        <v>0</v>
      </c>
    </row>
    <row r="48" spans="1:89" x14ac:dyDescent="0.15">
      <c r="A48" s="84">
        <v>2</v>
      </c>
      <c r="B48" s="85">
        <v>43431</v>
      </c>
      <c r="C48" s="85">
        <v>43441</v>
      </c>
      <c r="D48" s="85">
        <v>43467</v>
      </c>
      <c r="F48" s="85">
        <v>43448</v>
      </c>
      <c r="G48" s="85">
        <v>43440</v>
      </c>
      <c r="H48" s="85">
        <v>43444</v>
      </c>
      <c r="I48" s="84" t="s">
        <v>401</v>
      </c>
      <c r="J48" s="84">
        <v>1</v>
      </c>
      <c r="L48" s="84">
        <v>0</v>
      </c>
      <c r="M48" s="85">
        <v>43382</v>
      </c>
      <c r="N48" s="85" t="s">
        <v>265</v>
      </c>
      <c r="O48" s="86" t="s">
        <v>340</v>
      </c>
      <c r="P48" s="84" t="s">
        <v>26</v>
      </c>
      <c r="Q48" s="86" t="s">
        <v>107</v>
      </c>
      <c r="R48" s="86" t="s">
        <v>872</v>
      </c>
      <c r="S48" s="87" t="s">
        <v>873</v>
      </c>
      <c r="T48" s="87" t="s">
        <v>874</v>
      </c>
      <c r="U48" s="88">
        <v>1377400</v>
      </c>
      <c r="V48" s="88">
        <v>1487592</v>
      </c>
      <c r="W48" s="88">
        <v>1375400</v>
      </c>
      <c r="X48" s="88">
        <v>1485432</v>
      </c>
      <c r="Y48" s="88">
        <v>2000</v>
      </c>
      <c r="Z48" s="88">
        <v>2160</v>
      </c>
      <c r="AA48" s="85">
        <v>43439</v>
      </c>
      <c r="AB48" s="85">
        <v>43441</v>
      </c>
      <c r="AC48" s="85">
        <v>43441</v>
      </c>
      <c r="AD48" s="84">
        <v>0</v>
      </c>
      <c r="AG48" s="84">
        <v>0</v>
      </c>
      <c r="AJ48" s="84">
        <v>0</v>
      </c>
      <c r="AM48" s="84" t="s">
        <v>290</v>
      </c>
      <c r="AN48" s="84" t="s">
        <v>875</v>
      </c>
      <c r="AR48" s="85">
        <v>43420</v>
      </c>
      <c r="AS48" s="84">
        <v>6001620387</v>
      </c>
      <c r="AT48" s="85">
        <v>43420</v>
      </c>
      <c r="AU48" s="84" t="s">
        <v>891</v>
      </c>
      <c r="AV48" s="85">
        <v>43441</v>
      </c>
      <c r="AW48" s="123">
        <v>43465</v>
      </c>
      <c r="AX48" s="123">
        <v>43485</v>
      </c>
      <c r="AY48" s="132">
        <v>1322304</v>
      </c>
      <c r="AZ48" s="132">
        <f>ROUNDDOWN(AY48+(AY48*MASTER!$A$2/100),0)</f>
        <v>1428088</v>
      </c>
      <c r="BA48" s="84" t="s">
        <v>543</v>
      </c>
      <c r="BB48" s="88">
        <v>308450</v>
      </c>
      <c r="BC48" s="88">
        <v>333126</v>
      </c>
      <c r="BD48" s="84" t="s">
        <v>190</v>
      </c>
      <c r="BG48" s="88">
        <v>0</v>
      </c>
      <c r="BK48" s="88">
        <v>0</v>
      </c>
      <c r="BS48" s="88">
        <v>0</v>
      </c>
      <c r="BV48" s="89">
        <v>1485432</v>
      </c>
      <c r="BW48" s="89">
        <v>333126</v>
      </c>
      <c r="BX48" s="89">
        <v>43382</v>
      </c>
      <c r="BY48" s="89">
        <v>1152306</v>
      </c>
      <c r="BZ48" s="112">
        <v>77.573796713683294</v>
      </c>
      <c r="CK48" s="88">
        <v>105000</v>
      </c>
    </row>
    <row r="49" spans="1:89" x14ac:dyDescent="0.15">
      <c r="A49" s="84">
        <v>2</v>
      </c>
      <c r="B49" s="85">
        <v>43451</v>
      </c>
      <c r="C49" s="85">
        <v>43461</v>
      </c>
      <c r="D49" s="85">
        <v>43487</v>
      </c>
      <c r="F49" s="85">
        <v>43468</v>
      </c>
      <c r="G49" s="85">
        <v>43826</v>
      </c>
      <c r="H49" s="85">
        <v>43464</v>
      </c>
      <c r="I49" s="84" t="s">
        <v>401</v>
      </c>
      <c r="J49" s="84">
        <v>2</v>
      </c>
      <c r="L49" s="84">
        <v>0</v>
      </c>
      <c r="M49" s="85">
        <v>43382</v>
      </c>
      <c r="N49" s="85" t="s">
        <v>265</v>
      </c>
      <c r="O49" s="86" t="s">
        <v>340</v>
      </c>
      <c r="P49" s="84" t="s">
        <v>26</v>
      </c>
      <c r="Q49" s="86" t="s">
        <v>107</v>
      </c>
      <c r="R49" s="86" t="s">
        <v>1225</v>
      </c>
      <c r="S49" s="87" t="s">
        <v>1226</v>
      </c>
      <c r="T49" s="87" t="s">
        <v>1227</v>
      </c>
      <c r="U49" s="88">
        <v>280140</v>
      </c>
      <c r="V49" s="88">
        <v>302551.2</v>
      </c>
      <c r="W49" s="88">
        <v>280140</v>
      </c>
      <c r="X49" s="88">
        <v>302551.2</v>
      </c>
      <c r="Z49" s="88">
        <v>0</v>
      </c>
      <c r="AA49" s="85">
        <v>43459</v>
      </c>
      <c r="AB49" s="85">
        <v>43461</v>
      </c>
      <c r="AC49" s="85">
        <v>43461</v>
      </c>
      <c r="AD49" s="84">
        <v>0</v>
      </c>
      <c r="AG49" s="84">
        <v>0</v>
      </c>
      <c r="AJ49" s="84">
        <v>0</v>
      </c>
      <c r="AM49" s="84" t="s">
        <v>290</v>
      </c>
      <c r="AN49" s="84" t="s">
        <v>1228</v>
      </c>
      <c r="AR49" s="85">
        <v>43416</v>
      </c>
      <c r="AS49" s="84">
        <v>6001618599</v>
      </c>
      <c r="AT49" s="85">
        <v>43416</v>
      </c>
      <c r="AU49" s="84" t="s">
        <v>839</v>
      </c>
      <c r="AV49" s="85">
        <v>43461</v>
      </c>
      <c r="AW49" s="123">
        <v>43465</v>
      </c>
      <c r="AX49" s="123">
        <v>43485</v>
      </c>
      <c r="AY49" s="132">
        <v>268934</v>
      </c>
      <c r="AZ49" s="132">
        <f>ROUNDDOWN(AY49+(AY49*MASTER!$A$2/100),0)</f>
        <v>290448</v>
      </c>
      <c r="BA49" s="84" t="s">
        <v>745</v>
      </c>
      <c r="BB49" s="88">
        <v>112080</v>
      </c>
      <c r="BC49" s="88">
        <v>121046.39999999999</v>
      </c>
      <c r="BD49" s="84" t="s">
        <v>1138</v>
      </c>
      <c r="BG49" s="88">
        <v>0</v>
      </c>
      <c r="BK49" s="88">
        <v>0</v>
      </c>
      <c r="BS49" s="88">
        <v>0</v>
      </c>
      <c r="BV49" s="89">
        <v>302551.2</v>
      </c>
      <c r="BW49" s="89">
        <v>121046.39999999999</v>
      </c>
      <c r="BX49" s="89">
        <v>43382</v>
      </c>
      <c r="BY49" s="89">
        <v>181504.8</v>
      </c>
      <c r="BZ49" s="112">
        <v>59.991432855001072</v>
      </c>
      <c r="CK49" s="88">
        <v>0</v>
      </c>
    </row>
    <row r="50" spans="1:89" x14ac:dyDescent="0.15">
      <c r="A50" s="84">
        <v>2</v>
      </c>
      <c r="B50" s="85">
        <v>43399</v>
      </c>
      <c r="C50" s="85">
        <v>43402</v>
      </c>
      <c r="D50" s="85">
        <v>43389</v>
      </c>
      <c r="E50" s="85">
        <v>43389</v>
      </c>
      <c r="F50" s="85" t="s">
        <v>338</v>
      </c>
      <c r="G50" s="85">
        <v>43389</v>
      </c>
      <c r="H50" s="85" t="s">
        <v>338</v>
      </c>
      <c r="I50" s="84" t="s">
        <v>380</v>
      </c>
      <c r="J50" s="84">
        <v>2</v>
      </c>
      <c r="L50" s="84">
        <v>0</v>
      </c>
      <c r="M50" s="85">
        <v>43382</v>
      </c>
      <c r="N50" s="85" t="s">
        <v>265</v>
      </c>
      <c r="O50" s="86" t="s">
        <v>340</v>
      </c>
      <c r="P50" s="84" t="s">
        <v>6</v>
      </c>
      <c r="Q50" s="86" t="s">
        <v>107</v>
      </c>
      <c r="R50" s="86" t="s">
        <v>389</v>
      </c>
      <c r="S50" s="87" t="s">
        <v>390</v>
      </c>
      <c r="T50" s="87" t="s">
        <v>342</v>
      </c>
      <c r="U50" s="88">
        <v>35000</v>
      </c>
      <c r="V50" s="88">
        <v>37800</v>
      </c>
      <c r="W50" s="88">
        <v>35000</v>
      </c>
      <c r="X50" s="88">
        <v>37800</v>
      </c>
      <c r="Z50" s="88">
        <v>0</v>
      </c>
      <c r="AA50" s="85">
        <v>43382</v>
      </c>
      <c r="AB50" s="85">
        <v>43382</v>
      </c>
      <c r="AD50" s="84">
        <v>0</v>
      </c>
      <c r="AG50" s="84">
        <v>0</v>
      </c>
      <c r="AJ50" s="84">
        <v>0</v>
      </c>
      <c r="AR50" s="85">
        <v>43398</v>
      </c>
      <c r="AS50" s="84">
        <v>6001612213</v>
      </c>
      <c r="AT50" s="85">
        <v>43398</v>
      </c>
      <c r="AU50" s="84" t="s">
        <v>596</v>
      </c>
      <c r="AV50" s="85">
        <v>43402</v>
      </c>
      <c r="AW50" s="123">
        <v>43404</v>
      </c>
      <c r="AX50" s="123">
        <v>43424</v>
      </c>
      <c r="AY50" s="132">
        <v>33600</v>
      </c>
      <c r="AZ50" s="132">
        <f>ROUNDDOWN(AY50+(AY50*MASTER!$A$2/100),0)</f>
        <v>36288</v>
      </c>
      <c r="BA50" s="84" t="s">
        <v>477</v>
      </c>
      <c r="BB50" s="88">
        <v>20000</v>
      </c>
      <c r="BC50" s="88">
        <v>21600</v>
      </c>
      <c r="BD50" s="84" t="s">
        <v>188</v>
      </c>
      <c r="BG50" s="88">
        <v>0</v>
      </c>
      <c r="BK50" s="88">
        <v>0</v>
      </c>
      <c r="BS50" s="88">
        <v>0</v>
      </c>
      <c r="BV50" s="89">
        <v>37800</v>
      </c>
      <c r="BW50" s="89">
        <v>21600</v>
      </c>
      <c r="BX50" s="89">
        <v>43382</v>
      </c>
      <c r="BY50" s="89">
        <v>16200</v>
      </c>
      <c r="BZ50" s="112">
        <v>42.857142857142854</v>
      </c>
    </row>
    <row r="51" spans="1:89" x14ac:dyDescent="0.15">
      <c r="A51" s="84">
        <v>1</v>
      </c>
      <c r="B51" s="85">
        <v>43403</v>
      </c>
      <c r="C51" s="85">
        <v>43404</v>
      </c>
      <c r="F51" s="85" t="s">
        <v>338</v>
      </c>
      <c r="H51" s="85" t="s">
        <v>338</v>
      </c>
      <c r="J51" s="84">
        <v>2</v>
      </c>
      <c r="L51" s="84">
        <v>0</v>
      </c>
      <c r="M51" s="85">
        <v>43382</v>
      </c>
      <c r="N51" s="85" t="s">
        <v>265</v>
      </c>
      <c r="O51" s="86" t="s">
        <v>340</v>
      </c>
      <c r="P51" s="84" t="s">
        <v>272</v>
      </c>
      <c r="Q51" s="86" t="s">
        <v>107</v>
      </c>
      <c r="R51" s="86" t="s">
        <v>391</v>
      </c>
      <c r="S51" s="87" t="s">
        <v>392</v>
      </c>
      <c r="T51" s="87" t="s">
        <v>393</v>
      </c>
      <c r="U51" s="88">
        <v>3000</v>
      </c>
      <c r="V51" s="88">
        <v>3240</v>
      </c>
      <c r="W51" s="88">
        <v>3000</v>
      </c>
      <c r="X51" s="88">
        <v>3240</v>
      </c>
      <c r="Z51" s="88">
        <v>0</v>
      </c>
      <c r="AA51" s="85">
        <v>43376</v>
      </c>
      <c r="AD51" s="84">
        <v>0</v>
      </c>
      <c r="AG51" s="84">
        <v>0</v>
      </c>
      <c r="AJ51" s="84">
        <v>0</v>
      </c>
      <c r="AR51" s="85">
        <v>43402</v>
      </c>
      <c r="AS51" s="84">
        <v>6001613321</v>
      </c>
      <c r="AT51" s="85">
        <v>43402</v>
      </c>
      <c r="AU51" s="84" t="s">
        <v>650</v>
      </c>
      <c r="AV51" s="85">
        <v>43404</v>
      </c>
      <c r="AW51" s="123">
        <v>43404</v>
      </c>
      <c r="AX51" s="123">
        <v>43424</v>
      </c>
      <c r="AY51" s="132">
        <v>2880</v>
      </c>
      <c r="AZ51" s="132">
        <f>ROUNDDOWN(AY51+(AY51*MASTER!$A$2/100),0)</f>
        <v>3110</v>
      </c>
      <c r="BC51" s="88">
        <v>0</v>
      </c>
      <c r="BG51" s="88">
        <v>0</v>
      </c>
      <c r="BK51" s="88">
        <v>0</v>
      </c>
      <c r="BS51" s="88">
        <v>0</v>
      </c>
      <c r="BV51" s="89">
        <v>3240</v>
      </c>
      <c r="BW51" s="89">
        <v>0</v>
      </c>
      <c r="BX51" s="89">
        <v>43382</v>
      </c>
      <c r="BY51" s="89">
        <v>3240</v>
      </c>
      <c r="BZ51" s="112">
        <v>100</v>
      </c>
    </row>
    <row r="52" spans="1:89" x14ac:dyDescent="0.15">
      <c r="A52" s="84">
        <v>2</v>
      </c>
      <c r="B52" s="85">
        <v>43399</v>
      </c>
      <c r="C52" s="85">
        <v>43402</v>
      </c>
      <c r="F52" s="85" t="s">
        <v>338</v>
      </c>
      <c r="G52" s="85">
        <v>43396</v>
      </c>
      <c r="H52" s="85" t="s">
        <v>338</v>
      </c>
      <c r="J52" s="84">
        <v>2</v>
      </c>
      <c r="L52" s="84">
        <v>0</v>
      </c>
      <c r="M52" s="85">
        <v>43382</v>
      </c>
      <c r="N52" s="85" t="s">
        <v>265</v>
      </c>
      <c r="O52" s="86" t="s">
        <v>340</v>
      </c>
      <c r="P52" s="84" t="s">
        <v>6</v>
      </c>
      <c r="Q52" s="86" t="s">
        <v>107</v>
      </c>
      <c r="R52" s="86" t="s">
        <v>394</v>
      </c>
      <c r="S52" s="87" t="s">
        <v>395</v>
      </c>
      <c r="T52" s="87" t="s">
        <v>342</v>
      </c>
      <c r="U52" s="88">
        <v>35000</v>
      </c>
      <c r="V52" s="88">
        <v>37800</v>
      </c>
      <c r="W52" s="88">
        <v>35000</v>
      </c>
      <c r="X52" s="88">
        <v>37800</v>
      </c>
      <c r="Z52" s="88">
        <v>0</v>
      </c>
      <c r="AA52" s="85">
        <v>43391</v>
      </c>
      <c r="AD52" s="84">
        <v>0</v>
      </c>
      <c r="AG52" s="84">
        <v>0</v>
      </c>
      <c r="AJ52" s="84">
        <v>0</v>
      </c>
      <c r="AR52" s="85">
        <v>43398</v>
      </c>
      <c r="AS52" s="84">
        <v>6001612213</v>
      </c>
      <c r="AT52" s="85">
        <v>43398</v>
      </c>
      <c r="AU52" s="84" t="s">
        <v>596</v>
      </c>
      <c r="AV52" s="85">
        <v>43402</v>
      </c>
      <c r="AW52" s="123">
        <v>43404</v>
      </c>
      <c r="AX52" s="123">
        <v>43424</v>
      </c>
      <c r="AY52" s="132">
        <v>33600</v>
      </c>
      <c r="AZ52" s="132">
        <f>ROUNDDOWN(AY52+(AY52*MASTER!$A$2/100),0)</f>
        <v>36288</v>
      </c>
      <c r="BA52" s="84" t="s">
        <v>287</v>
      </c>
      <c r="BB52" s="88">
        <v>33000</v>
      </c>
      <c r="BC52" s="88">
        <v>35640</v>
      </c>
      <c r="BD52" s="84" t="s">
        <v>188</v>
      </c>
      <c r="BG52" s="88">
        <v>0</v>
      </c>
      <c r="BK52" s="88">
        <v>0</v>
      </c>
      <c r="BS52" s="88">
        <v>0</v>
      </c>
      <c r="BV52" s="89">
        <v>37800</v>
      </c>
      <c r="BW52" s="89">
        <v>35640</v>
      </c>
      <c r="BX52" s="89">
        <v>43382</v>
      </c>
      <c r="BY52" s="89">
        <v>2160</v>
      </c>
      <c r="BZ52" s="112">
        <v>5.7142857142857144</v>
      </c>
    </row>
    <row r="53" spans="1:89" x14ac:dyDescent="0.15">
      <c r="A53" s="84">
        <v>1</v>
      </c>
      <c r="B53" s="85">
        <v>43405</v>
      </c>
      <c r="C53" s="85">
        <v>43411</v>
      </c>
      <c r="F53" s="85" t="s">
        <v>338</v>
      </c>
      <c r="H53" s="85" t="s">
        <v>338</v>
      </c>
      <c r="J53" s="84">
        <v>1</v>
      </c>
      <c r="L53" s="84">
        <v>0</v>
      </c>
      <c r="M53" s="85">
        <v>43383</v>
      </c>
      <c r="N53" s="85" t="s">
        <v>265</v>
      </c>
      <c r="O53" s="86" t="s">
        <v>340</v>
      </c>
      <c r="P53" s="84" t="s">
        <v>26</v>
      </c>
      <c r="Q53" s="86" t="s">
        <v>107</v>
      </c>
      <c r="R53" s="86" t="s">
        <v>715</v>
      </c>
      <c r="S53" s="87" t="s">
        <v>716</v>
      </c>
      <c r="T53" s="87" t="s">
        <v>717</v>
      </c>
      <c r="U53" s="88">
        <v>23900</v>
      </c>
      <c r="V53" s="88">
        <v>25812</v>
      </c>
      <c r="W53" s="88">
        <v>14700</v>
      </c>
      <c r="X53" s="88">
        <v>15876</v>
      </c>
      <c r="Y53" s="88">
        <v>9200</v>
      </c>
      <c r="Z53" s="88">
        <v>9936</v>
      </c>
      <c r="AA53" s="85">
        <v>43409</v>
      </c>
      <c r="AB53" s="85">
        <v>43411</v>
      </c>
      <c r="AD53" s="84">
        <v>0</v>
      </c>
      <c r="AG53" s="84">
        <v>0</v>
      </c>
      <c r="AJ53" s="84">
        <v>0</v>
      </c>
      <c r="AM53" s="84" t="s">
        <v>290</v>
      </c>
      <c r="AN53" s="84" t="s">
        <v>718</v>
      </c>
      <c r="AR53" s="85">
        <v>43398</v>
      </c>
      <c r="AS53" s="84">
        <v>6001612213</v>
      </c>
      <c r="AT53" s="85">
        <v>43398</v>
      </c>
      <c r="AU53" s="84" t="s">
        <v>596</v>
      </c>
      <c r="AV53" s="85">
        <v>43411</v>
      </c>
      <c r="AW53" s="123">
        <v>43434</v>
      </c>
      <c r="AX53" s="123">
        <v>43454</v>
      </c>
      <c r="AY53" s="132">
        <v>22944</v>
      </c>
      <c r="AZ53" s="132">
        <f>ROUNDDOWN(AY53+(AY53*MASTER!$A$2/100),0)</f>
        <v>24779</v>
      </c>
      <c r="BC53" s="88">
        <v>0</v>
      </c>
      <c r="BG53" s="88">
        <v>0</v>
      </c>
      <c r="BI53" s="84" t="s">
        <v>276</v>
      </c>
      <c r="BJ53" s="88">
        <v>5980</v>
      </c>
      <c r="BK53" s="88">
        <v>6458.4</v>
      </c>
      <c r="BL53" s="84" t="s">
        <v>677</v>
      </c>
      <c r="BS53" s="88">
        <v>0</v>
      </c>
      <c r="BV53" s="89">
        <v>15876</v>
      </c>
      <c r="BW53" s="89">
        <v>6458.4</v>
      </c>
      <c r="BX53" s="89">
        <v>43383</v>
      </c>
      <c r="BY53" s="89">
        <v>9417.6</v>
      </c>
      <c r="BZ53" s="112">
        <v>59.319727891156461</v>
      </c>
      <c r="CK53" s="88">
        <v>0</v>
      </c>
    </row>
    <row r="54" spans="1:89" x14ac:dyDescent="0.15">
      <c r="A54" s="84">
        <v>1</v>
      </c>
      <c r="B54" s="85">
        <v>43384</v>
      </c>
      <c r="C54" s="85">
        <v>43388</v>
      </c>
      <c r="F54" s="85" t="s">
        <v>338</v>
      </c>
      <c r="H54" s="85" t="s">
        <v>338</v>
      </c>
      <c r="J54" s="84">
        <v>2</v>
      </c>
      <c r="L54" s="84">
        <v>0</v>
      </c>
      <c r="M54" s="85">
        <v>43383</v>
      </c>
      <c r="N54" s="85" t="s">
        <v>265</v>
      </c>
      <c r="O54" s="86" t="s">
        <v>340</v>
      </c>
      <c r="P54" s="84" t="s">
        <v>272</v>
      </c>
      <c r="Q54" s="86" t="s">
        <v>107</v>
      </c>
      <c r="R54" s="86" t="s">
        <v>402</v>
      </c>
      <c r="S54" s="87" t="s">
        <v>403</v>
      </c>
      <c r="T54" s="87" t="s">
        <v>444</v>
      </c>
      <c r="U54" s="88">
        <v>3780</v>
      </c>
      <c r="V54" s="88">
        <v>4082.4</v>
      </c>
      <c r="W54" s="88">
        <v>3780</v>
      </c>
      <c r="X54" s="88">
        <v>4082.4</v>
      </c>
      <c r="Z54" s="88">
        <v>0</v>
      </c>
      <c r="AD54" s="84">
        <v>0</v>
      </c>
      <c r="AG54" s="84">
        <v>0</v>
      </c>
      <c r="AJ54" s="84">
        <v>0</v>
      </c>
      <c r="AR54" s="85">
        <v>43384</v>
      </c>
      <c r="AS54" s="84">
        <v>6001606711</v>
      </c>
      <c r="AT54" s="85">
        <v>43384</v>
      </c>
      <c r="AU54" s="84" t="s">
        <v>413</v>
      </c>
      <c r="AV54" s="85">
        <v>43388</v>
      </c>
      <c r="AW54" s="123">
        <v>43404</v>
      </c>
      <c r="AX54" s="123">
        <v>43424</v>
      </c>
      <c r="AY54" s="132">
        <v>3628</v>
      </c>
      <c r="AZ54" s="132">
        <f>ROUNDDOWN(AY54+(AY54*MASTER!$A$2/100),0)</f>
        <v>3918</v>
      </c>
      <c r="BC54" s="88">
        <v>0</v>
      </c>
      <c r="BG54" s="88">
        <v>0</v>
      </c>
      <c r="BK54" s="88">
        <v>0</v>
      </c>
      <c r="BS54" s="88">
        <v>0</v>
      </c>
      <c r="BV54" s="89">
        <v>4082.4</v>
      </c>
      <c r="BW54" s="89">
        <v>0</v>
      </c>
      <c r="BX54" s="89">
        <v>43383</v>
      </c>
      <c r="BY54" s="89">
        <v>4082.4</v>
      </c>
      <c r="BZ54" s="112">
        <v>100</v>
      </c>
    </row>
    <row r="55" spans="1:89" x14ac:dyDescent="0.15">
      <c r="A55" s="84">
        <v>1</v>
      </c>
      <c r="B55" s="85">
        <v>43389</v>
      </c>
      <c r="C55" s="85">
        <v>43392</v>
      </c>
      <c r="F55" s="85" t="s">
        <v>338</v>
      </c>
      <c r="H55" s="85" t="s">
        <v>338</v>
      </c>
      <c r="J55" s="84">
        <v>2</v>
      </c>
      <c r="L55" s="84">
        <v>0</v>
      </c>
      <c r="M55" s="85">
        <v>43383</v>
      </c>
      <c r="N55" s="85" t="s">
        <v>265</v>
      </c>
      <c r="O55" s="86" t="s">
        <v>340</v>
      </c>
      <c r="P55" s="84" t="s">
        <v>78</v>
      </c>
      <c r="Q55" s="86" t="s">
        <v>107</v>
      </c>
      <c r="R55" s="86" t="s">
        <v>406</v>
      </c>
      <c r="S55" s="87" t="s">
        <v>407</v>
      </c>
      <c r="T55" s="87" t="s">
        <v>408</v>
      </c>
      <c r="U55" s="88">
        <v>8300</v>
      </c>
      <c r="V55" s="88">
        <v>8964</v>
      </c>
      <c r="W55" s="88">
        <v>8300</v>
      </c>
      <c r="X55" s="88">
        <v>8964</v>
      </c>
      <c r="Z55" s="88">
        <v>0</v>
      </c>
      <c r="AD55" s="84">
        <v>0</v>
      </c>
      <c r="AG55" s="84">
        <v>0</v>
      </c>
      <c r="AJ55" s="84">
        <v>0</v>
      </c>
      <c r="AR55" s="85">
        <v>43384</v>
      </c>
      <c r="AS55" s="84">
        <v>6001606710</v>
      </c>
      <c r="AT55" s="85">
        <v>43384</v>
      </c>
      <c r="AU55" s="84" t="s">
        <v>412</v>
      </c>
      <c r="AV55" s="85">
        <v>43392</v>
      </c>
      <c r="AW55" s="123">
        <v>43404</v>
      </c>
      <c r="AX55" s="123">
        <v>43424</v>
      </c>
      <c r="AY55" s="132">
        <v>7968</v>
      </c>
      <c r="AZ55" s="132">
        <f>ROUNDDOWN(AY55+(AY55*MASTER!$A$2/100),0)</f>
        <v>8605</v>
      </c>
      <c r="BC55" s="88">
        <v>0</v>
      </c>
      <c r="BG55" s="88">
        <v>0</v>
      </c>
      <c r="BK55" s="88">
        <v>0</v>
      </c>
      <c r="BS55" s="88">
        <v>0</v>
      </c>
      <c r="BV55" s="89">
        <v>8964</v>
      </c>
      <c r="BW55" s="89">
        <v>0</v>
      </c>
      <c r="BX55" s="89">
        <v>43383</v>
      </c>
      <c r="BY55" s="89">
        <v>8964</v>
      </c>
      <c r="BZ55" s="112">
        <v>100</v>
      </c>
      <c r="CK55" s="88">
        <v>0</v>
      </c>
    </row>
    <row r="56" spans="1:89" x14ac:dyDescent="0.15">
      <c r="A56" s="84">
        <v>2</v>
      </c>
      <c r="B56" s="85">
        <v>43391</v>
      </c>
      <c r="C56" s="85">
        <v>43392</v>
      </c>
      <c r="D56" s="85">
        <v>43389</v>
      </c>
      <c r="E56" s="85">
        <v>43389</v>
      </c>
      <c r="F56" s="85" t="s">
        <v>338</v>
      </c>
      <c r="G56" s="85">
        <v>43389</v>
      </c>
      <c r="H56" s="85" t="s">
        <v>338</v>
      </c>
      <c r="I56" s="84" t="s">
        <v>547</v>
      </c>
      <c r="J56" s="84">
        <v>2</v>
      </c>
      <c r="L56" s="84">
        <v>0</v>
      </c>
      <c r="M56" s="85">
        <v>43384</v>
      </c>
      <c r="N56" s="85" t="s">
        <v>265</v>
      </c>
      <c r="O56" s="86" t="s">
        <v>340</v>
      </c>
      <c r="P56" s="84" t="s">
        <v>6</v>
      </c>
      <c r="Q56" s="86" t="s">
        <v>107</v>
      </c>
      <c r="R56" s="86" t="s">
        <v>414</v>
      </c>
      <c r="S56" s="87" t="s">
        <v>415</v>
      </c>
      <c r="T56" s="87" t="s">
        <v>342</v>
      </c>
      <c r="U56" s="88">
        <v>35000</v>
      </c>
      <c r="V56" s="88">
        <v>37800</v>
      </c>
      <c r="W56" s="88">
        <v>35000</v>
      </c>
      <c r="X56" s="88">
        <v>37800</v>
      </c>
      <c r="Z56" s="88">
        <v>0</v>
      </c>
      <c r="AA56" s="85">
        <v>43385</v>
      </c>
      <c r="AB56" s="85">
        <v>43385</v>
      </c>
      <c r="AD56" s="84">
        <v>0</v>
      </c>
      <c r="AG56" s="84">
        <v>0</v>
      </c>
      <c r="AJ56" s="84">
        <v>0</v>
      </c>
      <c r="AR56" s="85">
        <v>43390</v>
      </c>
      <c r="AS56" s="84">
        <v>6001608753</v>
      </c>
      <c r="AT56" s="85">
        <v>43390</v>
      </c>
      <c r="AU56" s="84" t="s">
        <v>461</v>
      </c>
      <c r="AV56" s="85">
        <v>43392</v>
      </c>
      <c r="AW56" s="123">
        <v>43404</v>
      </c>
      <c r="AX56" s="123">
        <v>43424</v>
      </c>
      <c r="AY56" s="132">
        <v>33600</v>
      </c>
      <c r="AZ56" s="132">
        <f>ROUNDDOWN(AY56+(AY56*MASTER!$A$2/100),0)</f>
        <v>36288</v>
      </c>
      <c r="BA56" s="84" t="s">
        <v>540</v>
      </c>
      <c r="BB56" s="88">
        <v>26000</v>
      </c>
      <c r="BC56" s="88">
        <v>28080</v>
      </c>
      <c r="BD56" s="84" t="s">
        <v>430</v>
      </c>
      <c r="BG56" s="88">
        <v>0</v>
      </c>
      <c r="BK56" s="88">
        <v>0</v>
      </c>
      <c r="BS56" s="88">
        <v>0</v>
      </c>
      <c r="BV56" s="89">
        <v>37800</v>
      </c>
      <c r="BW56" s="89">
        <v>28080</v>
      </c>
      <c r="BX56" s="89">
        <v>43384</v>
      </c>
      <c r="BY56" s="89">
        <v>9720</v>
      </c>
      <c r="BZ56" s="112">
        <v>25.714285714285712</v>
      </c>
    </row>
    <row r="57" spans="1:89" x14ac:dyDescent="0.15">
      <c r="A57" s="84">
        <v>2</v>
      </c>
      <c r="B57" s="85">
        <v>43391</v>
      </c>
      <c r="C57" s="85">
        <v>43392</v>
      </c>
      <c r="D57" s="85">
        <v>43395</v>
      </c>
      <c r="F57" s="85" t="s">
        <v>338</v>
      </c>
      <c r="H57" s="85" t="s">
        <v>338</v>
      </c>
      <c r="I57" s="84" t="s">
        <v>569</v>
      </c>
      <c r="J57" s="84">
        <v>2</v>
      </c>
      <c r="L57" s="84">
        <v>0</v>
      </c>
      <c r="M57" s="85">
        <v>43384</v>
      </c>
      <c r="N57" s="85" t="s">
        <v>265</v>
      </c>
      <c r="O57" s="86" t="s">
        <v>340</v>
      </c>
      <c r="P57" s="84" t="s">
        <v>6</v>
      </c>
      <c r="Q57" s="86" t="s">
        <v>107</v>
      </c>
      <c r="R57" s="86" t="s">
        <v>416</v>
      </c>
      <c r="S57" s="87" t="s">
        <v>417</v>
      </c>
      <c r="T57" s="87" t="s">
        <v>418</v>
      </c>
      <c r="U57" s="88">
        <v>75000</v>
      </c>
      <c r="V57" s="88">
        <v>81000</v>
      </c>
      <c r="W57" s="88">
        <v>75000</v>
      </c>
      <c r="X57" s="88">
        <v>81000</v>
      </c>
      <c r="Z57" s="88">
        <v>0</v>
      </c>
      <c r="AA57" s="85">
        <v>43389</v>
      </c>
      <c r="AB57" s="85">
        <v>43390</v>
      </c>
      <c r="AD57" s="84">
        <v>0</v>
      </c>
      <c r="AG57" s="84">
        <v>0</v>
      </c>
      <c r="AJ57" s="84">
        <v>0</v>
      </c>
      <c r="AR57" s="85">
        <v>43390</v>
      </c>
      <c r="AS57" s="84">
        <v>6001608753</v>
      </c>
      <c r="AT57" s="85">
        <v>43390</v>
      </c>
      <c r="AU57" s="84" t="s">
        <v>461</v>
      </c>
      <c r="AV57" s="85">
        <v>43392</v>
      </c>
      <c r="AW57" s="123">
        <v>43404</v>
      </c>
      <c r="AX57" s="123">
        <v>43424</v>
      </c>
      <c r="AY57" s="132">
        <v>72000</v>
      </c>
      <c r="AZ57" s="132">
        <f>ROUNDDOWN(AY57+(AY57*MASTER!$A$2/100),0)</f>
        <v>77760</v>
      </c>
      <c r="BA57" s="84" t="s">
        <v>109</v>
      </c>
      <c r="BC57" s="88">
        <v>0</v>
      </c>
      <c r="BG57" s="88">
        <v>0</v>
      </c>
      <c r="BK57" s="88">
        <v>0</v>
      </c>
      <c r="BS57" s="88">
        <v>0</v>
      </c>
      <c r="BV57" s="89">
        <v>81000</v>
      </c>
      <c r="BW57" s="89">
        <v>0</v>
      </c>
      <c r="BX57" s="89">
        <v>43384</v>
      </c>
      <c r="BY57" s="89">
        <v>81000</v>
      </c>
      <c r="BZ57" s="112">
        <v>100</v>
      </c>
    </row>
    <row r="58" spans="1:89" s="151" customFormat="1" x14ac:dyDescent="0.15">
      <c r="A58" s="141">
        <v>3</v>
      </c>
      <c r="B58" s="142"/>
      <c r="C58" s="142" t="s">
        <v>338</v>
      </c>
      <c r="D58" s="142"/>
      <c r="E58" s="142"/>
      <c r="F58" s="142" t="s">
        <v>338</v>
      </c>
      <c r="G58" s="142"/>
      <c r="H58" s="142" t="s">
        <v>338</v>
      </c>
      <c r="I58" s="141"/>
      <c r="J58" s="141">
        <v>2</v>
      </c>
      <c r="K58" s="142"/>
      <c r="L58" s="141">
        <v>0</v>
      </c>
      <c r="M58" s="142">
        <v>43384</v>
      </c>
      <c r="N58" s="142" t="s">
        <v>265</v>
      </c>
      <c r="O58" s="143" t="s">
        <v>340</v>
      </c>
      <c r="P58" s="141" t="s">
        <v>6</v>
      </c>
      <c r="Q58" s="143" t="s">
        <v>107</v>
      </c>
      <c r="R58" s="143" t="s">
        <v>843</v>
      </c>
      <c r="S58" s="144" t="s">
        <v>419</v>
      </c>
      <c r="T58" s="144" t="s">
        <v>844</v>
      </c>
      <c r="U58" s="145">
        <v>61250</v>
      </c>
      <c r="V58" s="145">
        <v>66150</v>
      </c>
      <c r="W58" s="145">
        <v>61250</v>
      </c>
      <c r="X58" s="145">
        <v>66150</v>
      </c>
      <c r="Y58" s="145"/>
      <c r="Z58" s="145">
        <v>0</v>
      </c>
      <c r="AA58" s="142"/>
      <c r="AB58" s="142"/>
      <c r="AC58" s="142"/>
      <c r="AD58" s="141">
        <v>0</v>
      </c>
      <c r="AE58" s="141"/>
      <c r="AF58" s="141"/>
      <c r="AG58" s="141">
        <v>0</v>
      </c>
      <c r="AH58" s="141"/>
      <c r="AI58" s="141"/>
      <c r="AJ58" s="141">
        <v>0</v>
      </c>
      <c r="AK58" s="141"/>
      <c r="AL58" s="141"/>
      <c r="AM58" s="141"/>
      <c r="AN58" s="141"/>
      <c r="AO58" s="142"/>
      <c r="AP58" s="141"/>
      <c r="AQ58" s="141"/>
      <c r="AR58" s="142"/>
      <c r="AS58" s="141"/>
      <c r="AT58" s="142"/>
      <c r="AU58" s="141"/>
      <c r="AV58" s="142"/>
      <c r="AW58" s="146"/>
      <c r="AX58" s="146"/>
      <c r="AY58" s="147">
        <v>58800</v>
      </c>
      <c r="AZ58" s="132">
        <f>ROUNDDOWN(AY58+(AY58*MASTER!$A$2/100),0)</f>
        <v>63504</v>
      </c>
      <c r="BA58" s="141"/>
      <c r="BB58" s="145"/>
      <c r="BC58" s="145">
        <v>0</v>
      </c>
      <c r="BD58" s="141"/>
      <c r="BE58" s="141"/>
      <c r="BF58" s="145"/>
      <c r="BG58" s="145">
        <v>0</v>
      </c>
      <c r="BH58" s="141"/>
      <c r="BI58" s="141"/>
      <c r="BJ58" s="145"/>
      <c r="BK58" s="145">
        <v>0</v>
      </c>
      <c r="BL58" s="141"/>
      <c r="BM58" s="145"/>
      <c r="BN58" s="145"/>
      <c r="BO58" s="145"/>
      <c r="BP58" s="145"/>
      <c r="BQ58" s="145"/>
      <c r="BR58" s="145"/>
      <c r="BS58" s="145">
        <v>0</v>
      </c>
      <c r="BT58" s="148"/>
      <c r="BU58" s="148"/>
      <c r="BV58" s="149">
        <v>66150</v>
      </c>
      <c r="BW58" s="149">
        <v>0</v>
      </c>
      <c r="BX58" s="149">
        <v>43384</v>
      </c>
      <c r="BY58" s="149">
        <v>66150</v>
      </c>
      <c r="BZ58" s="150">
        <v>100</v>
      </c>
      <c r="CA58" s="141"/>
      <c r="CB58" s="141"/>
      <c r="CC58" s="141"/>
      <c r="CD58" s="144" t="s">
        <v>845</v>
      </c>
      <c r="CE58" s="142"/>
      <c r="CF58" s="142"/>
      <c r="CG58" s="142"/>
      <c r="CH58" s="142"/>
      <c r="CI58" s="142"/>
      <c r="CJ58" s="142"/>
      <c r="CK58" s="145"/>
    </row>
    <row r="59" spans="1:89" x14ac:dyDescent="0.15">
      <c r="A59" s="84">
        <v>1</v>
      </c>
      <c r="B59" s="85">
        <v>43399</v>
      </c>
      <c r="C59" s="85">
        <v>43402</v>
      </c>
      <c r="F59" s="85" t="s">
        <v>338</v>
      </c>
      <c r="H59" s="85" t="s">
        <v>338</v>
      </c>
      <c r="I59" s="84" t="s">
        <v>401</v>
      </c>
      <c r="J59" s="84">
        <v>1</v>
      </c>
      <c r="L59" s="84">
        <v>0</v>
      </c>
      <c r="M59" s="85">
        <v>43385</v>
      </c>
      <c r="N59" s="85" t="s">
        <v>265</v>
      </c>
      <c r="O59" s="86" t="s">
        <v>340</v>
      </c>
      <c r="P59" s="84" t="s">
        <v>26</v>
      </c>
      <c r="Q59" s="86" t="s">
        <v>107</v>
      </c>
      <c r="R59" s="86" t="s">
        <v>638</v>
      </c>
      <c r="S59" s="87" t="s">
        <v>639</v>
      </c>
      <c r="T59" s="87" t="s">
        <v>640</v>
      </c>
      <c r="U59" s="88">
        <v>737500</v>
      </c>
      <c r="V59" s="88">
        <v>796500</v>
      </c>
      <c r="W59" s="88">
        <v>667500</v>
      </c>
      <c r="X59" s="88">
        <v>720900</v>
      </c>
      <c r="Y59" s="88">
        <v>70000</v>
      </c>
      <c r="Z59" s="88">
        <v>75600</v>
      </c>
      <c r="AA59" s="85">
        <v>43401</v>
      </c>
      <c r="AB59" s="85">
        <v>43402</v>
      </c>
      <c r="AD59" s="84">
        <v>0</v>
      </c>
      <c r="AG59" s="84">
        <v>0</v>
      </c>
      <c r="AJ59" s="84">
        <v>0</v>
      </c>
      <c r="AM59" s="84" t="s">
        <v>290</v>
      </c>
      <c r="AN59" s="84" t="s">
        <v>641</v>
      </c>
      <c r="AR59" s="85">
        <v>43398</v>
      </c>
      <c r="AS59" s="84">
        <v>6001612213</v>
      </c>
      <c r="AT59" s="85">
        <v>43398</v>
      </c>
      <c r="AU59" s="84" t="s">
        <v>596</v>
      </c>
      <c r="AV59" s="85">
        <v>43402</v>
      </c>
      <c r="AW59" s="123">
        <v>43404</v>
      </c>
      <c r="AX59" s="123">
        <v>43424</v>
      </c>
      <c r="AY59" s="132">
        <v>708000</v>
      </c>
      <c r="AZ59" s="132">
        <f>ROUNDDOWN(AY59+(AY59*MASTER!$A$2/100),0)</f>
        <v>764640</v>
      </c>
      <c r="BA59" s="84" t="s">
        <v>666</v>
      </c>
      <c r="BB59" s="88">
        <v>227000</v>
      </c>
      <c r="BC59" s="88">
        <v>245160</v>
      </c>
      <c r="BD59" s="84" t="s">
        <v>189</v>
      </c>
      <c r="BG59" s="88">
        <v>0</v>
      </c>
      <c r="BI59" s="84" t="s">
        <v>276</v>
      </c>
      <c r="BJ59" s="88">
        <v>45500</v>
      </c>
      <c r="BK59" s="88">
        <v>49140</v>
      </c>
      <c r="BL59" s="84" t="s">
        <v>863</v>
      </c>
      <c r="BS59" s="88">
        <v>0</v>
      </c>
      <c r="BV59" s="89">
        <v>720900</v>
      </c>
      <c r="BW59" s="89">
        <v>294300</v>
      </c>
      <c r="BX59" s="89">
        <v>43385</v>
      </c>
      <c r="BY59" s="89">
        <v>426600</v>
      </c>
      <c r="BZ59" s="112">
        <v>59.176029962546814</v>
      </c>
      <c r="CK59" s="88">
        <v>31500</v>
      </c>
    </row>
    <row r="60" spans="1:89" x14ac:dyDescent="0.15">
      <c r="A60" s="84">
        <v>2</v>
      </c>
      <c r="B60" s="85">
        <v>43451</v>
      </c>
      <c r="C60" s="85">
        <v>43461</v>
      </c>
      <c r="D60" s="85" t="s">
        <v>374</v>
      </c>
      <c r="F60" s="85">
        <v>43463</v>
      </c>
      <c r="G60" s="85">
        <v>43469</v>
      </c>
      <c r="H60" s="85">
        <v>43459</v>
      </c>
      <c r="I60" s="84" t="s">
        <v>401</v>
      </c>
      <c r="J60" s="84">
        <v>1</v>
      </c>
      <c r="K60" s="85">
        <v>43412</v>
      </c>
      <c r="L60" s="84" t="s">
        <v>818</v>
      </c>
      <c r="M60" s="85">
        <v>43385</v>
      </c>
      <c r="N60" s="85" t="s">
        <v>265</v>
      </c>
      <c r="O60" s="86" t="s">
        <v>340</v>
      </c>
      <c r="P60" s="84" t="s">
        <v>26</v>
      </c>
      <c r="Q60" s="86" t="s">
        <v>107</v>
      </c>
      <c r="R60" s="86" t="s">
        <v>804</v>
      </c>
      <c r="S60" s="87" t="s">
        <v>805</v>
      </c>
      <c r="T60" s="87" t="s">
        <v>721</v>
      </c>
      <c r="U60" s="88">
        <v>23900</v>
      </c>
      <c r="V60" s="88">
        <v>25812</v>
      </c>
      <c r="W60" s="88">
        <v>14700</v>
      </c>
      <c r="X60" s="88">
        <v>15876</v>
      </c>
      <c r="Y60" s="88">
        <v>9200</v>
      </c>
      <c r="Z60" s="88">
        <v>9936</v>
      </c>
      <c r="AA60" s="85">
        <v>43455</v>
      </c>
      <c r="AB60" s="85">
        <v>43456</v>
      </c>
      <c r="AC60" s="85">
        <v>43456</v>
      </c>
      <c r="AD60" s="84">
        <v>0</v>
      </c>
      <c r="AG60" s="84">
        <v>0</v>
      </c>
      <c r="AJ60" s="84">
        <v>0</v>
      </c>
      <c r="AM60" s="84" t="s">
        <v>290</v>
      </c>
      <c r="AN60" s="84" t="s">
        <v>806</v>
      </c>
      <c r="AR60" s="85">
        <v>43439</v>
      </c>
      <c r="AS60" s="84">
        <v>6001626565</v>
      </c>
      <c r="AT60" s="85">
        <v>43439</v>
      </c>
      <c r="AU60" s="84" t="s">
        <v>1132</v>
      </c>
      <c r="AV60" s="85">
        <v>43461</v>
      </c>
      <c r="AW60" s="123">
        <v>43465</v>
      </c>
      <c r="AX60" s="123">
        <v>43485</v>
      </c>
      <c r="AY60" s="132">
        <v>22944</v>
      </c>
      <c r="AZ60" s="132">
        <f>ROUNDDOWN(AY60+(AY60*MASTER!$A$2/100),0)</f>
        <v>24779</v>
      </c>
      <c r="BA60" s="84" t="s">
        <v>778</v>
      </c>
      <c r="BC60" s="88">
        <v>0</v>
      </c>
      <c r="BG60" s="88">
        <v>0</v>
      </c>
      <c r="BI60" s="84" t="s">
        <v>276</v>
      </c>
      <c r="BJ60" s="88">
        <v>5980</v>
      </c>
      <c r="BK60" s="88">
        <v>6458.4</v>
      </c>
      <c r="BL60" s="84" t="s">
        <v>1421</v>
      </c>
      <c r="BS60" s="88">
        <v>0</v>
      </c>
      <c r="BV60" s="89">
        <v>15876</v>
      </c>
      <c r="BW60" s="89">
        <v>6458.4</v>
      </c>
      <c r="BX60" s="89">
        <v>0</v>
      </c>
      <c r="BY60" s="89">
        <v>43412</v>
      </c>
      <c r="BZ60" s="112">
        <v>59.319727891156461</v>
      </c>
      <c r="CK60" s="88">
        <v>0</v>
      </c>
    </row>
    <row r="61" spans="1:89" x14ac:dyDescent="0.15">
      <c r="A61" s="84">
        <v>2</v>
      </c>
      <c r="B61" s="85">
        <v>43399</v>
      </c>
      <c r="C61" s="85">
        <v>43406</v>
      </c>
      <c r="D61" s="85">
        <v>43440</v>
      </c>
      <c r="E61" s="85">
        <v>43402</v>
      </c>
      <c r="F61" s="85">
        <v>43413</v>
      </c>
      <c r="G61" s="85">
        <v>43402</v>
      </c>
      <c r="H61" s="85">
        <v>43409</v>
      </c>
      <c r="I61" s="84" t="s">
        <v>401</v>
      </c>
      <c r="J61" s="84">
        <v>1</v>
      </c>
      <c r="L61" s="84">
        <v>0</v>
      </c>
      <c r="M61" s="85">
        <v>43385</v>
      </c>
      <c r="N61" s="85" t="s">
        <v>265</v>
      </c>
      <c r="O61" s="86" t="s">
        <v>340</v>
      </c>
      <c r="P61" s="84" t="s">
        <v>26</v>
      </c>
      <c r="Q61" s="86" t="s">
        <v>107</v>
      </c>
      <c r="R61" s="86" t="s">
        <v>634</v>
      </c>
      <c r="S61" s="87" t="s">
        <v>635</v>
      </c>
      <c r="T61" s="87" t="s">
        <v>636</v>
      </c>
      <c r="U61" s="88">
        <v>50000</v>
      </c>
      <c r="V61" s="88">
        <v>54000</v>
      </c>
      <c r="W61" s="88">
        <v>47000</v>
      </c>
      <c r="X61" s="88">
        <v>50760</v>
      </c>
      <c r="Y61" s="88">
        <v>3000</v>
      </c>
      <c r="Z61" s="88">
        <v>3240</v>
      </c>
      <c r="AA61" s="85">
        <v>43401</v>
      </c>
      <c r="AB61" s="85">
        <v>43406</v>
      </c>
      <c r="AC61" s="85">
        <v>43406</v>
      </c>
      <c r="AD61" s="84">
        <v>0</v>
      </c>
      <c r="AG61" s="84">
        <v>0</v>
      </c>
      <c r="AJ61" s="84">
        <v>0</v>
      </c>
      <c r="AM61" s="84" t="s">
        <v>290</v>
      </c>
      <c r="AN61" s="84" t="s">
        <v>637</v>
      </c>
      <c r="AR61" s="85">
        <v>43398</v>
      </c>
      <c r="AS61" s="84">
        <v>6001612213</v>
      </c>
      <c r="AT61" s="85">
        <v>43398</v>
      </c>
      <c r="AU61" s="84" t="s">
        <v>596</v>
      </c>
      <c r="AV61" s="85">
        <v>43406</v>
      </c>
      <c r="AW61" s="123">
        <v>43404</v>
      </c>
      <c r="AX61" s="123">
        <v>43424</v>
      </c>
      <c r="AY61" s="132">
        <v>48000</v>
      </c>
      <c r="AZ61" s="132">
        <f>ROUNDDOWN(AY61+(AY61*MASTER!$A$2/100),0)</f>
        <v>51840</v>
      </c>
      <c r="BA61" s="84" t="s">
        <v>400</v>
      </c>
      <c r="BB61" s="88">
        <v>24000</v>
      </c>
      <c r="BC61" s="88">
        <v>25920</v>
      </c>
      <c r="BD61" s="84" t="s">
        <v>189</v>
      </c>
      <c r="BG61" s="88">
        <v>0</v>
      </c>
      <c r="BI61" s="84" t="s">
        <v>434</v>
      </c>
      <c r="BJ61" s="88">
        <v>1950</v>
      </c>
      <c r="BK61" s="88">
        <v>2106</v>
      </c>
      <c r="BL61" s="84" t="s">
        <v>189</v>
      </c>
      <c r="BS61" s="88">
        <v>0</v>
      </c>
      <c r="BV61" s="89">
        <v>50760</v>
      </c>
      <c r="BW61" s="89">
        <v>28026</v>
      </c>
      <c r="BX61" s="89">
        <v>43385</v>
      </c>
      <c r="BY61" s="89">
        <v>22734</v>
      </c>
      <c r="BZ61" s="112">
        <v>44.787234042553195</v>
      </c>
      <c r="CK61" s="88">
        <v>0</v>
      </c>
    </row>
    <row r="62" spans="1:89" s="151" customFormat="1" x14ac:dyDescent="0.15">
      <c r="A62" s="141">
        <v>3</v>
      </c>
      <c r="B62" s="142"/>
      <c r="C62" s="142" t="s">
        <v>338</v>
      </c>
      <c r="D62" s="142"/>
      <c r="E62" s="142"/>
      <c r="F62" s="142" t="s">
        <v>338</v>
      </c>
      <c r="G62" s="142"/>
      <c r="H62" s="142" t="s">
        <v>338</v>
      </c>
      <c r="I62" s="141"/>
      <c r="J62" s="141">
        <v>1</v>
      </c>
      <c r="K62" s="142"/>
      <c r="L62" s="141">
        <v>0</v>
      </c>
      <c r="M62" s="142">
        <v>43385</v>
      </c>
      <c r="N62" s="142" t="s">
        <v>265</v>
      </c>
      <c r="O62" s="143" t="s">
        <v>340</v>
      </c>
      <c r="P62" s="141" t="s">
        <v>26</v>
      </c>
      <c r="Q62" s="143" t="s">
        <v>107</v>
      </c>
      <c r="R62" s="143" t="s">
        <v>1301</v>
      </c>
      <c r="S62" s="144" t="s">
        <v>1302</v>
      </c>
      <c r="T62" s="144" t="s">
        <v>1303</v>
      </c>
      <c r="U62" s="145">
        <v>59000</v>
      </c>
      <c r="V62" s="145">
        <v>63720</v>
      </c>
      <c r="W62" s="145">
        <v>47000</v>
      </c>
      <c r="X62" s="145">
        <v>50760</v>
      </c>
      <c r="Y62" s="145">
        <v>12000</v>
      </c>
      <c r="Z62" s="145">
        <v>12960</v>
      </c>
      <c r="AA62" s="142">
        <v>43452</v>
      </c>
      <c r="AB62" s="142">
        <v>43455</v>
      </c>
      <c r="AC62" s="142"/>
      <c r="AD62" s="141">
        <v>0</v>
      </c>
      <c r="AE62" s="141"/>
      <c r="AF62" s="141"/>
      <c r="AG62" s="141">
        <v>0</v>
      </c>
      <c r="AH62" s="141"/>
      <c r="AI62" s="141"/>
      <c r="AJ62" s="141">
        <v>0</v>
      </c>
      <c r="AK62" s="141"/>
      <c r="AL62" s="141"/>
      <c r="AM62" s="141" t="s">
        <v>290</v>
      </c>
      <c r="AN62" s="141" t="s">
        <v>1304</v>
      </c>
      <c r="AO62" s="142"/>
      <c r="AP62" s="141"/>
      <c r="AQ62" s="141"/>
      <c r="AR62" s="142"/>
      <c r="AS62" s="141"/>
      <c r="AT62" s="142"/>
      <c r="AU62" s="141"/>
      <c r="AV62" s="142"/>
      <c r="AW62" s="146"/>
      <c r="AX62" s="146"/>
      <c r="AY62" s="147">
        <v>56640</v>
      </c>
      <c r="AZ62" s="132">
        <f>ROUNDDOWN(AY62+(AY62*MASTER!$A$2/100),0)</f>
        <v>61171</v>
      </c>
      <c r="BA62" s="141"/>
      <c r="BB62" s="145"/>
      <c r="BC62" s="145">
        <v>0</v>
      </c>
      <c r="BD62" s="141"/>
      <c r="BE62" s="141"/>
      <c r="BF62" s="145"/>
      <c r="BG62" s="145">
        <v>0</v>
      </c>
      <c r="BH62" s="141"/>
      <c r="BI62" s="141"/>
      <c r="BJ62" s="145"/>
      <c r="BK62" s="145">
        <v>0</v>
      </c>
      <c r="BL62" s="141"/>
      <c r="BM62" s="145"/>
      <c r="BN62" s="145"/>
      <c r="BO62" s="145"/>
      <c r="BP62" s="145"/>
      <c r="BQ62" s="145"/>
      <c r="BR62" s="145"/>
      <c r="BS62" s="145">
        <v>0</v>
      </c>
      <c r="BT62" s="148"/>
      <c r="BU62" s="148"/>
      <c r="BV62" s="149">
        <v>50760</v>
      </c>
      <c r="BW62" s="149">
        <v>0</v>
      </c>
      <c r="BX62" s="149">
        <v>43385</v>
      </c>
      <c r="BY62" s="149">
        <v>50760</v>
      </c>
      <c r="BZ62" s="150">
        <v>100</v>
      </c>
      <c r="CA62" s="141"/>
      <c r="CB62" s="141"/>
      <c r="CC62" s="141"/>
      <c r="CD62" s="144" t="s">
        <v>1305</v>
      </c>
      <c r="CE62" s="142"/>
      <c r="CF62" s="142"/>
      <c r="CG62" s="142"/>
      <c r="CH62" s="142"/>
      <c r="CI62" s="142"/>
      <c r="CJ62" s="142"/>
      <c r="CK62" s="145">
        <v>0</v>
      </c>
    </row>
    <row r="63" spans="1:89" s="151" customFormat="1" x14ac:dyDescent="0.15">
      <c r="A63" s="141">
        <v>3</v>
      </c>
      <c r="B63" s="142"/>
      <c r="C63" s="142" t="s">
        <v>338</v>
      </c>
      <c r="D63" s="142"/>
      <c r="E63" s="142"/>
      <c r="F63" s="142" t="s">
        <v>338</v>
      </c>
      <c r="G63" s="142"/>
      <c r="H63" s="142" t="s">
        <v>338</v>
      </c>
      <c r="I63" s="141"/>
      <c r="J63" s="141">
        <v>1</v>
      </c>
      <c r="K63" s="142"/>
      <c r="L63" s="141">
        <v>0</v>
      </c>
      <c r="M63" s="142">
        <v>43385</v>
      </c>
      <c r="N63" s="142" t="s">
        <v>265</v>
      </c>
      <c r="O63" s="143" t="s">
        <v>340</v>
      </c>
      <c r="P63" s="141" t="s">
        <v>26</v>
      </c>
      <c r="Q63" s="143" t="s">
        <v>107</v>
      </c>
      <c r="R63" s="143" t="s">
        <v>1040</v>
      </c>
      <c r="S63" s="144" t="s">
        <v>997</v>
      </c>
      <c r="T63" s="144" t="s">
        <v>455</v>
      </c>
      <c r="U63" s="145">
        <v>117800</v>
      </c>
      <c r="V63" s="145">
        <v>127224</v>
      </c>
      <c r="W63" s="145">
        <v>105800</v>
      </c>
      <c r="X63" s="145">
        <v>114264</v>
      </c>
      <c r="Y63" s="145">
        <v>12000</v>
      </c>
      <c r="Z63" s="145">
        <v>12960</v>
      </c>
      <c r="AA63" s="142">
        <v>43458</v>
      </c>
      <c r="AB63" s="142">
        <v>43461</v>
      </c>
      <c r="AC63" s="142"/>
      <c r="AD63" s="141">
        <v>0</v>
      </c>
      <c r="AE63" s="141"/>
      <c r="AF63" s="141"/>
      <c r="AG63" s="141">
        <v>0</v>
      </c>
      <c r="AH63" s="141"/>
      <c r="AI63" s="141"/>
      <c r="AJ63" s="141">
        <v>0</v>
      </c>
      <c r="AK63" s="141"/>
      <c r="AL63" s="141"/>
      <c r="AM63" s="141" t="s">
        <v>290</v>
      </c>
      <c r="AN63" s="141" t="s">
        <v>1041</v>
      </c>
      <c r="AO63" s="142"/>
      <c r="AP63" s="141"/>
      <c r="AQ63" s="141"/>
      <c r="AR63" s="142"/>
      <c r="AS63" s="141"/>
      <c r="AT63" s="142"/>
      <c r="AU63" s="141"/>
      <c r="AV63" s="142"/>
      <c r="AW63" s="146"/>
      <c r="AX63" s="146"/>
      <c r="AY63" s="147">
        <v>113088</v>
      </c>
      <c r="AZ63" s="132">
        <f>ROUNDDOWN(AY63+(AY63*MASTER!$A$2/100),0)</f>
        <v>122135</v>
      </c>
      <c r="BA63" s="141"/>
      <c r="BB63" s="145"/>
      <c r="BC63" s="145">
        <v>0</v>
      </c>
      <c r="BD63" s="141"/>
      <c r="BE63" s="141"/>
      <c r="BF63" s="145"/>
      <c r="BG63" s="145">
        <v>0</v>
      </c>
      <c r="BH63" s="141"/>
      <c r="BI63" s="141"/>
      <c r="BJ63" s="145"/>
      <c r="BK63" s="145">
        <v>0</v>
      </c>
      <c r="BL63" s="141"/>
      <c r="BM63" s="145"/>
      <c r="BN63" s="145"/>
      <c r="BO63" s="145"/>
      <c r="BP63" s="145"/>
      <c r="BQ63" s="145"/>
      <c r="BR63" s="145"/>
      <c r="BS63" s="145">
        <v>0</v>
      </c>
      <c r="BT63" s="148"/>
      <c r="BU63" s="148"/>
      <c r="BV63" s="149">
        <v>114264</v>
      </c>
      <c r="BW63" s="149">
        <v>0</v>
      </c>
      <c r="BX63" s="149">
        <v>43385</v>
      </c>
      <c r="BY63" s="149">
        <v>114264</v>
      </c>
      <c r="BZ63" s="150">
        <v>100</v>
      </c>
      <c r="CA63" s="141"/>
      <c r="CB63" s="141"/>
      <c r="CC63" s="141"/>
      <c r="CD63" s="144" t="s">
        <v>1042</v>
      </c>
      <c r="CE63" s="142"/>
      <c r="CF63" s="142"/>
      <c r="CG63" s="142"/>
      <c r="CH63" s="142"/>
      <c r="CI63" s="142"/>
      <c r="CJ63" s="142"/>
      <c r="CK63" s="145">
        <v>6300</v>
      </c>
    </row>
    <row r="64" spans="1:89" x14ac:dyDescent="0.15">
      <c r="A64" s="84">
        <v>2</v>
      </c>
      <c r="B64" s="85">
        <v>43451</v>
      </c>
      <c r="C64" s="85">
        <v>43461</v>
      </c>
      <c r="D64" s="85">
        <v>43487</v>
      </c>
      <c r="F64" s="85">
        <v>43468</v>
      </c>
      <c r="G64" s="85">
        <v>43472</v>
      </c>
      <c r="H64" s="85">
        <v>43464</v>
      </c>
      <c r="I64" s="84" t="s">
        <v>401</v>
      </c>
      <c r="J64" s="84">
        <v>1</v>
      </c>
      <c r="L64" s="84">
        <v>0</v>
      </c>
      <c r="M64" s="85">
        <v>43385</v>
      </c>
      <c r="N64" s="85" t="s">
        <v>265</v>
      </c>
      <c r="O64" s="86" t="s">
        <v>340</v>
      </c>
      <c r="P64" s="84" t="s">
        <v>26</v>
      </c>
      <c r="Q64" s="86" t="s">
        <v>107</v>
      </c>
      <c r="R64" s="86" t="s">
        <v>1285</v>
      </c>
      <c r="S64" s="87" t="s">
        <v>1286</v>
      </c>
      <c r="T64" s="87" t="s">
        <v>455</v>
      </c>
      <c r="U64" s="88">
        <v>117800</v>
      </c>
      <c r="V64" s="88">
        <v>127224</v>
      </c>
      <c r="W64" s="88">
        <v>105800</v>
      </c>
      <c r="X64" s="88">
        <v>114264</v>
      </c>
      <c r="Y64" s="88">
        <v>12000</v>
      </c>
      <c r="Z64" s="88">
        <v>12960</v>
      </c>
      <c r="AA64" s="85">
        <v>43458</v>
      </c>
      <c r="AB64" s="85">
        <v>43461</v>
      </c>
      <c r="AC64" s="85">
        <v>43461</v>
      </c>
      <c r="AD64" s="84">
        <v>0</v>
      </c>
      <c r="AG64" s="84">
        <v>0</v>
      </c>
      <c r="AJ64" s="84">
        <v>0</v>
      </c>
      <c r="AM64" s="84" t="s">
        <v>290</v>
      </c>
      <c r="AN64" s="84" t="s">
        <v>1287</v>
      </c>
      <c r="AR64" s="85">
        <v>43416</v>
      </c>
      <c r="AS64" s="84">
        <v>6001618599</v>
      </c>
      <c r="AT64" s="85">
        <v>43416</v>
      </c>
      <c r="AU64" s="84" t="s">
        <v>839</v>
      </c>
      <c r="AV64" s="85">
        <v>43461</v>
      </c>
      <c r="AW64" s="123">
        <v>43465</v>
      </c>
      <c r="AX64" s="123">
        <v>43485</v>
      </c>
      <c r="AY64" s="132">
        <v>113088</v>
      </c>
      <c r="AZ64" s="132">
        <f>ROUNDDOWN(AY64+(AY64*MASTER!$A$2/100),0)</f>
        <v>122135</v>
      </c>
      <c r="BA64" s="84" t="s">
        <v>286</v>
      </c>
      <c r="BB64" s="88">
        <v>62000</v>
      </c>
      <c r="BC64" s="88">
        <v>66960</v>
      </c>
      <c r="BD64" s="84" t="s">
        <v>1138</v>
      </c>
      <c r="BG64" s="88">
        <v>0</v>
      </c>
      <c r="BI64" s="84" t="s">
        <v>276</v>
      </c>
      <c r="BJ64" s="88">
        <v>7800</v>
      </c>
      <c r="BK64" s="88">
        <v>8424</v>
      </c>
      <c r="BL64" s="84" t="s">
        <v>1421</v>
      </c>
      <c r="BS64" s="88">
        <v>0</v>
      </c>
      <c r="BV64" s="89">
        <v>114264</v>
      </c>
      <c r="BW64" s="89">
        <v>75384</v>
      </c>
      <c r="BX64" s="89">
        <v>43385</v>
      </c>
      <c r="BY64" s="89">
        <v>38880</v>
      </c>
      <c r="BZ64" s="112">
        <v>34.026465028355382</v>
      </c>
      <c r="CK64" s="88">
        <v>6300</v>
      </c>
    </row>
    <row r="65" spans="1:89" x14ac:dyDescent="0.15">
      <c r="A65" s="84">
        <v>2</v>
      </c>
      <c r="B65" s="85">
        <v>43451</v>
      </c>
      <c r="C65" s="85">
        <v>43461</v>
      </c>
      <c r="D65" s="85">
        <v>43487</v>
      </c>
      <c r="F65" s="85">
        <v>43468</v>
      </c>
      <c r="G65" s="85">
        <v>43459</v>
      </c>
      <c r="H65" s="85">
        <v>43464</v>
      </c>
      <c r="I65" s="84" t="s">
        <v>401</v>
      </c>
      <c r="J65" s="84">
        <v>2</v>
      </c>
      <c r="L65" s="84">
        <v>0</v>
      </c>
      <c r="M65" s="85">
        <v>43385</v>
      </c>
      <c r="N65" s="85" t="s">
        <v>265</v>
      </c>
      <c r="O65" s="86" t="s">
        <v>340</v>
      </c>
      <c r="P65" s="84" t="s">
        <v>26</v>
      </c>
      <c r="Q65" s="86" t="s">
        <v>107</v>
      </c>
      <c r="R65" s="86" t="s">
        <v>1288</v>
      </c>
      <c r="S65" s="87" t="s">
        <v>768</v>
      </c>
      <c r="T65" s="87" t="s">
        <v>455</v>
      </c>
      <c r="U65" s="88">
        <v>97800</v>
      </c>
      <c r="V65" s="88">
        <v>105624</v>
      </c>
      <c r="W65" s="88">
        <v>97800</v>
      </c>
      <c r="X65" s="88">
        <v>105624</v>
      </c>
      <c r="Z65" s="88">
        <v>0</v>
      </c>
      <c r="AA65" s="85">
        <v>43458</v>
      </c>
      <c r="AB65" s="85">
        <v>43461</v>
      </c>
      <c r="AC65" s="85">
        <v>43461</v>
      </c>
      <c r="AD65" s="84">
        <v>0</v>
      </c>
      <c r="AG65" s="84">
        <v>0</v>
      </c>
      <c r="AJ65" s="84">
        <v>0</v>
      </c>
      <c r="AM65" s="84" t="s">
        <v>290</v>
      </c>
      <c r="AN65" s="84" t="s">
        <v>1289</v>
      </c>
      <c r="AR65" s="85">
        <v>43416</v>
      </c>
      <c r="AS65" s="84">
        <v>6001618599</v>
      </c>
      <c r="AT65" s="85">
        <v>43416</v>
      </c>
      <c r="AU65" s="84" t="s">
        <v>839</v>
      </c>
      <c r="AV65" s="85">
        <v>43461</v>
      </c>
      <c r="AW65" s="123">
        <v>43465</v>
      </c>
      <c r="AX65" s="123">
        <v>43485</v>
      </c>
      <c r="AY65" s="132">
        <v>93888</v>
      </c>
      <c r="AZ65" s="132">
        <f>ROUNDDOWN(AY65+(AY65*MASTER!$A$2/100),0)</f>
        <v>101399</v>
      </c>
      <c r="BA65" s="84" t="s">
        <v>286</v>
      </c>
      <c r="BB65" s="88">
        <v>70000</v>
      </c>
      <c r="BC65" s="88">
        <v>75600</v>
      </c>
      <c r="BD65" s="84" t="s">
        <v>1138</v>
      </c>
      <c r="BG65" s="88">
        <v>0</v>
      </c>
      <c r="BK65" s="88">
        <v>0</v>
      </c>
      <c r="BS65" s="88">
        <v>0</v>
      </c>
      <c r="BV65" s="89">
        <v>105624</v>
      </c>
      <c r="BW65" s="89">
        <v>75600</v>
      </c>
      <c r="BX65" s="89">
        <v>43385</v>
      </c>
      <c r="BY65" s="89">
        <v>30024</v>
      </c>
      <c r="BZ65" s="112">
        <v>28.425357873210633</v>
      </c>
      <c r="CK65" s="88">
        <v>6300</v>
      </c>
    </row>
    <row r="66" spans="1:89" x14ac:dyDescent="0.15">
      <c r="A66" s="84">
        <v>1</v>
      </c>
      <c r="C66" s="85" t="s">
        <v>338</v>
      </c>
      <c r="F66" s="85" t="s">
        <v>338</v>
      </c>
      <c r="H66" s="85" t="s">
        <v>338</v>
      </c>
      <c r="J66" s="84">
        <v>2</v>
      </c>
      <c r="L66" s="84">
        <v>0</v>
      </c>
      <c r="M66" s="85">
        <v>43385</v>
      </c>
      <c r="N66" s="85" t="s">
        <v>264</v>
      </c>
      <c r="O66" s="86" t="s">
        <v>340</v>
      </c>
      <c r="P66" s="84" t="s">
        <v>272</v>
      </c>
      <c r="Q66" s="86" t="s">
        <v>107</v>
      </c>
      <c r="R66" s="86" t="s">
        <v>420</v>
      </c>
      <c r="S66" s="87" t="s">
        <v>387</v>
      </c>
      <c r="T66" s="87" t="s">
        <v>421</v>
      </c>
      <c r="U66" s="88">
        <v>280000</v>
      </c>
      <c r="V66" s="88">
        <v>302400</v>
      </c>
      <c r="W66" s="88">
        <v>280000</v>
      </c>
      <c r="X66" s="88">
        <v>302400</v>
      </c>
      <c r="Z66" s="88">
        <v>0</v>
      </c>
      <c r="AD66" s="84">
        <v>0</v>
      </c>
      <c r="AG66" s="84">
        <v>0</v>
      </c>
      <c r="AJ66" s="84">
        <v>0</v>
      </c>
      <c r="AR66" s="85">
        <v>43405</v>
      </c>
      <c r="AS66" s="84">
        <v>6001614419</v>
      </c>
      <c r="AT66" s="85">
        <v>43405</v>
      </c>
      <c r="AU66" s="84" t="s">
        <v>727</v>
      </c>
      <c r="AV66" s="85">
        <v>43405</v>
      </c>
      <c r="AW66" s="123">
        <v>43434</v>
      </c>
      <c r="AX66" s="123">
        <v>43454</v>
      </c>
      <c r="AY66" s="140">
        <v>280000</v>
      </c>
      <c r="AZ66" s="132">
        <f>ROUNDDOWN(AY66+(AY66*MASTER!$A$2/100),0)</f>
        <v>302400</v>
      </c>
      <c r="BC66" s="88">
        <v>0</v>
      </c>
      <c r="BG66" s="88">
        <v>0</v>
      </c>
      <c r="BK66" s="88">
        <v>0</v>
      </c>
      <c r="BS66" s="88">
        <v>0</v>
      </c>
      <c r="BV66" s="89">
        <v>302400</v>
      </c>
      <c r="BW66" s="89">
        <v>0</v>
      </c>
      <c r="BX66" s="89">
        <v>43385</v>
      </c>
      <c r="BY66" s="89">
        <v>302400</v>
      </c>
      <c r="BZ66" s="112">
        <v>100</v>
      </c>
    </row>
    <row r="67" spans="1:89" x14ac:dyDescent="0.15">
      <c r="A67" s="84">
        <v>1</v>
      </c>
      <c r="C67" s="85" t="s">
        <v>338</v>
      </c>
      <c r="F67" s="85" t="s">
        <v>338</v>
      </c>
      <c r="H67" s="85" t="s">
        <v>338</v>
      </c>
      <c r="J67" s="84">
        <v>2</v>
      </c>
      <c r="L67" s="84">
        <v>0</v>
      </c>
      <c r="M67" s="85">
        <v>43385</v>
      </c>
      <c r="N67" s="85" t="s">
        <v>264</v>
      </c>
      <c r="O67" s="86" t="s">
        <v>340</v>
      </c>
      <c r="P67" s="84" t="s">
        <v>272</v>
      </c>
      <c r="Q67" s="86" t="s">
        <v>107</v>
      </c>
      <c r="R67" s="86" t="s">
        <v>422</v>
      </c>
      <c r="S67" s="87" t="s">
        <v>387</v>
      </c>
      <c r="T67" s="87" t="s">
        <v>425</v>
      </c>
      <c r="U67" s="88">
        <v>300000</v>
      </c>
      <c r="V67" s="88">
        <v>324000</v>
      </c>
      <c r="W67" s="88">
        <v>300000</v>
      </c>
      <c r="X67" s="88">
        <v>324000</v>
      </c>
      <c r="Z67" s="88">
        <v>0</v>
      </c>
      <c r="AD67" s="84">
        <v>0</v>
      </c>
      <c r="AG67" s="84">
        <v>0</v>
      </c>
      <c r="AJ67" s="84">
        <v>0</v>
      </c>
      <c r="AR67" s="85">
        <v>43392</v>
      </c>
      <c r="AS67" s="84">
        <v>6001609886</v>
      </c>
      <c r="AT67" s="85">
        <v>43396</v>
      </c>
      <c r="AU67" s="84" t="s">
        <v>559</v>
      </c>
      <c r="AV67" s="85">
        <v>43405</v>
      </c>
      <c r="AW67" s="123">
        <v>43404</v>
      </c>
      <c r="AX67" s="123">
        <v>43424</v>
      </c>
      <c r="AY67" s="140">
        <v>300000</v>
      </c>
      <c r="AZ67" s="132">
        <f>ROUNDDOWN(AY67+(AY67*MASTER!$A$2/100),0)</f>
        <v>324000</v>
      </c>
      <c r="BC67" s="88">
        <v>0</v>
      </c>
      <c r="BG67" s="88">
        <v>0</v>
      </c>
      <c r="BK67" s="88">
        <v>0</v>
      </c>
      <c r="BS67" s="88">
        <v>0</v>
      </c>
      <c r="BV67" s="89">
        <v>324000</v>
      </c>
      <c r="BW67" s="89">
        <v>0</v>
      </c>
      <c r="BX67" s="89">
        <v>43385</v>
      </c>
      <c r="BY67" s="89">
        <v>324000</v>
      </c>
      <c r="BZ67" s="112">
        <v>100</v>
      </c>
    </row>
    <row r="68" spans="1:89" x14ac:dyDescent="0.15">
      <c r="A68" s="84">
        <v>1</v>
      </c>
      <c r="C68" s="85" t="s">
        <v>338</v>
      </c>
      <c r="F68" s="85" t="s">
        <v>338</v>
      </c>
      <c r="H68" s="85" t="s">
        <v>338</v>
      </c>
      <c r="J68" s="84">
        <v>2</v>
      </c>
      <c r="L68" s="84">
        <v>0</v>
      </c>
      <c r="M68" s="85">
        <v>43385</v>
      </c>
      <c r="N68" s="85" t="s">
        <v>264</v>
      </c>
      <c r="O68" s="86" t="s">
        <v>340</v>
      </c>
      <c r="P68" s="84" t="s">
        <v>272</v>
      </c>
      <c r="Q68" s="86" t="s">
        <v>107</v>
      </c>
      <c r="R68" s="86" t="s">
        <v>423</v>
      </c>
      <c r="S68" s="87" t="s">
        <v>387</v>
      </c>
      <c r="T68" s="87" t="s">
        <v>426</v>
      </c>
      <c r="U68" s="88">
        <v>100000</v>
      </c>
      <c r="V68" s="88">
        <v>108000</v>
      </c>
      <c r="W68" s="88">
        <v>100000</v>
      </c>
      <c r="X68" s="88">
        <v>108000</v>
      </c>
      <c r="Z68" s="88">
        <v>0</v>
      </c>
      <c r="AD68" s="84">
        <v>0</v>
      </c>
      <c r="AG68" s="84">
        <v>0</v>
      </c>
      <c r="AJ68" s="84">
        <v>0</v>
      </c>
      <c r="AR68" s="85">
        <v>43405</v>
      </c>
      <c r="AS68" s="84">
        <v>6001614419</v>
      </c>
      <c r="AT68" s="85">
        <v>43405</v>
      </c>
      <c r="AU68" s="84" t="s">
        <v>727</v>
      </c>
      <c r="AV68" s="85">
        <v>43444</v>
      </c>
      <c r="AW68" s="123">
        <v>43465</v>
      </c>
      <c r="AX68" s="123">
        <v>43485</v>
      </c>
      <c r="AY68" s="140">
        <v>100000</v>
      </c>
      <c r="AZ68" s="132">
        <f>ROUNDDOWN(AY68+(AY68*MASTER!$A$2/100),0)</f>
        <v>108000</v>
      </c>
      <c r="BC68" s="88">
        <v>0</v>
      </c>
      <c r="BG68" s="88">
        <v>0</v>
      </c>
      <c r="BK68" s="88">
        <v>0</v>
      </c>
      <c r="BS68" s="88">
        <v>0</v>
      </c>
      <c r="BV68" s="89">
        <v>108000</v>
      </c>
      <c r="BW68" s="89">
        <v>0</v>
      </c>
      <c r="BX68" s="89">
        <v>43385</v>
      </c>
      <c r="BY68" s="89">
        <v>108000</v>
      </c>
      <c r="BZ68" s="112">
        <v>100</v>
      </c>
    </row>
    <row r="69" spans="1:89" x14ac:dyDescent="0.15">
      <c r="A69" s="84">
        <v>1</v>
      </c>
      <c r="C69" s="85" t="s">
        <v>338</v>
      </c>
      <c r="F69" s="85" t="s">
        <v>338</v>
      </c>
      <c r="H69" s="85" t="s">
        <v>338</v>
      </c>
      <c r="J69" s="84">
        <v>2</v>
      </c>
      <c r="L69" s="84">
        <v>0</v>
      </c>
      <c r="M69" s="85">
        <v>43385</v>
      </c>
      <c r="N69" s="85" t="s">
        <v>264</v>
      </c>
      <c r="O69" s="86" t="s">
        <v>340</v>
      </c>
      <c r="P69" s="84" t="s">
        <v>272</v>
      </c>
      <c r="Q69" s="86" t="s">
        <v>107</v>
      </c>
      <c r="R69" s="86" t="s">
        <v>424</v>
      </c>
      <c r="S69" s="87" t="s">
        <v>387</v>
      </c>
      <c r="T69" s="87" t="s">
        <v>427</v>
      </c>
      <c r="U69" s="88">
        <v>800000</v>
      </c>
      <c r="V69" s="88">
        <v>864000</v>
      </c>
      <c r="W69" s="88">
        <v>800000</v>
      </c>
      <c r="X69" s="88">
        <v>864000</v>
      </c>
      <c r="Z69" s="88">
        <v>0</v>
      </c>
      <c r="AD69" s="84">
        <v>0</v>
      </c>
      <c r="AG69" s="84">
        <v>0</v>
      </c>
      <c r="AJ69" s="84">
        <v>0</v>
      </c>
      <c r="AR69" s="85">
        <v>43411</v>
      </c>
      <c r="AS69" s="84">
        <v>6001616928</v>
      </c>
      <c r="AT69" s="85">
        <v>43411</v>
      </c>
      <c r="AU69" s="84" t="s">
        <v>783</v>
      </c>
      <c r="AV69" s="85">
        <v>43441</v>
      </c>
      <c r="AW69" s="123">
        <v>43465</v>
      </c>
      <c r="AX69" s="123">
        <v>43485</v>
      </c>
      <c r="AY69" s="140">
        <v>800000</v>
      </c>
      <c r="AZ69" s="132">
        <f>ROUNDDOWN(AY69+(AY69*MASTER!$A$2/100),0)</f>
        <v>864000</v>
      </c>
      <c r="BC69" s="88">
        <v>0</v>
      </c>
      <c r="BG69" s="88">
        <v>0</v>
      </c>
      <c r="BK69" s="88">
        <v>0</v>
      </c>
      <c r="BS69" s="88">
        <v>0</v>
      </c>
      <c r="BV69" s="89">
        <v>864000</v>
      </c>
      <c r="BW69" s="89">
        <v>0</v>
      </c>
      <c r="BX69" s="89">
        <v>43385</v>
      </c>
      <c r="BY69" s="89">
        <v>864000</v>
      </c>
      <c r="BZ69" s="112">
        <v>100</v>
      </c>
    </row>
    <row r="70" spans="1:89" x14ac:dyDescent="0.15">
      <c r="A70" s="84">
        <v>2</v>
      </c>
      <c r="B70" s="85">
        <v>43402</v>
      </c>
      <c r="C70" s="85">
        <v>43406</v>
      </c>
      <c r="D70" s="85">
        <v>43438</v>
      </c>
      <c r="F70" s="85">
        <v>43413</v>
      </c>
      <c r="G70" s="85">
        <v>43406</v>
      </c>
      <c r="H70" s="85">
        <v>43409</v>
      </c>
      <c r="I70" s="84" t="s">
        <v>776</v>
      </c>
      <c r="J70" s="84">
        <v>1</v>
      </c>
      <c r="L70" s="84">
        <v>0</v>
      </c>
      <c r="M70" s="85">
        <v>43388</v>
      </c>
      <c r="N70" s="85" t="s">
        <v>265</v>
      </c>
      <c r="O70" s="86" t="s">
        <v>340</v>
      </c>
      <c r="P70" s="84" t="s">
        <v>26</v>
      </c>
      <c r="Q70" s="86" t="s">
        <v>107</v>
      </c>
      <c r="R70" s="86" t="s">
        <v>668</v>
      </c>
      <c r="S70" s="87" t="s">
        <v>571</v>
      </c>
      <c r="T70" s="87" t="s">
        <v>669</v>
      </c>
      <c r="U70" s="88">
        <v>172800</v>
      </c>
      <c r="V70" s="88">
        <v>186624</v>
      </c>
      <c r="W70" s="88">
        <v>84300</v>
      </c>
      <c r="X70" s="88">
        <v>91044</v>
      </c>
      <c r="Y70" s="88">
        <v>88500</v>
      </c>
      <c r="Z70" s="88">
        <v>95580</v>
      </c>
      <c r="AA70" s="85">
        <v>43405</v>
      </c>
      <c r="AB70" s="85">
        <v>43406</v>
      </c>
      <c r="AC70" s="85">
        <v>43406</v>
      </c>
      <c r="AD70" s="84">
        <v>0</v>
      </c>
      <c r="AG70" s="84">
        <v>0</v>
      </c>
      <c r="AJ70" s="84">
        <v>0</v>
      </c>
      <c r="AM70" s="84" t="s">
        <v>290</v>
      </c>
      <c r="AN70" s="84" t="s">
        <v>670</v>
      </c>
      <c r="AR70" s="85">
        <v>43399</v>
      </c>
      <c r="AS70" s="84">
        <v>6001612730</v>
      </c>
      <c r="AT70" s="85">
        <v>43399</v>
      </c>
      <c r="AU70" s="84" t="s">
        <v>631</v>
      </c>
      <c r="AV70" s="85">
        <v>43406</v>
      </c>
      <c r="AW70" s="123">
        <v>43434</v>
      </c>
      <c r="AX70" s="123">
        <v>43454</v>
      </c>
      <c r="AY70" s="132">
        <v>165888</v>
      </c>
      <c r="AZ70" s="132">
        <f>ROUNDDOWN(AY70+(AY70*MASTER!$A$2/100),0)</f>
        <v>179159</v>
      </c>
      <c r="BA70" s="84" t="s">
        <v>287</v>
      </c>
      <c r="BB70" s="88">
        <v>23000</v>
      </c>
      <c r="BC70" s="88">
        <v>24840</v>
      </c>
      <c r="BD70" s="84" t="s">
        <v>189</v>
      </c>
      <c r="BG70" s="88">
        <v>0</v>
      </c>
      <c r="BI70" s="84" t="s">
        <v>434</v>
      </c>
      <c r="BJ70" s="88">
        <v>57525</v>
      </c>
      <c r="BK70" s="88">
        <v>62127</v>
      </c>
      <c r="BL70" s="84" t="s">
        <v>189</v>
      </c>
      <c r="BS70" s="88">
        <v>0</v>
      </c>
      <c r="BV70" s="89">
        <v>91044</v>
      </c>
      <c r="BW70" s="89">
        <v>86967</v>
      </c>
      <c r="BX70" s="89">
        <v>43388</v>
      </c>
      <c r="BY70" s="89">
        <v>4077</v>
      </c>
      <c r="BZ70" s="112">
        <v>4.4780545670225385</v>
      </c>
      <c r="CK70" s="88">
        <v>6300</v>
      </c>
    </row>
    <row r="71" spans="1:89" x14ac:dyDescent="0.15">
      <c r="A71" s="84">
        <v>2</v>
      </c>
      <c r="B71" s="85">
        <v>43405</v>
      </c>
      <c r="C71" s="85">
        <v>43411</v>
      </c>
      <c r="D71" s="85">
        <v>43430</v>
      </c>
      <c r="F71" s="85">
        <v>43418</v>
      </c>
      <c r="G71" s="85">
        <v>43411</v>
      </c>
      <c r="H71" s="85">
        <v>43414</v>
      </c>
      <c r="I71" s="84" t="s">
        <v>401</v>
      </c>
      <c r="J71" s="84">
        <v>1</v>
      </c>
      <c r="L71" s="84">
        <v>0</v>
      </c>
      <c r="M71" s="85">
        <v>43388</v>
      </c>
      <c r="N71" s="85" t="s">
        <v>265</v>
      </c>
      <c r="O71" s="86" t="s">
        <v>340</v>
      </c>
      <c r="P71" s="84" t="s">
        <v>26</v>
      </c>
      <c r="Q71" s="86" t="s">
        <v>107</v>
      </c>
      <c r="R71" s="86" t="s">
        <v>704</v>
      </c>
      <c r="S71" s="87" t="s">
        <v>705</v>
      </c>
      <c r="T71" s="87" t="s">
        <v>706</v>
      </c>
      <c r="U71" s="88">
        <v>164800</v>
      </c>
      <c r="V71" s="88">
        <v>177984</v>
      </c>
      <c r="W71" s="88">
        <v>76300</v>
      </c>
      <c r="X71" s="88">
        <v>82404</v>
      </c>
      <c r="Y71" s="88">
        <v>88500</v>
      </c>
      <c r="Z71" s="88">
        <v>95580</v>
      </c>
      <c r="AA71" s="85">
        <v>43408</v>
      </c>
      <c r="AB71" s="85">
        <v>43411</v>
      </c>
      <c r="AC71" s="85">
        <v>43411</v>
      </c>
      <c r="AD71" s="84">
        <v>0</v>
      </c>
      <c r="AG71" s="84">
        <v>0</v>
      </c>
      <c r="AJ71" s="84">
        <v>0</v>
      </c>
      <c r="AM71" s="84" t="s">
        <v>290</v>
      </c>
      <c r="AN71" s="84" t="s">
        <v>707</v>
      </c>
      <c r="AR71" s="85">
        <v>43403</v>
      </c>
      <c r="AS71" s="84">
        <v>6001613632</v>
      </c>
      <c r="AT71" s="85">
        <v>43403</v>
      </c>
      <c r="AU71" s="84" t="s">
        <v>673</v>
      </c>
      <c r="AV71" s="85">
        <v>43411</v>
      </c>
      <c r="AW71" s="123">
        <v>43434</v>
      </c>
      <c r="AX71" s="123">
        <v>43454</v>
      </c>
      <c r="AY71" s="132">
        <v>158208</v>
      </c>
      <c r="AZ71" s="132">
        <f>ROUNDDOWN(AY71+(AY71*MASTER!$A$2/100),0)</f>
        <v>170864</v>
      </c>
      <c r="BA71" s="84" t="s">
        <v>286</v>
      </c>
      <c r="BB71" s="88">
        <v>50000</v>
      </c>
      <c r="BC71" s="88">
        <v>54000</v>
      </c>
      <c r="BD71" s="84" t="s">
        <v>189</v>
      </c>
      <c r="BG71" s="88">
        <v>0</v>
      </c>
      <c r="BI71" s="84" t="s">
        <v>434</v>
      </c>
      <c r="BJ71" s="88">
        <v>57525</v>
      </c>
      <c r="BK71" s="88">
        <v>62127</v>
      </c>
      <c r="BL71" s="84" t="s">
        <v>189</v>
      </c>
      <c r="BS71" s="88">
        <v>0</v>
      </c>
      <c r="BV71" s="89">
        <v>82404</v>
      </c>
      <c r="BW71" s="89">
        <v>116127</v>
      </c>
      <c r="BX71" s="89">
        <v>43388</v>
      </c>
      <c r="BY71" s="89">
        <v>-33723</v>
      </c>
      <c r="BZ71" s="112">
        <v>-40.923984272608124</v>
      </c>
      <c r="CK71" s="88">
        <v>6300</v>
      </c>
    </row>
    <row r="72" spans="1:89" x14ac:dyDescent="0.15">
      <c r="A72" s="84">
        <v>2</v>
      </c>
      <c r="B72" s="85">
        <v>43431</v>
      </c>
      <c r="C72" s="85">
        <v>43439</v>
      </c>
      <c r="D72" s="85">
        <v>43474</v>
      </c>
      <c r="F72" s="85">
        <v>43446</v>
      </c>
      <c r="G72" s="85">
        <v>43439</v>
      </c>
      <c r="H72" s="85">
        <v>43442</v>
      </c>
      <c r="I72" s="84" t="s">
        <v>401</v>
      </c>
      <c r="J72" s="84">
        <v>1</v>
      </c>
      <c r="K72" s="85">
        <v>43390</v>
      </c>
      <c r="L72" s="84" t="s">
        <v>818</v>
      </c>
      <c r="M72" s="85">
        <v>43388</v>
      </c>
      <c r="N72" s="85" t="s">
        <v>265</v>
      </c>
      <c r="O72" s="86" t="s">
        <v>340</v>
      </c>
      <c r="P72" s="84" t="s">
        <v>26</v>
      </c>
      <c r="Q72" s="86" t="s">
        <v>107</v>
      </c>
      <c r="R72" s="86" t="s">
        <v>453</v>
      </c>
      <c r="S72" s="87" t="s">
        <v>454</v>
      </c>
      <c r="T72" s="87" t="s">
        <v>455</v>
      </c>
      <c r="U72" s="88">
        <v>117800</v>
      </c>
      <c r="V72" s="88">
        <v>127224</v>
      </c>
      <c r="W72" s="88">
        <v>105800</v>
      </c>
      <c r="X72" s="88">
        <v>114264</v>
      </c>
      <c r="Y72" s="88">
        <v>12000</v>
      </c>
      <c r="Z72" s="88">
        <v>12960</v>
      </c>
      <c r="AA72" s="85">
        <v>43437</v>
      </c>
      <c r="AB72" s="85">
        <v>43439</v>
      </c>
      <c r="AC72" s="85">
        <v>43439</v>
      </c>
      <c r="AD72" s="84">
        <v>0</v>
      </c>
      <c r="AG72" s="84">
        <v>0</v>
      </c>
      <c r="AJ72" s="84">
        <v>0</v>
      </c>
      <c r="AM72" s="84" t="s">
        <v>290</v>
      </c>
      <c r="AN72" s="84" t="s">
        <v>456</v>
      </c>
      <c r="AR72" s="85">
        <v>43416</v>
      </c>
      <c r="AS72" s="84">
        <v>6001618599</v>
      </c>
      <c r="AT72" s="85">
        <v>43416</v>
      </c>
      <c r="AU72" s="84" t="s">
        <v>839</v>
      </c>
      <c r="AV72" s="85">
        <v>43439</v>
      </c>
      <c r="AW72" s="123">
        <v>43465</v>
      </c>
      <c r="AX72" s="123">
        <v>43485</v>
      </c>
      <c r="AY72" s="132">
        <v>113088</v>
      </c>
      <c r="AZ72" s="132">
        <f>ROUNDDOWN(AY72+(AY72*MASTER!$A$2/100),0)</f>
        <v>122135</v>
      </c>
      <c r="BA72" s="84" t="s">
        <v>477</v>
      </c>
      <c r="BB72" s="88">
        <v>36000</v>
      </c>
      <c r="BC72" s="88">
        <v>38880</v>
      </c>
      <c r="BD72" s="84" t="s">
        <v>190</v>
      </c>
      <c r="BG72" s="88">
        <v>0</v>
      </c>
      <c r="BI72" s="84" t="s">
        <v>434</v>
      </c>
      <c r="BJ72" s="88">
        <v>7800</v>
      </c>
      <c r="BK72" s="88">
        <v>8424</v>
      </c>
      <c r="BL72" s="84" t="s">
        <v>190</v>
      </c>
      <c r="BS72" s="88">
        <v>0</v>
      </c>
      <c r="BV72" s="89">
        <v>114264</v>
      </c>
      <c r="BW72" s="89">
        <v>47304</v>
      </c>
      <c r="BX72" s="89">
        <v>0</v>
      </c>
      <c r="BY72" s="89">
        <v>43390</v>
      </c>
      <c r="BZ72" s="112">
        <v>58.601134215500949</v>
      </c>
      <c r="CK72" s="88">
        <v>6300</v>
      </c>
    </row>
    <row r="73" spans="1:89" x14ac:dyDescent="0.15">
      <c r="A73" s="84">
        <v>2</v>
      </c>
      <c r="B73" s="85">
        <v>43420</v>
      </c>
      <c r="C73" s="85">
        <v>43429</v>
      </c>
      <c r="D73" s="85">
        <v>43438</v>
      </c>
      <c r="F73" s="85">
        <v>43435</v>
      </c>
      <c r="G73" s="85">
        <v>43432</v>
      </c>
      <c r="H73" s="85">
        <v>43431</v>
      </c>
      <c r="I73" s="84" t="s">
        <v>401</v>
      </c>
      <c r="J73" s="84">
        <v>1</v>
      </c>
      <c r="L73" s="84">
        <v>0</v>
      </c>
      <c r="M73" s="85">
        <v>43388</v>
      </c>
      <c r="N73" s="85" t="s">
        <v>265</v>
      </c>
      <c r="O73" s="86" t="s">
        <v>340</v>
      </c>
      <c r="P73" s="84" t="s">
        <v>26</v>
      </c>
      <c r="Q73" s="86" t="s">
        <v>107</v>
      </c>
      <c r="R73" s="86" t="s">
        <v>887</v>
      </c>
      <c r="S73" s="87" t="s">
        <v>888</v>
      </c>
      <c r="T73" s="87" t="s">
        <v>889</v>
      </c>
      <c r="U73" s="88">
        <v>96800</v>
      </c>
      <c r="V73" s="88">
        <v>104544</v>
      </c>
      <c r="W73" s="88">
        <v>80800</v>
      </c>
      <c r="X73" s="88">
        <v>87264</v>
      </c>
      <c r="Y73" s="88">
        <v>16000</v>
      </c>
      <c r="Z73" s="88">
        <v>17280</v>
      </c>
      <c r="AA73" s="85">
        <v>43427</v>
      </c>
      <c r="AB73" s="85">
        <v>43428</v>
      </c>
      <c r="AC73" s="85">
        <v>43428</v>
      </c>
      <c r="AD73" s="84">
        <v>0</v>
      </c>
      <c r="AG73" s="84">
        <v>0</v>
      </c>
      <c r="AJ73" s="84">
        <v>0</v>
      </c>
      <c r="AN73" s="84" t="s">
        <v>338</v>
      </c>
      <c r="AR73" s="85">
        <v>43389</v>
      </c>
      <c r="AS73" s="84">
        <v>6001608120</v>
      </c>
      <c r="AT73" s="85">
        <v>43389</v>
      </c>
      <c r="AU73" s="84" t="s">
        <v>451</v>
      </c>
      <c r="AV73" s="85">
        <v>43429</v>
      </c>
      <c r="AW73" s="123">
        <v>43434</v>
      </c>
      <c r="AX73" s="123">
        <v>43454</v>
      </c>
      <c r="AY73" s="132">
        <v>92928</v>
      </c>
      <c r="AZ73" s="132">
        <f>ROUNDDOWN(AY73+(AY73*MASTER!$A$2/100),0)</f>
        <v>100362</v>
      </c>
      <c r="BA73" s="84" t="s">
        <v>543</v>
      </c>
      <c r="BB73" s="88">
        <v>33000</v>
      </c>
      <c r="BC73" s="88">
        <v>35640</v>
      </c>
      <c r="BD73" s="84" t="s">
        <v>190</v>
      </c>
      <c r="BG73" s="88">
        <v>0</v>
      </c>
      <c r="BI73" s="84" t="s">
        <v>276</v>
      </c>
      <c r="BJ73" s="88">
        <v>10400</v>
      </c>
      <c r="BK73" s="88">
        <v>11232</v>
      </c>
      <c r="BL73" s="84" t="s">
        <v>863</v>
      </c>
      <c r="BS73" s="88">
        <v>0</v>
      </c>
      <c r="BV73" s="89">
        <v>87264</v>
      </c>
      <c r="BW73" s="89">
        <v>46872</v>
      </c>
      <c r="BX73" s="89">
        <v>43388</v>
      </c>
      <c r="BY73" s="89">
        <v>40392</v>
      </c>
      <c r="BZ73" s="112">
        <v>46.287128712871286</v>
      </c>
      <c r="CK73" s="88">
        <v>6300</v>
      </c>
    </row>
    <row r="74" spans="1:89" x14ac:dyDescent="0.15">
      <c r="A74" s="84">
        <v>2</v>
      </c>
      <c r="B74" s="85">
        <v>43437</v>
      </c>
      <c r="C74" s="85">
        <v>43442</v>
      </c>
      <c r="D74" s="85">
        <v>43467</v>
      </c>
      <c r="F74" s="85">
        <v>43449</v>
      </c>
      <c r="G74" s="85">
        <v>43444</v>
      </c>
      <c r="H74" s="85">
        <v>43445</v>
      </c>
      <c r="I74" s="84" t="s">
        <v>401</v>
      </c>
      <c r="J74" s="84">
        <v>1</v>
      </c>
      <c r="L74" s="84">
        <v>0</v>
      </c>
      <c r="M74" s="85">
        <v>43388</v>
      </c>
      <c r="N74" s="85" t="s">
        <v>265</v>
      </c>
      <c r="O74" s="86" t="s">
        <v>340</v>
      </c>
      <c r="P74" s="84" t="s">
        <v>26</v>
      </c>
      <c r="Q74" s="86" t="s">
        <v>107</v>
      </c>
      <c r="R74" s="86" t="s">
        <v>1119</v>
      </c>
      <c r="S74" s="87" t="s">
        <v>1120</v>
      </c>
      <c r="T74" s="87" t="s">
        <v>1121</v>
      </c>
      <c r="U74" s="88">
        <v>193300</v>
      </c>
      <c r="V74" s="88">
        <v>208764</v>
      </c>
      <c r="W74" s="88">
        <v>113300</v>
      </c>
      <c r="X74" s="88">
        <v>122364</v>
      </c>
      <c r="Y74" s="88">
        <v>80000</v>
      </c>
      <c r="Z74" s="88">
        <v>86400</v>
      </c>
      <c r="AA74" s="85">
        <v>43441</v>
      </c>
      <c r="AB74" s="85">
        <v>43442</v>
      </c>
      <c r="AC74" s="85">
        <v>43442</v>
      </c>
      <c r="AD74" s="84">
        <v>0</v>
      </c>
      <c r="AG74" s="84">
        <v>0</v>
      </c>
      <c r="AJ74" s="84">
        <v>0</v>
      </c>
      <c r="AN74" s="84" t="s">
        <v>338</v>
      </c>
      <c r="AR74" s="85">
        <v>43389</v>
      </c>
      <c r="AS74" s="84">
        <v>6001608121</v>
      </c>
      <c r="AT74" s="85">
        <v>43389</v>
      </c>
      <c r="AU74" s="84" t="s">
        <v>452</v>
      </c>
      <c r="AV74" s="85">
        <v>43442</v>
      </c>
      <c r="AW74" s="123">
        <v>43465</v>
      </c>
      <c r="AX74" s="123">
        <v>43485</v>
      </c>
      <c r="AY74" s="132">
        <v>185568</v>
      </c>
      <c r="AZ74" s="132">
        <f>ROUNDDOWN(AY74+(AY74*MASTER!$A$2/100),0)</f>
        <v>200413</v>
      </c>
      <c r="BA74" s="84" t="s">
        <v>286</v>
      </c>
      <c r="BB74" s="88">
        <v>45000</v>
      </c>
      <c r="BC74" s="88">
        <v>48600</v>
      </c>
      <c r="BD74" s="84" t="s">
        <v>190</v>
      </c>
      <c r="BG74" s="88">
        <v>0</v>
      </c>
      <c r="BI74" s="84" t="s">
        <v>434</v>
      </c>
      <c r="BJ74" s="88">
        <v>52000</v>
      </c>
      <c r="BK74" s="88">
        <v>56160</v>
      </c>
      <c r="BL74" s="84" t="s">
        <v>190</v>
      </c>
      <c r="BS74" s="88">
        <v>0</v>
      </c>
      <c r="BV74" s="89">
        <v>122364</v>
      </c>
      <c r="BW74" s="89">
        <v>104760</v>
      </c>
      <c r="BX74" s="89">
        <v>43388</v>
      </c>
      <c r="BY74" s="89">
        <v>17604</v>
      </c>
      <c r="BZ74" s="112">
        <v>14.386584289496913</v>
      </c>
      <c r="CK74" s="88">
        <v>6300</v>
      </c>
    </row>
    <row r="75" spans="1:89" x14ac:dyDescent="0.15">
      <c r="A75" s="84">
        <v>1</v>
      </c>
      <c r="C75" s="85" t="s">
        <v>338</v>
      </c>
      <c r="F75" s="85" t="s">
        <v>338</v>
      </c>
      <c r="H75" s="85" t="s">
        <v>338</v>
      </c>
      <c r="J75" s="84">
        <v>4</v>
      </c>
      <c r="L75" s="84">
        <v>0</v>
      </c>
      <c r="M75" s="85">
        <v>43388</v>
      </c>
      <c r="N75" s="85" t="s">
        <v>265</v>
      </c>
      <c r="O75" s="86" t="s">
        <v>340</v>
      </c>
      <c r="P75" s="84" t="s">
        <v>26</v>
      </c>
      <c r="Q75" s="86" t="s">
        <v>107</v>
      </c>
      <c r="R75" s="86" t="s">
        <v>428</v>
      </c>
      <c r="S75" s="87" t="s">
        <v>397</v>
      </c>
      <c r="T75" s="87" t="s">
        <v>429</v>
      </c>
      <c r="U75" s="88">
        <v>0</v>
      </c>
      <c r="V75" s="88">
        <v>0</v>
      </c>
      <c r="W75" s="88">
        <v>0</v>
      </c>
      <c r="X75" s="88">
        <v>0</v>
      </c>
      <c r="Y75" s="88">
        <v>0</v>
      </c>
      <c r="Z75" s="88">
        <v>0</v>
      </c>
      <c r="AA75" s="85" t="s">
        <v>188</v>
      </c>
      <c r="AD75" s="84">
        <v>0</v>
      </c>
      <c r="AG75" s="84">
        <v>0</v>
      </c>
      <c r="AJ75" s="84">
        <v>0</v>
      </c>
      <c r="AY75" s="132">
        <v>0</v>
      </c>
      <c r="AZ75" s="132">
        <f>ROUNDDOWN(AY75+(AY75*MASTER!$A$2/100),0)</f>
        <v>0</v>
      </c>
      <c r="BC75" s="88">
        <v>0</v>
      </c>
      <c r="BG75" s="88">
        <v>0</v>
      </c>
      <c r="BI75" s="84" t="s">
        <v>434</v>
      </c>
      <c r="BJ75" s="88">
        <v>42250</v>
      </c>
      <c r="BK75" s="88">
        <v>45630</v>
      </c>
      <c r="BL75" s="84" t="s">
        <v>430</v>
      </c>
      <c r="BS75" s="88">
        <v>0</v>
      </c>
      <c r="BV75" s="89">
        <v>0</v>
      </c>
      <c r="BW75" s="89">
        <v>45630</v>
      </c>
      <c r="BX75" s="89">
        <v>43388</v>
      </c>
      <c r="BY75" s="89">
        <v>-45630</v>
      </c>
      <c r="BZ75" s="112" t="s">
        <v>338</v>
      </c>
      <c r="CD75" s="87" t="s">
        <v>469</v>
      </c>
    </row>
    <row r="76" spans="1:89" x14ac:dyDescent="0.15">
      <c r="A76" s="84">
        <v>1</v>
      </c>
      <c r="C76" s="85" t="s">
        <v>338</v>
      </c>
      <c r="F76" s="85" t="s">
        <v>338</v>
      </c>
      <c r="H76" s="85" t="s">
        <v>338</v>
      </c>
      <c r="J76" s="84">
        <v>4</v>
      </c>
      <c r="L76" s="84">
        <v>0</v>
      </c>
      <c r="M76" s="85">
        <v>43388</v>
      </c>
      <c r="N76" s="85" t="s">
        <v>265</v>
      </c>
      <c r="O76" s="86" t="s">
        <v>340</v>
      </c>
      <c r="P76" s="84" t="s">
        <v>26</v>
      </c>
      <c r="Q76" s="86" t="s">
        <v>107</v>
      </c>
      <c r="R76" s="86" t="s">
        <v>467</v>
      </c>
      <c r="S76" s="87" t="s">
        <v>468</v>
      </c>
      <c r="T76" s="87" t="s">
        <v>429</v>
      </c>
      <c r="U76" s="88">
        <v>0</v>
      </c>
      <c r="V76" s="88">
        <v>0</v>
      </c>
      <c r="W76" s="88">
        <v>0</v>
      </c>
      <c r="X76" s="88">
        <v>0</v>
      </c>
      <c r="Y76" s="88">
        <v>0</v>
      </c>
      <c r="Z76" s="88">
        <v>0</v>
      </c>
      <c r="AA76" s="85">
        <v>43385</v>
      </c>
      <c r="AB76" s="85">
        <v>43388</v>
      </c>
      <c r="AD76" s="84">
        <v>0</v>
      </c>
      <c r="AG76" s="84">
        <v>0</v>
      </c>
      <c r="AJ76" s="84">
        <v>0</v>
      </c>
      <c r="AY76" s="132">
        <v>0</v>
      </c>
      <c r="AZ76" s="132">
        <f>ROUNDDOWN(AY76+(AY76*MASTER!$A$2/100),0)</f>
        <v>0</v>
      </c>
      <c r="BC76" s="88">
        <v>0</v>
      </c>
      <c r="BG76" s="88">
        <v>0</v>
      </c>
      <c r="BI76" s="84" t="s">
        <v>434</v>
      </c>
      <c r="BJ76" s="88">
        <v>42250</v>
      </c>
      <c r="BK76" s="88">
        <v>45630</v>
      </c>
      <c r="BL76" s="84" t="s">
        <v>430</v>
      </c>
      <c r="BS76" s="88">
        <v>0</v>
      </c>
      <c r="BV76" s="89">
        <v>0</v>
      </c>
      <c r="BW76" s="89">
        <v>45630</v>
      </c>
      <c r="BX76" s="89">
        <v>43388</v>
      </c>
      <c r="BY76" s="89">
        <v>-45630</v>
      </c>
      <c r="BZ76" s="112" t="s">
        <v>338</v>
      </c>
      <c r="CD76" s="87" t="s">
        <v>469</v>
      </c>
    </row>
    <row r="77" spans="1:89" x14ac:dyDescent="0.15">
      <c r="A77" s="84">
        <v>1</v>
      </c>
      <c r="C77" s="85" t="s">
        <v>338</v>
      </c>
      <c r="F77" s="85" t="s">
        <v>338</v>
      </c>
      <c r="H77" s="85" t="s">
        <v>338</v>
      </c>
      <c r="J77" s="84">
        <v>4</v>
      </c>
      <c r="L77" s="84">
        <v>0</v>
      </c>
      <c r="M77" s="85">
        <v>43388</v>
      </c>
      <c r="N77" s="85" t="s">
        <v>265</v>
      </c>
      <c r="O77" s="86" t="s">
        <v>340</v>
      </c>
      <c r="P77" s="84" t="s">
        <v>26</v>
      </c>
      <c r="Q77" s="86" t="s">
        <v>107</v>
      </c>
      <c r="R77" s="86" t="s">
        <v>431</v>
      </c>
      <c r="S77" s="87" t="s">
        <v>432</v>
      </c>
      <c r="T77" s="87" t="s">
        <v>433</v>
      </c>
      <c r="U77" s="88">
        <v>0</v>
      </c>
      <c r="V77" s="88">
        <v>0</v>
      </c>
      <c r="W77" s="88">
        <v>0</v>
      </c>
      <c r="X77" s="88">
        <v>0</v>
      </c>
      <c r="Y77" s="88">
        <v>0</v>
      </c>
      <c r="Z77" s="88">
        <v>0</v>
      </c>
      <c r="AD77" s="84">
        <v>0</v>
      </c>
      <c r="AG77" s="84">
        <v>0</v>
      </c>
      <c r="AJ77" s="84">
        <v>0</v>
      </c>
      <c r="AY77" s="132">
        <v>0</v>
      </c>
      <c r="AZ77" s="132">
        <f>ROUNDDOWN(AY77+(AY77*MASTER!$A$2/100),0)</f>
        <v>0</v>
      </c>
      <c r="BC77" s="88">
        <v>0</v>
      </c>
      <c r="BG77" s="88">
        <v>0</v>
      </c>
      <c r="BI77" s="84" t="s">
        <v>434</v>
      </c>
      <c r="BJ77" s="88">
        <v>22750</v>
      </c>
      <c r="BK77" s="88">
        <v>24570</v>
      </c>
      <c r="BL77" s="84" t="s">
        <v>677</v>
      </c>
      <c r="BS77" s="88">
        <v>0</v>
      </c>
      <c r="BV77" s="89">
        <v>0</v>
      </c>
      <c r="BW77" s="89">
        <v>24570</v>
      </c>
      <c r="BX77" s="89">
        <v>43388</v>
      </c>
      <c r="BY77" s="89">
        <v>-24570</v>
      </c>
      <c r="BZ77" s="112" t="s">
        <v>338</v>
      </c>
      <c r="CD77" s="87" t="s">
        <v>945</v>
      </c>
    </row>
    <row r="78" spans="1:89" x14ac:dyDescent="0.15">
      <c r="A78" s="84">
        <v>2</v>
      </c>
      <c r="B78" s="85">
        <v>43391</v>
      </c>
      <c r="C78" s="85">
        <v>43392</v>
      </c>
      <c r="D78" s="85">
        <v>43391</v>
      </c>
      <c r="E78" s="85">
        <v>43391</v>
      </c>
      <c r="F78" s="85" t="s">
        <v>338</v>
      </c>
      <c r="G78" s="85">
        <v>43391</v>
      </c>
      <c r="H78" s="85" t="s">
        <v>338</v>
      </c>
      <c r="I78" s="84" t="s">
        <v>380</v>
      </c>
      <c r="J78" s="84">
        <v>2</v>
      </c>
      <c r="L78" s="84">
        <v>0</v>
      </c>
      <c r="M78" s="85">
        <v>43388</v>
      </c>
      <c r="N78" s="85" t="s">
        <v>265</v>
      </c>
      <c r="O78" s="86" t="s">
        <v>340</v>
      </c>
      <c r="P78" s="84" t="s">
        <v>6</v>
      </c>
      <c r="Q78" s="86" t="s">
        <v>107</v>
      </c>
      <c r="R78" s="86" t="s">
        <v>435</v>
      </c>
      <c r="S78" s="87" t="s">
        <v>436</v>
      </c>
      <c r="T78" s="87" t="s">
        <v>342</v>
      </c>
      <c r="U78" s="88">
        <v>35000</v>
      </c>
      <c r="V78" s="88">
        <v>37800</v>
      </c>
      <c r="W78" s="88">
        <v>35000</v>
      </c>
      <c r="X78" s="88">
        <v>37800</v>
      </c>
      <c r="Z78" s="88">
        <v>0</v>
      </c>
      <c r="AA78" s="85">
        <v>43389</v>
      </c>
      <c r="AB78" s="85">
        <v>43389</v>
      </c>
      <c r="AD78" s="84">
        <v>0</v>
      </c>
      <c r="AG78" s="84">
        <v>0</v>
      </c>
      <c r="AJ78" s="84">
        <v>0</v>
      </c>
      <c r="AR78" s="85">
        <v>43390</v>
      </c>
      <c r="AS78" s="84">
        <v>6001608753</v>
      </c>
      <c r="AT78" s="85">
        <v>43390</v>
      </c>
      <c r="AU78" s="84" t="s">
        <v>461</v>
      </c>
      <c r="AV78" s="85">
        <v>43392</v>
      </c>
      <c r="AW78" s="123">
        <v>43404</v>
      </c>
      <c r="AX78" s="123">
        <v>43424</v>
      </c>
      <c r="AY78" s="132">
        <v>33600</v>
      </c>
      <c r="AZ78" s="132">
        <f>ROUNDDOWN(AY78+(AY78*MASTER!$A$2/100),0)</f>
        <v>36288</v>
      </c>
      <c r="BA78" s="84" t="s">
        <v>287</v>
      </c>
      <c r="BB78" s="88">
        <v>22000</v>
      </c>
      <c r="BC78" s="88">
        <v>23760</v>
      </c>
      <c r="BD78" s="84" t="s">
        <v>188</v>
      </c>
      <c r="BG78" s="88">
        <v>0</v>
      </c>
      <c r="BK78" s="88">
        <v>0</v>
      </c>
      <c r="BS78" s="88">
        <v>0</v>
      </c>
      <c r="BV78" s="89">
        <v>37800</v>
      </c>
      <c r="BW78" s="89">
        <v>23760</v>
      </c>
      <c r="BX78" s="89">
        <v>43388</v>
      </c>
      <c r="BY78" s="89">
        <v>14040</v>
      </c>
      <c r="BZ78" s="112">
        <v>37.142857142857146</v>
      </c>
    </row>
    <row r="79" spans="1:89" x14ac:dyDescent="0.15">
      <c r="A79" s="84">
        <v>1</v>
      </c>
      <c r="B79" s="85">
        <v>43392</v>
      </c>
      <c r="C79" s="85">
        <v>43392</v>
      </c>
      <c r="F79" s="85" t="s">
        <v>338</v>
      </c>
      <c r="H79" s="85" t="s">
        <v>338</v>
      </c>
      <c r="J79" s="84">
        <v>2</v>
      </c>
      <c r="L79" s="84">
        <v>0</v>
      </c>
      <c r="M79" s="85">
        <v>43388</v>
      </c>
      <c r="N79" s="85" t="s">
        <v>265</v>
      </c>
      <c r="O79" s="86" t="s">
        <v>340</v>
      </c>
      <c r="P79" s="84" t="s">
        <v>272</v>
      </c>
      <c r="Q79" s="86" t="s">
        <v>107</v>
      </c>
      <c r="R79" s="86" t="s">
        <v>445</v>
      </c>
      <c r="S79" s="87" t="s">
        <v>446</v>
      </c>
      <c r="T79" s="87" t="s">
        <v>447</v>
      </c>
      <c r="U79" s="88">
        <v>3150</v>
      </c>
      <c r="V79" s="88">
        <v>3402</v>
      </c>
      <c r="W79" s="88">
        <v>3150</v>
      </c>
      <c r="X79" s="88">
        <v>3402</v>
      </c>
      <c r="Z79" s="88">
        <v>0</v>
      </c>
      <c r="AD79" s="84">
        <v>0</v>
      </c>
      <c r="AG79" s="84">
        <v>0</v>
      </c>
      <c r="AJ79" s="84">
        <v>0</v>
      </c>
      <c r="AR79" s="85">
        <v>43390</v>
      </c>
      <c r="AS79" s="84">
        <v>6001608729</v>
      </c>
      <c r="AT79" s="85">
        <v>43391</v>
      </c>
      <c r="AU79" s="84" t="s">
        <v>480</v>
      </c>
      <c r="AV79" s="85">
        <v>43392</v>
      </c>
      <c r="AW79" s="123">
        <v>43404</v>
      </c>
      <c r="AX79" s="123">
        <v>43424</v>
      </c>
      <c r="AY79" s="132">
        <v>3024</v>
      </c>
      <c r="AZ79" s="132">
        <f>ROUNDDOWN(AY79+(AY79*MASTER!$A$2/100),0)</f>
        <v>3265</v>
      </c>
      <c r="BC79" s="88">
        <v>0</v>
      </c>
      <c r="BG79" s="88">
        <v>0</v>
      </c>
      <c r="BK79" s="88">
        <v>0</v>
      </c>
      <c r="BS79" s="88">
        <v>0</v>
      </c>
      <c r="BV79" s="89">
        <v>3402</v>
      </c>
      <c r="BW79" s="89">
        <v>0</v>
      </c>
      <c r="BX79" s="89">
        <v>43388</v>
      </c>
      <c r="BY79" s="89">
        <v>3402</v>
      </c>
      <c r="BZ79" s="112">
        <v>100</v>
      </c>
    </row>
    <row r="80" spans="1:89" x14ac:dyDescent="0.15">
      <c r="A80" s="84">
        <v>2</v>
      </c>
      <c r="B80" s="85">
        <v>43432</v>
      </c>
      <c r="C80" s="85">
        <v>43441</v>
      </c>
      <c r="D80" s="85">
        <v>43474</v>
      </c>
      <c r="F80" s="85">
        <v>43448</v>
      </c>
      <c r="G80" s="85">
        <v>43441</v>
      </c>
      <c r="H80" s="85">
        <v>43444</v>
      </c>
      <c r="I80" s="84" t="s">
        <v>401</v>
      </c>
      <c r="J80" s="84">
        <v>1</v>
      </c>
      <c r="L80" s="84">
        <v>0</v>
      </c>
      <c r="M80" s="85">
        <v>43389</v>
      </c>
      <c r="N80" s="85" t="s">
        <v>265</v>
      </c>
      <c r="O80" s="86" t="s">
        <v>340</v>
      </c>
      <c r="P80" s="84" t="s">
        <v>26</v>
      </c>
      <c r="Q80" s="86" t="s">
        <v>107</v>
      </c>
      <c r="R80" s="86" t="s">
        <v>1081</v>
      </c>
      <c r="S80" s="87" t="s">
        <v>493</v>
      </c>
      <c r="T80" s="87" t="s">
        <v>1082</v>
      </c>
      <c r="U80" s="88">
        <v>59000</v>
      </c>
      <c r="V80" s="88">
        <v>63720</v>
      </c>
      <c r="W80" s="88">
        <v>47000</v>
      </c>
      <c r="X80" s="88">
        <v>50760</v>
      </c>
      <c r="Y80" s="88">
        <v>12000</v>
      </c>
      <c r="Z80" s="88">
        <v>12960</v>
      </c>
      <c r="AA80" s="85">
        <v>43440</v>
      </c>
      <c r="AB80" s="85">
        <v>43441</v>
      </c>
      <c r="AC80" s="85">
        <v>43441</v>
      </c>
      <c r="AD80" s="84">
        <v>0</v>
      </c>
      <c r="AG80" s="84">
        <v>0</v>
      </c>
      <c r="AJ80" s="84">
        <v>0</v>
      </c>
      <c r="AM80" s="84" t="s">
        <v>290</v>
      </c>
      <c r="AN80" s="84" t="s">
        <v>1083</v>
      </c>
      <c r="AR80" s="85">
        <v>43431</v>
      </c>
      <c r="AS80" s="84">
        <v>6001623789</v>
      </c>
      <c r="AT80" s="85">
        <v>43431</v>
      </c>
      <c r="AU80" s="84" t="s">
        <v>1025</v>
      </c>
      <c r="AV80" s="85">
        <v>43441</v>
      </c>
      <c r="AW80" s="123">
        <v>43465</v>
      </c>
      <c r="AX80" s="123">
        <v>43485</v>
      </c>
      <c r="AY80" s="132">
        <v>56640</v>
      </c>
      <c r="AZ80" s="132">
        <f>ROUNDDOWN(AY80+(AY80*MASTER!$A$2/100),0)</f>
        <v>61171</v>
      </c>
      <c r="BA80" s="84" t="s">
        <v>477</v>
      </c>
      <c r="BB80" s="88">
        <v>36000</v>
      </c>
      <c r="BC80" s="88">
        <v>38880</v>
      </c>
      <c r="BD80" s="84" t="s">
        <v>190</v>
      </c>
      <c r="BG80" s="88">
        <v>0</v>
      </c>
      <c r="BI80" s="84" t="s">
        <v>434</v>
      </c>
      <c r="BJ80" s="88">
        <v>7800</v>
      </c>
      <c r="BK80" s="88">
        <v>8424</v>
      </c>
      <c r="BL80" s="84" t="s">
        <v>190</v>
      </c>
      <c r="BS80" s="88">
        <v>0</v>
      </c>
      <c r="BV80" s="89">
        <v>50760</v>
      </c>
      <c r="BW80" s="89">
        <v>47304</v>
      </c>
      <c r="BX80" s="89">
        <v>43389</v>
      </c>
      <c r="BY80" s="89">
        <v>3456</v>
      </c>
      <c r="BZ80" s="112">
        <v>6.8085106382978724</v>
      </c>
      <c r="CK80" s="88">
        <v>0</v>
      </c>
    </row>
    <row r="81" spans="1:89" x14ac:dyDescent="0.15">
      <c r="A81" s="84">
        <v>2</v>
      </c>
      <c r="B81" s="85">
        <v>43431</v>
      </c>
      <c r="C81" s="85">
        <v>43449</v>
      </c>
      <c r="D81" s="85">
        <v>43474</v>
      </c>
      <c r="F81" s="85">
        <v>43456</v>
      </c>
      <c r="G81" s="85">
        <v>43451</v>
      </c>
      <c r="H81" s="85">
        <v>43452</v>
      </c>
      <c r="I81" s="84" t="s">
        <v>401</v>
      </c>
      <c r="J81" s="84">
        <v>1</v>
      </c>
      <c r="L81" s="84">
        <v>0</v>
      </c>
      <c r="M81" s="85">
        <v>43389</v>
      </c>
      <c r="N81" s="85" t="s">
        <v>265</v>
      </c>
      <c r="O81" s="86" t="s">
        <v>340</v>
      </c>
      <c r="P81" s="84" t="s">
        <v>26</v>
      </c>
      <c r="Q81" s="86" t="s">
        <v>107</v>
      </c>
      <c r="R81" s="86" t="s">
        <v>902</v>
      </c>
      <c r="S81" s="87" t="s">
        <v>903</v>
      </c>
      <c r="T81" s="87" t="s">
        <v>904</v>
      </c>
      <c r="U81" s="88">
        <v>203000</v>
      </c>
      <c r="V81" s="88">
        <v>219240</v>
      </c>
      <c r="W81" s="88">
        <v>108300</v>
      </c>
      <c r="X81" s="88">
        <v>116964</v>
      </c>
      <c r="Y81" s="88">
        <v>94700</v>
      </c>
      <c r="Z81" s="88">
        <v>102276</v>
      </c>
      <c r="AA81" s="85">
        <v>43446</v>
      </c>
      <c r="AB81" s="85">
        <v>43449</v>
      </c>
      <c r="AC81" s="85">
        <v>43449</v>
      </c>
      <c r="AD81" s="84">
        <v>0</v>
      </c>
      <c r="AG81" s="84">
        <v>0</v>
      </c>
      <c r="AJ81" s="84">
        <v>0</v>
      </c>
      <c r="AM81" s="84" t="s">
        <v>290</v>
      </c>
      <c r="AN81" s="84" t="s">
        <v>905</v>
      </c>
      <c r="AR81" s="85">
        <v>43416</v>
      </c>
      <c r="AS81" s="84">
        <v>6001618599</v>
      </c>
      <c r="AT81" s="85">
        <v>43416</v>
      </c>
      <c r="AU81" s="84" t="s">
        <v>839</v>
      </c>
      <c r="AV81" s="85">
        <v>43449</v>
      </c>
      <c r="AW81" s="123">
        <v>43465</v>
      </c>
      <c r="AX81" s="123">
        <v>43485</v>
      </c>
      <c r="AY81" s="132">
        <v>194880</v>
      </c>
      <c r="AZ81" s="132">
        <f>ROUNDDOWN(AY81+(AY81*MASTER!$A$2/100),0)</f>
        <v>210470</v>
      </c>
      <c r="BA81" s="84" t="s">
        <v>477</v>
      </c>
      <c r="BB81" s="88">
        <v>76800</v>
      </c>
      <c r="BC81" s="88">
        <v>82944</v>
      </c>
      <c r="BD81" s="84" t="s">
        <v>190</v>
      </c>
      <c r="BG81" s="88">
        <v>0</v>
      </c>
      <c r="BI81" s="84" t="s">
        <v>434</v>
      </c>
      <c r="BJ81" s="88">
        <v>61555</v>
      </c>
      <c r="BK81" s="88">
        <v>66479.399999999994</v>
      </c>
      <c r="BL81" s="84" t="s">
        <v>190</v>
      </c>
      <c r="BS81" s="88">
        <v>0</v>
      </c>
      <c r="BV81" s="89">
        <v>116964</v>
      </c>
      <c r="BW81" s="89">
        <v>149423.4</v>
      </c>
      <c r="BX81" s="89">
        <v>43389</v>
      </c>
      <c r="BY81" s="89">
        <v>-32459.4</v>
      </c>
      <c r="BZ81" s="112">
        <v>-27.751615881809784</v>
      </c>
      <c r="CK81" s="88">
        <v>6300</v>
      </c>
    </row>
    <row r="82" spans="1:89" x14ac:dyDescent="0.15">
      <c r="A82" s="84">
        <v>1</v>
      </c>
      <c r="B82" s="85">
        <v>43391</v>
      </c>
      <c r="C82" s="85">
        <v>43392</v>
      </c>
      <c r="F82" s="85" t="s">
        <v>338</v>
      </c>
      <c r="H82" s="85" t="s">
        <v>338</v>
      </c>
      <c r="J82" s="84">
        <v>2</v>
      </c>
      <c r="L82" s="84">
        <v>0</v>
      </c>
      <c r="M82" s="85">
        <v>43389</v>
      </c>
      <c r="N82" s="85" t="s">
        <v>265</v>
      </c>
      <c r="O82" s="86" t="s">
        <v>340</v>
      </c>
      <c r="P82" s="84" t="s">
        <v>272</v>
      </c>
      <c r="Q82" s="86" t="s">
        <v>107</v>
      </c>
      <c r="R82" s="86" t="s">
        <v>448</v>
      </c>
      <c r="S82" s="87" t="s">
        <v>449</v>
      </c>
      <c r="T82" s="87" t="s">
        <v>450</v>
      </c>
      <c r="U82" s="88">
        <v>6300</v>
      </c>
      <c r="V82" s="88">
        <v>6804</v>
      </c>
      <c r="W82" s="88">
        <v>6300</v>
      </c>
      <c r="X82" s="88">
        <v>6804</v>
      </c>
      <c r="Z82" s="88">
        <v>0</v>
      </c>
      <c r="AD82" s="84">
        <v>0</v>
      </c>
      <c r="AG82" s="84">
        <v>0</v>
      </c>
      <c r="AJ82" s="84">
        <v>0</v>
      </c>
      <c r="AR82" s="85">
        <v>43390</v>
      </c>
      <c r="AS82" s="84">
        <v>6001608991</v>
      </c>
      <c r="AT82" s="85">
        <v>43390</v>
      </c>
      <c r="AU82" s="84" t="s">
        <v>462</v>
      </c>
      <c r="AV82" s="85">
        <v>43392</v>
      </c>
      <c r="AW82" s="123">
        <v>43404</v>
      </c>
      <c r="AX82" s="123">
        <v>43424</v>
      </c>
      <c r="AY82" s="132">
        <v>6048</v>
      </c>
      <c r="AZ82" s="132">
        <f>ROUNDDOWN(AY82+(AY82*MASTER!$A$2/100),0)</f>
        <v>6531</v>
      </c>
      <c r="BC82" s="88">
        <v>0</v>
      </c>
      <c r="BG82" s="88">
        <v>0</v>
      </c>
      <c r="BK82" s="88">
        <v>0</v>
      </c>
      <c r="BS82" s="88">
        <v>0</v>
      </c>
      <c r="BV82" s="89">
        <v>6804</v>
      </c>
      <c r="BW82" s="89">
        <v>0</v>
      </c>
      <c r="BX82" s="89">
        <v>43389</v>
      </c>
      <c r="BY82" s="89">
        <v>6804</v>
      </c>
      <c r="BZ82" s="112">
        <v>100</v>
      </c>
    </row>
    <row r="83" spans="1:89" x14ac:dyDescent="0.15">
      <c r="A83" s="84">
        <v>1</v>
      </c>
      <c r="B83" s="85">
        <v>43397</v>
      </c>
      <c r="C83" s="85">
        <v>43404</v>
      </c>
      <c r="F83" s="85" t="s">
        <v>338</v>
      </c>
      <c r="H83" s="85" t="s">
        <v>338</v>
      </c>
      <c r="J83" s="84">
        <v>1</v>
      </c>
      <c r="L83" s="84">
        <v>0</v>
      </c>
      <c r="M83" s="85">
        <v>43390</v>
      </c>
      <c r="N83" s="85" t="s">
        <v>265</v>
      </c>
      <c r="O83" s="86" t="s">
        <v>340</v>
      </c>
      <c r="P83" s="84" t="s">
        <v>6</v>
      </c>
      <c r="Q83" s="86" t="s">
        <v>107</v>
      </c>
      <c r="R83" s="86" t="s">
        <v>561</v>
      </c>
      <c r="S83" s="87" t="s">
        <v>562</v>
      </c>
      <c r="T83" s="87" t="s">
        <v>563</v>
      </c>
      <c r="U83" s="88">
        <v>117250</v>
      </c>
      <c r="V83" s="88">
        <v>126630</v>
      </c>
      <c r="W83" s="88">
        <v>61250</v>
      </c>
      <c r="X83" s="88">
        <v>66150</v>
      </c>
      <c r="Y83" s="88">
        <v>56000</v>
      </c>
      <c r="Z83" s="88">
        <v>60480</v>
      </c>
      <c r="AD83" s="84">
        <v>0</v>
      </c>
      <c r="AG83" s="84">
        <v>0</v>
      </c>
      <c r="AJ83" s="84">
        <v>0</v>
      </c>
      <c r="AR83" s="85">
        <v>43396</v>
      </c>
      <c r="AS83" s="84">
        <v>6001611002</v>
      </c>
      <c r="AT83" s="85">
        <v>43396</v>
      </c>
      <c r="AU83" s="84" t="s">
        <v>578</v>
      </c>
      <c r="AV83" s="85">
        <v>43404</v>
      </c>
      <c r="AW83" s="123">
        <v>43404</v>
      </c>
      <c r="AX83" s="123">
        <v>43424</v>
      </c>
      <c r="AY83" s="132">
        <v>112560</v>
      </c>
      <c r="AZ83" s="132">
        <f>ROUNDDOWN(AY83+(AY83*MASTER!$A$2/100),0)</f>
        <v>121564</v>
      </c>
      <c r="BC83" s="88">
        <v>0</v>
      </c>
      <c r="BG83" s="88">
        <v>0</v>
      </c>
      <c r="BK83" s="88">
        <v>0</v>
      </c>
      <c r="BS83" s="88">
        <v>0</v>
      </c>
      <c r="BV83" s="89">
        <v>66150</v>
      </c>
      <c r="BW83" s="89">
        <v>0</v>
      </c>
      <c r="BX83" s="89">
        <v>43390</v>
      </c>
      <c r="BY83" s="89">
        <v>66150</v>
      </c>
      <c r="BZ83" s="112">
        <v>100</v>
      </c>
      <c r="CD83" s="87" t="s">
        <v>564</v>
      </c>
    </row>
    <row r="84" spans="1:89" x14ac:dyDescent="0.15">
      <c r="A84" s="84">
        <v>2</v>
      </c>
      <c r="B84" s="85">
        <v>43397</v>
      </c>
      <c r="C84" s="85">
        <v>43396</v>
      </c>
      <c r="F84" s="85" t="s">
        <v>338</v>
      </c>
      <c r="G84" s="85">
        <v>43396</v>
      </c>
      <c r="H84" s="85" t="s">
        <v>338</v>
      </c>
      <c r="J84" s="84">
        <v>2</v>
      </c>
      <c r="L84" s="84">
        <v>0</v>
      </c>
      <c r="M84" s="85">
        <v>43390</v>
      </c>
      <c r="N84" s="85" t="s">
        <v>265</v>
      </c>
      <c r="O84" s="86" t="s">
        <v>340</v>
      </c>
      <c r="P84" s="84" t="s">
        <v>6</v>
      </c>
      <c r="Q84" s="86" t="s">
        <v>107</v>
      </c>
      <c r="R84" s="86" t="s">
        <v>460</v>
      </c>
      <c r="S84" s="87" t="s">
        <v>459</v>
      </c>
      <c r="T84" s="87" t="s">
        <v>342</v>
      </c>
      <c r="U84" s="88">
        <v>35000</v>
      </c>
      <c r="V84" s="88">
        <v>37800</v>
      </c>
      <c r="W84" s="88">
        <v>35000</v>
      </c>
      <c r="X84" s="88">
        <v>37800</v>
      </c>
      <c r="Z84" s="88">
        <v>0</v>
      </c>
      <c r="AA84" s="85">
        <v>43392</v>
      </c>
      <c r="AB84" s="85">
        <v>43392</v>
      </c>
      <c r="AD84" s="84">
        <v>0</v>
      </c>
      <c r="AG84" s="84">
        <v>0</v>
      </c>
      <c r="AJ84" s="84">
        <v>0</v>
      </c>
      <c r="AN84" s="84" t="s">
        <v>338</v>
      </c>
      <c r="AR84" s="85">
        <v>43392</v>
      </c>
      <c r="AS84" s="84">
        <v>6001610135</v>
      </c>
      <c r="AT84" s="85">
        <v>43396</v>
      </c>
      <c r="AU84" s="84" t="s">
        <v>560</v>
      </c>
      <c r="AV84" s="85">
        <v>43396</v>
      </c>
      <c r="AW84" s="123">
        <v>43404</v>
      </c>
      <c r="AX84" s="123">
        <v>43424</v>
      </c>
      <c r="AY84" s="132">
        <v>33600</v>
      </c>
      <c r="AZ84" s="132">
        <f>ROUNDDOWN(AY84+(AY84*MASTER!$A$2/100),0)</f>
        <v>36288</v>
      </c>
      <c r="BA84" s="84" t="s">
        <v>287</v>
      </c>
      <c r="BB84" s="88">
        <v>21000</v>
      </c>
      <c r="BC84" s="88">
        <v>22680</v>
      </c>
      <c r="BD84" s="84" t="s">
        <v>188</v>
      </c>
      <c r="BG84" s="88">
        <v>0</v>
      </c>
      <c r="BK84" s="88">
        <v>0</v>
      </c>
      <c r="BS84" s="88">
        <v>0</v>
      </c>
      <c r="BV84" s="89">
        <v>37800</v>
      </c>
      <c r="BW84" s="89">
        <v>22680</v>
      </c>
      <c r="BX84" s="89">
        <v>43390</v>
      </c>
      <c r="BY84" s="89">
        <v>15120</v>
      </c>
      <c r="BZ84" s="112">
        <v>40</v>
      </c>
      <c r="CK84" s="88">
        <v>0</v>
      </c>
    </row>
    <row r="85" spans="1:89" x14ac:dyDescent="0.15">
      <c r="A85" s="84">
        <v>2</v>
      </c>
      <c r="B85" s="85">
        <v>43409</v>
      </c>
      <c r="C85" s="85">
        <v>43410</v>
      </c>
      <c r="D85" s="85">
        <v>43430</v>
      </c>
      <c r="F85" s="85">
        <v>43417</v>
      </c>
      <c r="G85" s="85">
        <v>43410</v>
      </c>
      <c r="H85" s="85">
        <v>43413</v>
      </c>
      <c r="I85" s="84" t="s">
        <v>401</v>
      </c>
      <c r="J85" s="84">
        <v>1</v>
      </c>
      <c r="L85" s="84">
        <v>0</v>
      </c>
      <c r="M85" s="85">
        <v>43390</v>
      </c>
      <c r="N85" s="85" t="s">
        <v>265</v>
      </c>
      <c r="O85" s="86" t="s">
        <v>340</v>
      </c>
      <c r="P85" s="84" t="s">
        <v>26</v>
      </c>
      <c r="Q85" s="86" t="s">
        <v>107</v>
      </c>
      <c r="R85" s="86" t="s">
        <v>701</v>
      </c>
      <c r="S85" s="87" t="s">
        <v>589</v>
      </c>
      <c r="T85" s="87" t="s">
        <v>702</v>
      </c>
      <c r="U85" s="88">
        <v>59000</v>
      </c>
      <c r="V85" s="88">
        <v>63720</v>
      </c>
      <c r="W85" s="88">
        <v>47000</v>
      </c>
      <c r="X85" s="88">
        <v>50760</v>
      </c>
      <c r="Y85" s="88">
        <v>12000</v>
      </c>
      <c r="Z85" s="88">
        <v>12960</v>
      </c>
      <c r="AA85" s="85">
        <v>43409</v>
      </c>
      <c r="AB85" s="85">
        <v>43410</v>
      </c>
      <c r="AC85" s="85">
        <v>43410</v>
      </c>
      <c r="AD85" s="84">
        <v>0</v>
      </c>
      <c r="AG85" s="84">
        <v>0</v>
      </c>
      <c r="AJ85" s="84">
        <v>0</v>
      </c>
      <c r="AM85" s="84" t="s">
        <v>290</v>
      </c>
      <c r="AN85" s="84" t="s">
        <v>703</v>
      </c>
      <c r="AR85" s="85">
        <v>43405</v>
      </c>
      <c r="AS85" s="84">
        <v>6001614418</v>
      </c>
      <c r="AT85" s="85">
        <v>43406</v>
      </c>
      <c r="AU85" s="84" t="s">
        <v>744</v>
      </c>
      <c r="AV85" s="85">
        <v>43410</v>
      </c>
      <c r="AW85" s="123">
        <v>43434</v>
      </c>
      <c r="AX85" s="123">
        <v>43454</v>
      </c>
      <c r="AY85" s="132">
        <v>56640</v>
      </c>
      <c r="AZ85" s="132">
        <f>ROUNDDOWN(AY85+(AY85*MASTER!$A$2/100),0)</f>
        <v>61171</v>
      </c>
      <c r="BA85" s="84" t="s">
        <v>286</v>
      </c>
      <c r="BB85" s="88">
        <v>30000</v>
      </c>
      <c r="BC85" s="88">
        <v>32400</v>
      </c>
      <c r="BD85" s="84" t="s">
        <v>189</v>
      </c>
      <c r="BG85" s="88">
        <v>0</v>
      </c>
      <c r="BI85" s="84" t="s">
        <v>434</v>
      </c>
      <c r="BJ85" s="88">
        <v>7800</v>
      </c>
      <c r="BK85" s="88">
        <v>8424</v>
      </c>
      <c r="BL85" s="84" t="s">
        <v>189</v>
      </c>
      <c r="BS85" s="88">
        <v>0</v>
      </c>
      <c r="BV85" s="89">
        <v>50760</v>
      </c>
      <c r="BW85" s="89">
        <v>40824</v>
      </c>
      <c r="BX85" s="89">
        <v>43390</v>
      </c>
      <c r="BY85" s="89">
        <v>9936</v>
      </c>
      <c r="BZ85" s="112">
        <v>19.574468085106382</v>
      </c>
      <c r="CK85" s="88">
        <v>0</v>
      </c>
    </row>
    <row r="86" spans="1:89" s="151" customFormat="1" x14ac:dyDescent="0.15">
      <c r="A86" s="141">
        <v>3</v>
      </c>
      <c r="B86" s="142"/>
      <c r="C86" s="142" t="s">
        <v>338</v>
      </c>
      <c r="D86" s="142"/>
      <c r="E86" s="142"/>
      <c r="F86" s="142" t="s">
        <v>338</v>
      </c>
      <c r="G86" s="142"/>
      <c r="H86" s="142" t="s">
        <v>338</v>
      </c>
      <c r="I86" s="141"/>
      <c r="J86" s="141">
        <v>1</v>
      </c>
      <c r="K86" s="142"/>
      <c r="L86" s="141">
        <v>0</v>
      </c>
      <c r="M86" s="142">
        <v>43391</v>
      </c>
      <c r="N86" s="142" t="s">
        <v>265</v>
      </c>
      <c r="O86" s="143" t="s">
        <v>340</v>
      </c>
      <c r="P86" s="141" t="s">
        <v>26</v>
      </c>
      <c r="Q86" s="143" t="s">
        <v>107</v>
      </c>
      <c r="R86" s="143" t="s">
        <v>807</v>
      </c>
      <c r="S86" s="144" t="s">
        <v>808</v>
      </c>
      <c r="T86" s="144" t="s">
        <v>809</v>
      </c>
      <c r="U86" s="145">
        <v>50000</v>
      </c>
      <c r="V86" s="145">
        <v>54000</v>
      </c>
      <c r="W86" s="145">
        <v>47000</v>
      </c>
      <c r="X86" s="145">
        <v>50760</v>
      </c>
      <c r="Y86" s="145">
        <v>3000</v>
      </c>
      <c r="Z86" s="145">
        <v>3240</v>
      </c>
      <c r="AA86" s="142">
        <v>43451</v>
      </c>
      <c r="AB86" s="142">
        <v>43453</v>
      </c>
      <c r="AC86" s="142"/>
      <c r="AD86" s="141">
        <v>0</v>
      </c>
      <c r="AE86" s="141"/>
      <c r="AF86" s="141"/>
      <c r="AG86" s="141">
        <v>0</v>
      </c>
      <c r="AH86" s="141"/>
      <c r="AI86" s="141"/>
      <c r="AJ86" s="141">
        <v>0</v>
      </c>
      <c r="AK86" s="141"/>
      <c r="AL86" s="141"/>
      <c r="AM86" s="141" t="s">
        <v>290</v>
      </c>
      <c r="AN86" s="141" t="s">
        <v>810</v>
      </c>
      <c r="AO86" s="142"/>
      <c r="AP86" s="141"/>
      <c r="AQ86" s="141"/>
      <c r="AR86" s="142"/>
      <c r="AS86" s="141"/>
      <c r="AT86" s="142"/>
      <c r="AU86" s="141"/>
      <c r="AV86" s="142"/>
      <c r="AW86" s="146"/>
      <c r="AX86" s="146"/>
      <c r="AY86" s="147">
        <v>48000</v>
      </c>
      <c r="AZ86" s="132">
        <f>ROUNDDOWN(AY86+(AY86*MASTER!$A$2/100),0)</f>
        <v>51840</v>
      </c>
      <c r="BA86" s="141"/>
      <c r="BB86" s="145"/>
      <c r="BC86" s="145">
        <v>0</v>
      </c>
      <c r="BD86" s="141"/>
      <c r="BE86" s="141"/>
      <c r="BF86" s="145"/>
      <c r="BG86" s="145">
        <v>0</v>
      </c>
      <c r="BH86" s="141"/>
      <c r="BI86" s="141"/>
      <c r="BJ86" s="145"/>
      <c r="BK86" s="145">
        <v>0</v>
      </c>
      <c r="BL86" s="141"/>
      <c r="BM86" s="145"/>
      <c r="BN86" s="145"/>
      <c r="BO86" s="145"/>
      <c r="BP86" s="145"/>
      <c r="BQ86" s="145"/>
      <c r="BR86" s="145"/>
      <c r="BS86" s="145">
        <v>0</v>
      </c>
      <c r="BT86" s="148"/>
      <c r="BU86" s="148"/>
      <c r="BV86" s="149">
        <v>50760</v>
      </c>
      <c r="BW86" s="149">
        <v>0</v>
      </c>
      <c r="BX86" s="149">
        <v>43391</v>
      </c>
      <c r="BY86" s="149">
        <v>50760</v>
      </c>
      <c r="BZ86" s="150">
        <v>100</v>
      </c>
      <c r="CA86" s="141"/>
      <c r="CB86" s="141"/>
      <c r="CC86" s="141"/>
      <c r="CD86" s="144" t="s">
        <v>811</v>
      </c>
      <c r="CE86" s="142"/>
      <c r="CF86" s="142"/>
      <c r="CG86" s="142"/>
      <c r="CH86" s="142"/>
      <c r="CI86" s="142"/>
      <c r="CJ86" s="142"/>
      <c r="CK86" s="145">
        <v>0</v>
      </c>
    </row>
    <row r="87" spans="1:89" x14ac:dyDescent="0.15">
      <c r="A87" s="84">
        <v>2</v>
      </c>
      <c r="B87" s="85">
        <v>43451</v>
      </c>
      <c r="C87" s="85">
        <v>43460</v>
      </c>
      <c r="D87" s="85">
        <v>43487</v>
      </c>
      <c r="F87" s="85">
        <v>43467</v>
      </c>
      <c r="G87" s="85">
        <v>43472</v>
      </c>
      <c r="H87" s="85">
        <v>43463</v>
      </c>
      <c r="I87" s="84" t="s">
        <v>401</v>
      </c>
      <c r="J87" s="84">
        <v>1</v>
      </c>
      <c r="L87" s="84">
        <v>0</v>
      </c>
      <c r="M87" s="85">
        <v>43391</v>
      </c>
      <c r="N87" s="85" t="s">
        <v>265</v>
      </c>
      <c r="O87" s="86" t="s">
        <v>340</v>
      </c>
      <c r="P87" s="84" t="s">
        <v>26</v>
      </c>
      <c r="Q87" s="86" t="s">
        <v>107</v>
      </c>
      <c r="R87" s="86" t="s">
        <v>1219</v>
      </c>
      <c r="S87" s="87" t="s">
        <v>1220</v>
      </c>
      <c r="T87" s="87" t="s">
        <v>1221</v>
      </c>
      <c r="U87" s="88">
        <v>176800</v>
      </c>
      <c r="V87" s="88">
        <v>190944</v>
      </c>
      <c r="W87" s="88">
        <v>84300</v>
      </c>
      <c r="X87" s="88">
        <v>91044</v>
      </c>
      <c r="Y87" s="88">
        <v>92500</v>
      </c>
      <c r="Z87" s="88">
        <v>99900</v>
      </c>
      <c r="AA87" s="85">
        <v>43458</v>
      </c>
      <c r="AB87" s="85">
        <v>43460</v>
      </c>
      <c r="AC87" s="85">
        <v>43460</v>
      </c>
      <c r="AD87" s="84">
        <v>0</v>
      </c>
      <c r="AG87" s="84">
        <v>0</v>
      </c>
      <c r="AJ87" s="84">
        <v>0</v>
      </c>
      <c r="AM87" s="84" t="s">
        <v>290</v>
      </c>
      <c r="AN87" s="84" t="s">
        <v>1222</v>
      </c>
      <c r="AR87" s="85">
        <v>43409</v>
      </c>
      <c r="AS87" s="84">
        <v>6001615454</v>
      </c>
      <c r="AT87" s="85">
        <v>43411</v>
      </c>
      <c r="AU87" s="84" t="s">
        <v>786</v>
      </c>
      <c r="AV87" s="85">
        <v>43460</v>
      </c>
      <c r="AW87" s="123">
        <v>43465</v>
      </c>
      <c r="AX87" s="123">
        <v>43485</v>
      </c>
      <c r="AY87" s="132">
        <v>169728</v>
      </c>
      <c r="AZ87" s="132">
        <f>ROUNDDOWN(AY87+(AY87*MASTER!$A$2/100),0)</f>
        <v>183306</v>
      </c>
      <c r="BA87" s="84" t="s">
        <v>286</v>
      </c>
      <c r="BB87" s="88">
        <v>32000</v>
      </c>
      <c r="BC87" s="88">
        <v>34560</v>
      </c>
      <c r="BD87" s="84" t="s">
        <v>1138</v>
      </c>
      <c r="BG87" s="88">
        <v>0</v>
      </c>
      <c r="BI87" s="84" t="s">
        <v>276</v>
      </c>
      <c r="BJ87" s="88">
        <v>60125</v>
      </c>
      <c r="BK87" s="88">
        <v>64935</v>
      </c>
      <c r="BL87" s="84" t="s">
        <v>1421</v>
      </c>
      <c r="BS87" s="88">
        <v>0</v>
      </c>
      <c r="BV87" s="89">
        <v>91044</v>
      </c>
      <c r="BW87" s="89">
        <v>99495</v>
      </c>
      <c r="BX87" s="89">
        <v>43391</v>
      </c>
      <c r="BY87" s="89">
        <v>-8451</v>
      </c>
      <c r="BZ87" s="112">
        <v>-9.2823250296559916</v>
      </c>
      <c r="CK87" s="88">
        <v>6300</v>
      </c>
    </row>
    <row r="88" spans="1:89" x14ac:dyDescent="0.15">
      <c r="A88" s="84">
        <v>1</v>
      </c>
      <c r="C88" s="85" t="s">
        <v>338</v>
      </c>
      <c r="F88" s="85" t="s">
        <v>338</v>
      </c>
      <c r="H88" s="85" t="s">
        <v>338</v>
      </c>
      <c r="J88" s="84">
        <v>4</v>
      </c>
      <c r="L88" s="84">
        <v>0</v>
      </c>
      <c r="M88" s="85">
        <v>43391</v>
      </c>
      <c r="N88" s="85" t="s">
        <v>265</v>
      </c>
      <c r="O88" s="86" t="s">
        <v>340</v>
      </c>
      <c r="P88" s="84" t="s">
        <v>26</v>
      </c>
      <c r="Q88" s="86" t="s">
        <v>107</v>
      </c>
      <c r="R88" s="86" t="s">
        <v>463</v>
      </c>
      <c r="S88" s="87" t="s">
        <v>464</v>
      </c>
      <c r="T88" s="87" t="s">
        <v>466</v>
      </c>
      <c r="U88" s="88">
        <v>0</v>
      </c>
      <c r="V88" s="88">
        <v>0</v>
      </c>
      <c r="W88" s="88">
        <v>0</v>
      </c>
      <c r="X88" s="88">
        <v>0</v>
      </c>
      <c r="Y88" s="88">
        <v>0</v>
      </c>
      <c r="Z88" s="88">
        <v>0</v>
      </c>
      <c r="AA88" s="85">
        <v>43396</v>
      </c>
      <c r="AB88" s="85">
        <v>43397</v>
      </c>
      <c r="AD88" s="84">
        <v>0</v>
      </c>
      <c r="AG88" s="84">
        <v>0</v>
      </c>
      <c r="AJ88" s="84">
        <v>0</v>
      </c>
      <c r="AY88" s="132">
        <v>0</v>
      </c>
      <c r="AZ88" s="132">
        <f>ROUNDDOWN(AY88+(AY88*MASTER!$A$2/100),0)</f>
        <v>0</v>
      </c>
      <c r="BC88" s="88">
        <v>0</v>
      </c>
      <c r="BG88" s="88">
        <v>0</v>
      </c>
      <c r="BI88" s="84" t="s">
        <v>434</v>
      </c>
      <c r="BJ88" s="88">
        <v>80685</v>
      </c>
      <c r="BK88" s="88">
        <v>87139.8</v>
      </c>
      <c r="BL88" s="84" t="s">
        <v>677</v>
      </c>
      <c r="BS88" s="88">
        <v>0</v>
      </c>
      <c r="BV88" s="89">
        <v>0</v>
      </c>
      <c r="BW88" s="89">
        <v>87139.8</v>
      </c>
      <c r="BX88" s="89">
        <v>43391</v>
      </c>
      <c r="BY88" s="89">
        <v>-87139.8</v>
      </c>
      <c r="BZ88" s="112" t="s">
        <v>338</v>
      </c>
      <c r="CD88" s="87" t="s">
        <v>472</v>
      </c>
    </row>
    <row r="89" spans="1:89" x14ac:dyDescent="0.15">
      <c r="A89" s="84">
        <v>1</v>
      </c>
      <c r="C89" s="85" t="s">
        <v>338</v>
      </c>
      <c r="F89" s="85" t="s">
        <v>338</v>
      </c>
      <c r="H89" s="85" t="s">
        <v>338</v>
      </c>
      <c r="J89" s="84">
        <v>4</v>
      </c>
      <c r="L89" s="84">
        <v>0</v>
      </c>
      <c r="M89" s="85">
        <v>43391</v>
      </c>
      <c r="N89" s="85" t="s">
        <v>265</v>
      </c>
      <c r="O89" s="86" t="s">
        <v>340</v>
      </c>
      <c r="P89" s="84" t="s">
        <v>26</v>
      </c>
      <c r="Q89" s="86" t="s">
        <v>107</v>
      </c>
      <c r="R89" s="86" t="s">
        <v>465</v>
      </c>
      <c r="S89" s="87" t="s">
        <v>347</v>
      </c>
      <c r="T89" s="87" t="s">
        <v>466</v>
      </c>
      <c r="U89" s="88">
        <v>0</v>
      </c>
      <c r="V89" s="88">
        <v>0</v>
      </c>
      <c r="W89" s="88">
        <v>0</v>
      </c>
      <c r="X89" s="88">
        <v>0</v>
      </c>
      <c r="Y89" s="88">
        <v>0</v>
      </c>
      <c r="Z89" s="88">
        <v>0</v>
      </c>
      <c r="AA89" s="85">
        <v>43397</v>
      </c>
      <c r="AB89" s="85">
        <v>43398</v>
      </c>
      <c r="AD89" s="84">
        <v>0</v>
      </c>
      <c r="AG89" s="84">
        <v>0</v>
      </c>
      <c r="AJ89" s="84">
        <v>0</v>
      </c>
      <c r="AY89" s="132">
        <v>0</v>
      </c>
      <c r="AZ89" s="132">
        <f>ROUNDDOWN(AY89+(AY89*MASTER!$A$2/100),0)</f>
        <v>0</v>
      </c>
      <c r="BC89" s="88">
        <v>0</v>
      </c>
      <c r="BG89" s="88">
        <v>0</v>
      </c>
      <c r="BI89" s="84" t="s">
        <v>434</v>
      </c>
      <c r="BJ89" s="88">
        <v>71426</v>
      </c>
      <c r="BK89" s="88">
        <v>77140.08</v>
      </c>
      <c r="BL89" s="84" t="s">
        <v>677</v>
      </c>
      <c r="BS89" s="88">
        <v>0</v>
      </c>
      <c r="BV89" s="89">
        <v>0</v>
      </c>
      <c r="BW89" s="89">
        <v>77140.08</v>
      </c>
      <c r="BX89" s="89">
        <v>43391</v>
      </c>
      <c r="BY89" s="89">
        <v>-77140.08</v>
      </c>
      <c r="BZ89" s="112" t="s">
        <v>338</v>
      </c>
      <c r="CD89" s="87" t="s">
        <v>472</v>
      </c>
    </row>
    <row r="90" spans="1:89" x14ac:dyDescent="0.15">
      <c r="A90" s="84">
        <v>1</v>
      </c>
      <c r="C90" s="85" t="s">
        <v>338</v>
      </c>
      <c r="F90" s="85" t="s">
        <v>338</v>
      </c>
      <c r="H90" s="85" t="s">
        <v>338</v>
      </c>
      <c r="J90" s="84">
        <v>4</v>
      </c>
      <c r="L90" s="84">
        <v>0</v>
      </c>
      <c r="M90" s="85">
        <v>43391</v>
      </c>
      <c r="N90" s="85" t="s">
        <v>265</v>
      </c>
      <c r="O90" s="86" t="s">
        <v>340</v>
      </c>
      <c r="P90" s="84" t="s">
        <v>26</v>
      </c>
      <c r="Q90" s="86" t="s">
        <v>107</v>
      </c>
      <c r="R90" s="86" t="s">
        <v>470</v>
      </c>
      <c r="S90" s="87" t="s">
        <v>471</v>
      </c>
      <c r="T90" s="87" t="s">
        <v>466</v>
      </c>
      <c r="U90" s="88">
        <v>0</v>
      </c>
      <c r="V90" s="88">
        <v>0</v>
      </c>
      <c r="W90" s="88">
        <v>0</v>
      </c>
      <c r="X90" s="88">
        <v>0</v>
      </c>
      <c r="Y90" s="88">
        <v>0</v>
      </c>
      <c r="Z90" s="88">
        <v>0</v>
      </c>
      <c r="AA90" s="85">
        <v>43402</v>
      </c>
      <c r="AB90" s="85">
        <v>43403</v>
      </c>
      <c r="AD90" s="84">
        <v>0</v>
      </c>
      <c r="AG90" s="84">
        <v>0</v>
      </c>
      <c r="AJ90" s="84">
        <v>0</v>
      </c>
      <c r="AY90" s="132">
        <v>0</v>
      </c>
      <c r="AZ90" s="132">
        <f>ROUNDDOWN(AY90+(AY90*MASTER!$A$2/100),0)</f>
        <v>0</v>
      </c>
      <c r="BC90" s="88">
        <v>0</v>
      </c>
      <c r="BG90" s="88">
        <v>0</v>
      </c>
      <c r="BI90" s="84" t="s">
        <v>434</v>
      </c>
      <c r="BJ90" s="88">
        <v>85778</v>
      </c>
      <c r="BK90" s="88">
        <v>92640.24</v>
      </c>
      <c r="BL90" s="84" t="s">
        <v>677</v>
      </c>
      <c r="BS90" s="88">
        <v>0</v>
      </c>
      <c r="BV90" s="89">
        <v>0</v>
      </c>
      <c r="BW90" s="89">
        <v>92640.24</v>
      </c>
      <c r="BX90" s="89">
        <v>43391</v>
      </c>
      <c r="BY90" s="89">
        <v>-92640.24</v>
      </c>
      <c r="BZ90" s="112" t="s">
        <v>338</v>
      </c>
      <c r="CD90" s="87" t="s">
        <v>946</v>
      </c>
    </row>
    <row r="91" spans="1:89" x14ac:dyDescent="0.15">
      <c r="A91" s="84">
        <v>1</v>
      </c>
      <c r="C91" s="85" t="s">
        <v>338</v>
      </c>
      <c r="F91" s="85" t="s">
        <v>338</v>
      </c>
      <c r="H91" s="85" t="s">
        <v>338</v>
      </c>
      <c r="J91" s="84">
        <v>4</v>
      </c>
      <c r="L91" s="84">
        <v>0</v>
      </c>
      <c r="M91" s="85">
        <v>43391</v>
      </c>
      <c r="N91" s="85" t="s">
        <v>265</v>
      </c>
      <c r="O91" s="86" t="s">
        <v>340</v>
      </c>
      <c r="P91" s="84" t="s">
        <v>26</v>
      </c>
      <c r="Q91" s="86" t="s">
        <v>107</v>
      </c>
      <c r="R91" s="86" t="s">
        <v>473</v>
      </c>
      <c r="S91" s="87" t="s">
        <v>474</v>
      </c>
      <c r="T91" s="87" t="s">
        <v>466</v>
      </c>
      <c r="U91" s="88">
        <v>0</v>
      </c>
      <c r="V91" s="88">
        <v>0</v>
      </c>
      <c r="W91" s="88">
        <v>0</v>
      </c>
      <c r="X91" s="88">
        <v>0</v>
      </c>
      <c r="Y91" s="88">
        <v>0</v>
      </c>
      <c r="Z91" s="88">
        <v>0</v>
      </c>
      <c r="AA91" s="85">
        <v>43404</v>
      </c>
      <c r="AB91" s="85">
        <v>43405</v>
      </c>
      <c r="AD91" s="84">
        <v>0</v>
      </c>
      <c r="AG91" s="84">
        <v>0</v>
      </c>
      <c r="AJ91" s="84">
        <v>0</v>
      </c>
      <c r="AY91" s="132">
        <v>0</v>
      </c>
      <c r="AZ91" s="132">
        <f>ROUNDDOWN(AY91+(AY91*MASTER!$A$2/100),0)</f>
        <v>0</v>
      </c>
      <c r="BC91" s="88">
        <v>0</v>
      </c>
      <c r="BG91" s="88">
        <v>0</v>
      </c>
      <c r="BI91" s="84" t="s">
        <v>434</v>
      </c>
      <c r="BJ91" s="88">
        <v>75870</v>
      </c>
      <c r="BK91" s="88">
        <v>81939.600000000006</v>
      </c>
      <c r="BL91" s="84" t="s">
        <v>677</v>
      </c>
      <c r="BS91" s="88">
        <v>0</v>
      </c>
      <c r="BV91" s="89">
        <v>0</v>
      </c>
      <c r="BW91" s="89">
        <v>81939.600000000006</v>
      </c>
      <c r="BX91" s="89">
        <v>43391</v>
      </c>
      <c r="BY91" s="89">
        <v>-81939.600000000006</v>
      </c>
      <c r="BZ91" s="112" t="s">
        <v>338</v>
      </c>
      <c r="CD91" s="87" t="s">
        <v>472</v>
      </c>
    </row>
    <row r="92" spans="1:89" x14ac:dyDescent="0.15">
      <c r="A92" s="84">
        <v>2</v>
      </c>
      <c r="C92" s="85" t="s">
        <v>338</v>
      </c>
      <c r="F92" s="85" t="s">
        <v>338</v>
      </c>
      <c r="H92" s="85" t="s">
        <v>338</v>
      </c>
      <c r="J92" s="84">
        <v>4</v>
      </c>
      <c r="L92" s="84">
        <v>0</v>
      </c>
      <c r="M92" s="85">
        <v>43391</v>
      </c>
      <c r="N92" s="85" t="s">
        <v>265</v>
      </c>
      <c r="O92" s="86" t="s">
        <v>340</v>
      </c>
      <c r="P92" s="84" t="s">
        <v>6</v>
      </c>
      <c r="Q92" s="86" t="s">
        <v>107</v>
      </c>
      <c r="R92" s="86" t="s">
        <v>475</v>
      </c>
      <c r="S92" s="87" t="s">
        <v>390</v>
      </c>
      <c r="T92" s="87" t="s">
        <v>479</v>
      </c>
      <c r="U92" s="88">
        <v>0</v>
      </c>
      <c r="V92" s="88">
        <v>0</v>
      </c>
      <c r="W92" s="88">
        <v>0</v>
      </c>
      <c r="X92" s="88">
        <v>0</v>
      </c>
      <c r="Y92" s="88">
        <v>0</v>
      </c>
      <c r="Z92" s="88">
        <v>0</v>
      </c>
      <c r="AA92" s="85">
        <v>43384</v>
      </c>
      <c r="AB92" s="85">
        <v>43384</v>
      </c>
      <c r="AD92" s="84">
        <v>0</v>
      </c>
      <c r="AG92" s="84">
        <v>0</v>
      </c>
      <c r="AJ92" s="84">
        <v>0</v>
      </c>
      <c r="AN92" s="84" t="s">
        <v>338</v>
      </c>
      <c r="AY92" s="132">
        <f>ROUNDDOWN((0.96*U92),0)</f>
        <v>0</v>
      </c>
      <c r="AZ92" s="132">
        <f>ROUNDDOWN(AY92+(AY92*MASTER!$A$2/100),0)</f>
        <v>0</v>
      </c>
      <c r="BA92" s="84" t="s">
        <v>477</v>
      </c>
      <c r="BB92" s="88">
        <v>20000</v>
      </c>
      <c r="BC92" s="88">
        <v>21600</v>
      </c>
      <c r="BD92" s="84" t="s">
        <v>188</v>
      </c>
      <c r="BG92" s="88">
        <v>0</v>
      </c>
      <c r="BK92" s="88">
        <v>0</v>
      </c>
      <c r="BS92" s="88">
        <v>0</v>
      </c>
      <c r="BV92" s="89">
        <v>0</v>
      </c>
      <c r="BW92" s="89">
        <v>21600</v>
      </c>
      <c r="BX92" s="89">
        <v>43391</v>
      </c>
      <c r="BY92" s="89">
        <v>-21600</v>
      </c>
      <c r="BZ92" s="112" t="s">
        <v>338</v>
      </c>
    </row>
    <row r="93" spans="1:89" x14ac:dyDescent="0.15">
      <c r="A93" s="84">
        <v>2</v>
      </c>
      <c r="C93" s="85" t="s">
        <v>338</v>
      </c>
      <c r="F93" s="85" t="s">
        <v>338</v>
      </c>
      <c r="H93" s="85" t="s">
        <v>338</v>
      </c>
      <c r="J93" s="84">
        <v>4</v>
      </c>
      <c r="L93" s="84">
        <v>0</v>
      </c>
      <c r="M93" s="85">
        <v>43391</v>
      </c>
      <c r="N93" s="85" t="s">
        <v>265</v>
      </c>
      <c r="O93" s="86" t="s">
        <v>340</v>
      </c>
      <c r="P93" s="84" t="s">
        <v>6</v>
      </c>
      <c r="Q93" s="86" t="s">
        <v>107</v>
      </c>
      <c r="R93" s="86" t="s">
        <v>476</v>
      </c>
      <c r="S93" s="87" t="s">
        <v>390</v>
      </c>
      <c r="T93" s="87" t="s">
        <v>478</v>
      </c>
      <c r="U93" s="88">
        <v>0</v>
      </c>
      <c r="V93" s="88">
        <v>0</v>
      </c>
      <c r="W93" s="88">
        <v>0</v>
      </c>
      <c r="X93" s="88">
        <v>0</v>
      </c>
      <c r="Y93" s="88">
        <v>0</v>
      </c>
      <c r="Z93" s="88">
        <v>0</v>
      </c>
      <c r="AA93" s="85">
        <v>43385</v>
      </c>
      <c r="AB93" s="85">
        <v>43385</v>
      </c>
      <c r="AD93" s="84">
        <v>0</v>
      </c>
      <c r="AG93" s="84">
        <v>0</v>
      </c>
      <c r="AJ93" s="84">
        <v>0</v>
      </c>
      <c r="AN93" s="84" t="s">
        <v>338</v>
      </c>
      <c r="AY93" s="132">
        <f>ROUNDDOWN((0.96*U93),0)</f>
        <v>0</v>
      </c>
      <c r="AZ93" s="132">
        <f>ROUNDDOWN(AY93+(AY93*MASTER!$A$2/100),0)</f>
        <v>0</v>
      </c>
      <c r="BA93" s="84" t="s">
        <v>477</v>
      </c>
      <c r="BB93" s="88">
        <v>20000</v>
      </c>
      <c r="BC93" s="88">
        <v>21600</v>
      </c>
      <c r="BD93" s="84" t="s">
        <v>430</v>
      </c>
      <c r="BG93" s="88">
        <v>0</v>
      </c>
      <c r="BK93" s="88">
        <v>0</v>
      </c>
      <c r="BS93" s="88">
        <v>0</v>
      </c>
      <c r="BV93" s="89">
        <v>0</v>
      </c>
      <c r="BW93" s="89">
        <v>21600</v>
      </c>
      <c r="BX93" s="89">
        <v>43391</v>
      </c>
      <c r="BY93" s="89">
        <v>-21600</v>
      </c>
      <c r="BZ93" s="112" t="s">
        <v>338</v>
      </c>
    </row>
    <row r="94" spans="1:89" x14ac:dyDescent="0.15">
      <c r="A94" s="84">
        <v>2</v>
      </c>
      <c r="B94" s="85">
        <v>43441</v>
      </c>
      <c r="C94" s="85">
        <v>43451</v>
      </c>
      <c r="D94" s="85">
        <v>43467</v>
      </c>
      <c r="F94" s="85">
        <v>43458</v>
      </c>
      <c r="G94" s="85">
        <v>43451</v>
      </c>
      <c r="H94" s="85">
        <v>43454</v>
      </c>
      <c r="I94" s="84" t="s">
        <v>401</v>
      </c>
      <c r="J94" s="84">
        <v>1</v>
      </c>
      <c r="L94" s="84">
        <v>0</v>
      </c>
      <c r="M94" s="85">
        <v>43391</v>
      </c>
      <c r="N94" s="85" t="s">
        <v>265</v>
      </c>
      <c r="O94" s="86" t="s">
        <v>340</v>
      </c>
      <c r="P94" s="84" t="s">
        <v>26</v>
      </c>
      <c r="Q94" s="86" t="s">
        <v>107</v>
      </c>
      <c r="R94" s="86" t="s">
        <v>1150</v>
      </c>
      <c r="S94" s="87" t="s">
        <v>1151</v>
      </c>
      <c r="T94" s="87" t="s">
        <v>636</v>
      </c>
      <c r="U94" s="88">
        <v>76200</v>
      </c>
      <c r="V94" s="88">
        <v>82296</v>
      </c>
      <c r="W94" s="88">
        <v>47000</v>
      </c>
      <c r="X94" s="88">
        <v>50760</v>
      </c>
      <c r="Y94" s="88">
        <v>29200</v>
      </c>
      <c r="Z94" s="88">
        <v>31536</v>
      </c>
      <c r="AA94" s="85">
        <v>43450</v>
      </c>
      <c r="AB94" s="85">
        <v>43451</v>
      </c>
      <c r="AC94" s="85">
        <v>43451</v>
      </c>
      <c r="AD94" s="84">
        <v>0</v>
      </c>
      <c r="AG94" s="84">
        <v>0</v>
      </c>
      <c r="AJ94" s="84">
        <v>0</v>
      </c>
      <c r="AM94" s="84" t="s">
        <v>290</v>
      </c>
      <c r="AN94" s="84" t="s">
        <v>1152</v>
      </c>
      <c r="AR94" s="85">
        <v>43409</v>
      </c>
      <c r="AS94" s="84">
        <v>6001615454</v>
      </c>
      <c r="AT94" s="85">
        <v>43411</v>
      </c>
      <c r="AU94" s="84" t="s">
        <v>786</v>
      </c>
      <c r="AV94" s="85">
        <v>43451</v>
      </c>
      <c r="AW94" s="123">
        <v>43465</v>
      </c>
      <c r="AX94" s="123">
        <v>43485</v>
      </c>
      <c r="AY94" s="132">
        <v>73152</v>
      </c>
      <c r="AZ94" s="132">
        <f>ROUNDDOWN(AY94+(AY94*MASTER!$A$2/100),0)</f>
        <v>79004</v>
      </c>
      <c r="BA94" s="84" t="s">
        <v>286</v>
      </c>
      <c r="BB94" s="88">
        <v>24000</v>
      </c>
      <c r="BC94" s="88">
        <v>25920</v>
      </c>
      <c r="BD94" s="84" t="s">
        <v>190</v>
      </c>
      <c r="BG94" s="88">
        <v>0</v>
      </c>
      <c r="BI94" s="84" t="s">
        <v>434</v>
      </c>
      <c r="BJ94" s="88">
        <v>18980</v>
      </c>
      <c r="BK94" s="88">
        <v>20498.400000000001</v>
      </c>
      <c r="BL94" s="84" t="s">
        <v>190</v>
      </c>
      <c r="BS94" s="88">
        <v>0</v>
      </c>
      <c r="BV94" s="89">
        <v>50760</v>
      </c>
      <c r="BW94" s="89">
        <v>46418.400000000001</v>
      </c>
      <c r="BX94" s="89">
        <v>43391</v>
      </c>
      <c r="BY94" s="89">
        <v>4341.6000000000004</v>
      </c>
      <c r="BZ94" s="112">
        <v>8.5531914893616978</v>
      </c>
      <c r="CK94" s="88">
        <v>0</v>
      </c>
    </row>
    <row r="95" spans="1:89" x14ac:dyDescent="0.15">
      <c r="A95" s="84">
        <v>2</v>
      </c>
      <c r="B95" s="85">
        <v>43405</v>
      </c>
      <c r="C95" s="85">
        <v>43416</v>
      </c>
      <c r="F95" s="85">
        <v>43423</v>
      </c>
      <c r="G95" s="85">
        <v>43417</v>
      </c>
      <c r="H95" s="85">
        <v>43419</v>
      </c>
      <c r="I95" s="84" t="s">
        <v>401</v>
      </c>
      <c r="J95" s="84">
        <v>1</v>
      </c>
      <c r="L95" s="84">
        <v>0</v>
      </c>
      <c r="M95" s="85">
        <v>43391</v>
      </c>
      <c r="N95" s="85" t="s">
        <v>265</v>
      </c>
      <c r="O95" s="86" t="s">
        <v>340</v>
      </c>
      <c r="P95" s="84" t="s">
        <v>26</v>
      </c>
      <c r="Q95" s="86" t="s">
        <v>107</v>
      </c>
      <c r="R95" s="86" t="s">
        <v>719</v>
      </c>
      <c r="S95" s="87" t="s">
        <v>720</v>
      </c>
      <c r="T95" s="87" t="s">
        <v>721</v>
      </c>
      <c r="U95" s="88">
        <v>23900</v>
      </c>
      <c r="V95" s="88">
        <v>25812</v>
      </c>
      <c r="W95" s="88">
        <v>14700</v>
      </c>
      <c r="X95" s="88">
        <v>15876</v>
      </c>
      <c r="Y95" s="88">
        <v>9200</v>
      </c>
      <c r="Z95" s="88">
        <v>9936</v>
      </c>
      <c r="AA95" s="85">
        <v>43415</v>
      </c>
      <c r="AB95" s="85">
        <v>43416</v>
      </c>
      <c r="AC95" s="85">
        <v>43416</v>
      </c>
      <c r="AD95" s="84">
        <v>0</v>
      </c>
      <c r="AG95" s="84">
        <v>0</v>
      </c>
      <c r="AJ95" s="84">
        <v>0</v>
      </c>
      <c r="AM95" s="84" t="s">
        <v>290</v>
      </c>
      <c r="AN95" s="84" t="s">
        <v>722</v>
      </c>
      <c r="AR95" s="85">
        <v>43403</v>
      </c>
      <c r="AS95" s="84">
        <v>6001613632</v>
      </c>
      <c r="AT95" s="85">
        <v>43403</v>
      </c>
      <c r="AU95" s="84" t="s">
        <v>673</v>
      </c>
      <c r="AV95" s="85">
        <v>43416</v>
      </c>
      <c r="AW95" s="123">
        <v>43434</v>
      </c>
      <c r="AX95" s="123">
        <v>43454</v>
      </c>
      <c r="AY95" s="132">
        <v>22944</v>
      </c>
      <c r="AZ95" s="132">
        <f>ROUNDDOWN(AY95+(AY95*MASTER!$A$2/100),0)</f>
        <v>24779</v>
      </c>
      <c r="BA95" s="84" t="s">
        <v>778</v>
      </c>
      <c r="BC95" s="88">
        <v>0</v>
      </c>
      <c r="BG95" s="88">
        <v>0</v>
      </c>
      <c r="BI95" s="84" t="s">
        <v>276</v>
      </c>
      <c r="BJ95" s="88">
        <v>5980</v>
      </c>
      <c r="BK95" s="88">
        <v>6458.4</v>
      </c>
      <c r="BL95" s="84" t="s">
        <v>677</v>
      </c>
      <c r="BS95" s="88">
        <v>0</v>
      </c>
      <c r="BV95" s="89">
        <v>15876</v>
      </c>
      <c r="BW95" s="89">
        <v>6458.4</v>
      </c>
      <c r="BX95" s="89">
        <v>43391</v>
      </c>
      <c r="BY95" s="89">
        <v>9417.6</v>
      </c>
      <c r="BZ95" s="112">
        <v>59.319727891156461</v>
      </c>
      <c r="CK95" s="88">
        <v>0</v>
      </c>
    </row>
    <row r="96" spans="1:89" x14ac:dyDescent="0.15">
      <c r="A96" s="84">
        <v>1</v>
      </c>
      <c r="B96" s="85">
        <v>43412</v>
      </c>
      <c r="C96" s="85">
        <v>43426</v>
      </c>
      <c r="F96" s="85">
        <v>43434</v>
      </c>
      <c r="G96" s="85">
        <v>43431</v>
      </c>
      <c r="H96" s="85">
        <v>43430</v>
      </c>
      <c r="I96" s="84" t="s">
        <v>401</v>
      </c>
      <c r="J96" s="84">
        <v>1</v>
      </c>
      <c r="L96" s="84">
        <v>0</v>
      </c>
      <c r="M96" s="85">
        <v>43392</v>
      </c>
      <c r="N96" s="85" t="s">
        <v>265</v>
      </c>
      <c r="O96" s="86" t="s">
        <v>340</v>
      </c>
      <c r="P96" s="84" t="s">
        <v>26</v>
      </c>
      <c r="Q96" s="86" t="s">
        <v>107</v>
      </c>
      <c r="R96" s="86" t="s">
        <v>565</v>
      </c>
      <c r="S96" s="87" t="s">
        <v>566</v>
      </c>
      <c r="T96" s="87" t="s">
        <v>567</v>
      </c>
      <c r="U96" s="88">
        <v>3159200</v>
      </c>
      <c r="V96" s="88">
        <v>3411936</v>
      </c>
      <c r="W96" s="88">
        <v>3090200</v>
      </c>
      <c r="X96" s="88">
        <v>3337416</v>
      </c>
      <c r="Y96" s="88">
        <v>69000</v>
      </c>
      <c r="Z96" s="88">
        <v>74520</v>
      </c>
      <c r="AA96" s="85">
        <v>43422</v>
      </c>
      <c r="AB96" s="85">
        <v>43427</v>
      </c>
      <c r="AC96" s="85">
        <v>43427</v>
      </c>
      <c r="AD96" s="84">
        <v>0</v>
      </c>
      <c r="AG96" s="84">
        <v>0</v>
      </c>
      <c r="AJ96" s="84">
        <v>0</v>
      </c>
      <c r="AM96" s="84" t="s">
        <v>290</v>
      </c>
      <c r="AN96" s="84" t="s">
        <v>568</v>
      </c>
      <c r="AR96" s="85">
        <v>43396</v>
      </c>
      <c r="AS96" s="84">
        <v>6001611002</v>
      </c>
      <c r="AT96" s="85">
        <v>43396</v>
      </c>
      <c r="AU96" s="84" t="s">
        <v>578</v>
      </c>
      <c r="AV96" s="85">
        <v>43426</v>
      </c>
      <c r="AW96" s="123">
        <v>43434</v>
      </c>
      <c r="AX96" s="123">
        <v>43454</v>
      </c>
      <c r="AY96" s="132">
        <v>3032832</v>
      </c>
      <c r="AZ96" s="132">
        <f>ROUNDDOWN(AY96+(AY96*MASTER!$A$2/100),0)</f>
        <v>3275458</v>
      </c>
      <c r="BA96" s="84" t="s">
        <v>477</v>
      </c>
      <c r="BB96" s="88">
        <v>1421000</v>
      </c>
      <c r="BC96" s="88">
        <v>1534680</v>
      </c>
      <c r="BD96" s="84" t="s">
        <v>189</v>
      </c>
      <c r="BG96" s="88">
        <v>0</v>
      </c>
      <c r="BI96" s="84" t="s">
        <v>276</v>
      </c>
      <c r="BJ96" s="88">
        <v>44850</v>
      </c>
      <c r="BK96" s="88">
        <v>48438</v>
      </c>
      <c r="BL96" s="84" t="s">
        <v>863</v>
      </c>
      <c r="BS96" s="88">
        <v>0</v>
      </c>
      <c r="BV96" s="89">
        <v>3337416</v>
      </c>
      <c r="BW96" s="89">
        <v>1583118</v>
      </c>
      <c r="BX96" s="89">
        <v>43392</v>
      </c>
      <c r="BY96" s="89">
        <v>1754298</v>
      </c>
      <c r="BZ96" s="112">
        <v>52.564558928224713</v>
      </c>
      <c r="CK96" s="88">
        <v>300000</v>
      </c>
    </row>
    <row r="97" spans="1:89" x14ac:dyDescent="0.15">
      <c r="A97" s="84">
        <v>2</v>
      </c>
      <c r="B97" s="85">
        <v>43431</v>
      </c>
      <c r="C97" s="85">
        <v>43439</v>
      </c>
      <c r="D97" s="85">
        <v>43467</v>
      </c>
      <c r="F97" s="85">
        <v>43446</v>
      </c>
      <c r="G97" s="85">
        <v>43444</v>
      </c>
      <c r="H97" s="85">
        <v>43442</v>
      </c>
      <c r="I97" s="84" t="s">
        <v>401</v>
      </c>
      <c r="J97" s="84">
        <v>1</v>
      </c>
      <c r="L97" s="84">
        <v>0</v>
      </c>
      <c r="M97" s="85">
        <v>43392</v>
      </c>
      <c r="N97" s="85" t="s">
        <v>265</v>
      </c>
      <c r="O97" s="86" t="s">
        <v>340</v>
      </c>
      <c r="P97" s="84" t="s">
        <v>26</v>
      </c>
      <c r="Q97" s="86" t="s">
        <v>107</v>
      </c>
      <c r="R97" s="86" t="s">
        <v>1000</v>
      </c>
      <c r="S97" s="87" t="s">
        <v>1001</v>
      </c>
      <c r="T97" s="87" t="s">
        <v>1002</v>
      </c>
      <c r="U97" s="88">
        <v>1423700</v>
      </c>
      <c r="V97" s="88">
        <v>1537596</v>
      </c>
      <c r="W97" s="88">
        <v>1329200</v>
      </c>
      <c r="X97" s="88">
        <v>1435536</v>
      </c>
      <c r="Y97" s="88">
        <v>94500</v>
      </c>
      <c r="Z97" s="88">
        <v>102060</v>
      </c>
      <c r="AA97" s="85">
        <v>43436</v>
      </c>
      <c r="AB97" s="85">
        <v>43439</v>
      </c>
      <c r="AC97" s="85">
        <v>43439</v>
      </c>
      <c r="AD97" s="84">
        <v>0</v>
      </c>
      <c r="AG97" s="84">
        <v>0</v>
      </c>
      <c r="AJ97" s="84">
        <v>0</v>
      </c>
      <c r="AM97" s="84" t="s">
        <v>290</v>
      </c>
      <c r="AN97" s="84" t="s">
        <v>1003</v>
      </c>
      <c r="AR97" s="85">
        <v>43419</v>
      </c>
      <c r="AS97" s="84">
        <v>6001619965</v>
      </c>
      <c r="AT97" s="85">
        <v>43420</v>
      </c>
      <c r="AU97" s="84" t="s">
        <v>892</v>
      </c>
      <c r="AV97" s="85">
        <v>43439</v>
      </c>
      <c r="AW97" s="123">
        <v>43465</v>
      </c>
      <c r="AX97" s="123">
        <v>43485</v>
      </c>
      <c r="AY97" s="132">
        <v>1366752</v>
      </c>
      <c r="AZ97" s="132">
        <f>ROUNDDOWN(AY97+(AY97*MASTER!$A$2/100),0)</f>
        <v>1476092</v>
      </c>
      <c r="BA97" s="84" t="s">
        <v>286</v>
      </c>
      <c r="BB97" s="88">
        <v>424000</v>
      </c>
      <c r="BC97" s="88">
        <v>457920</v>
      </c>
      <c r="BD97" s="84" t="s">
        <v>190</v>
      </c>
      <c r="BG97" s="88">
        <v>0</v>
      </c>
      <c r="BI97" s="84" t="s">
        <v>434</v>
      </c>
      <c r="BJ97" s="88">
        <v>61425</v>
      </c>
      <c r="BK97" s="88">
        <v>66339</v>
      </c>
      <c r="BL97" s="84" t="s">
        <v>190</v>
      </c>
      <c r="BS97" s="88">
        <v>0</v>
      </c>
      <c r="BV97" s="89">
        <v>1435536</v>
      </c>
      <c r="BW97" s="89">
        <v>524259</v>
      </c>
      <c r="BX97" s="89">
        <v>43392</v>
      </c>
      <c r="BY97" s="89">
        <v>911277</v>
      </c>
      <c r="BZ97" s="112">
        <v>63.479912729461333</v>
      </c>
      <c r="CK97" s="88">
        <v>105000</v>
      </c>
    </row>
    <row r="98" spans="1:89" x14ac:dyDescent="0.15">
      <c r="A98" s="84">
        <v>2</v>
      </c>
      <c r="B98" s="85">
        <v>43409</v>
      </c>
      <c r="C98" s="85">
        <v>43421</v>
      </c>
      <c r="D98" s="85">
        <v>43438</v>
      </c>
      <c r="F98" s="85">
        <v>43428</v>
      </c>
      <c r="G98" s="85">
        <v>43423</v>
      </c>
      <c r="H98" s="85">
        <v>43424</v>
      </c>
      <c r="I98" s="84" t="s">
        <v>401</v>
      </c>
      <c r="J98" s="84">
        <v>1</v>
      </c>
      <c r="L98" s="84">
        <v>0</v>
      </c>
      <c r="M98" s="85">
        <v>43392</v>
      </c>
      <c r="N98" s="85" t="s">
        <v>265</v>
      </c>
      <c r="O98" s="86" t="s">
        <v>340</v>
      </c>
      <c r="P98" s="84" t="s">
        <v>26</v>
      </c>
      <c r="Q98" s="86" t="s">
        <v>107</v>
      </c>
      <c r="R98" s="86" t="s">
        <v>749</v>
      </c>
      <c r="S98" s="87" t="s">
        <v>646</v>
      </c>
      <c r="T98" s="87" t="s">
        <v>750</v>
      </c>
      <c r="U98" s="88">
        <v>159800</v>
      </c>
      <c r="V98" s="88">
        <v>172584</v>
      </c>
      <c r="W98" s="88">
        <v>146800</v>
      </c>
      <c r="X98" s="88">
        <v>158544</v>
      </c>
      <c r="Y98" s="88">
        <v>13000</v>
      </c>
      <c r="Z98" s="88">
        <v>14040</v>
      </c>
      <c r="AA98" s="85">
        <v>43415</v>
      </c>
      <c r="AB98" s="85">
        <v>43421</v>
      </c>
      <c r="AC98" s="85">
        <v>43421</v>
      </c>
      <c r="AD98" s="84">
        <v>0</v>
      </c>
      <c r="AG98" s="84">
        <v>0</v>
      </c>
      <c r="AJ98" s="84">
        <v>0</v>
      </c>
      <c r="AM98" s="84" t="s">
        <v>290</v>
      </c>
      <c r="AN98" s="84" t="s">
        <v>751</v>
      </c>
      <c r="AR98" s="85">
        <v>43404</v>
      </c>
      <c r="AS98" s="84">
        <v>6001614081</v>
      </c>
      <c r="AT98" s="85">
        <v>43404</v>
      </c>
      <c r="AU98" s="84" t="s">
        <v>686</v>
      </c>
      <c r="AV98" s="85">
        <v>43421</v>
      </c>
      <c r="AW98" s="123">
        <v>43434</v>
      </c>
      <c r="AX98" s="123">
        <v>43454</v>
      </c>
      <c r="AY98" s="132">
        <v>153408</v>
      </c>
      <c r="AZ98" s="132">
        <f>ROUNDDOWN(AY98+(AY98*MASTER!$A$2/100),0)</f>
        <v>165680</v>
      </c>
      <c r="BA98" s="84" t="s">
        <v>543</v>
      </c>
      <c r="BB98" s="88">
        <v>52000</v>
      </c>
      <c r="BC98" s="88">
        <v>56160</v>
      </c>
      <c r="BD98" s="84" t="s">
        <v>189</v>
      </c>
      <c r="BG98" s="88">
        <v>0</v>
      </c>
      <c r="BI98" s="84" t="s">
        <v>434</v>
      </c>
      <c r="BJ98" s="88">
        <v>8450</v>
      </c>
      <c r="BK98" s="88">
        <v>9126</v>
      </c>
      <c r="BL98" s="84" t="s">
        <v>189</v>
      </c>
      <c r="BS98" s="88">
        <v>0</v>
      </c>
      <c r="BV98" s="89">
        <v>158544</v>
      </c>
      <c r="BW98" s="89">
        <v>65286</v>
      </c>
      <c r="BX98" s="89">
        <v>43392</v>
      </c>
      <c r="BY98" s="89">
        <v>93258</v>
      </c>
      <c r="BZ98" s="112">
        <v>58.821525885558579</v>
      </c>
      <c r="CK98" s="88">
        <v>6300</v>
      </c>
    </row>
    <row r="99" spans="1:89" x14ac:dyDescent="0.15">
      <c r="A99" s="84">
        <v>2</v>
      </c>
      <c r="B99" s="85">
        <v>43412</v>
      </c>
      <c r="C99" s="85">
        <v>43427</v>
      </c>
      <c r="F99" s="85">
        <v>43434</v>
      </c>
      <c r="G99" s="85">
        <v>43431</v>
      </c>
      <c r="H99" s="85">
        <v>43430</v>
      </c>
      <c r="I99" s="84" t="s">
        <v>401</v>
      </c>
      <c r="J99" s="84">
        <v>1</v>
      </c>
      <c r="L99" s="84">
        <v>0</v>
      </c>
      <c r="M99" s="85">
        <v>43392</v>
      </c>
      <c r="N99" s="85" t="s">
        <v>265</v>
      </c>
      <c r="O99" s="86" t="s">
        <v>340</v>
      </c>
      <c r="P99" s="84" t="s">
        <v>26</v>
      </c>
      <c r="Q99" s="86" t="s">
        <v>107</v>
      </c>
      <c r="R99" s="86" t="s">
        <v>827</v>
      </c>
      <c r="S99" s="87" t="s">
        <v>566</v>
      </c>
      <c r="T99" s="87" t="s">
        <v>828</v>
      </c>
      <c r="U99" s="88">
        <v>101300</v>
      </c>
      <c r="V99" s="88">
        <v>109404</v>
      </c>
      <c r="W99" s="88">
        <v>86300</v>
      </c>
      <c r="X99" s="88">
        <v>93204</v>
      </c>
      <c r="Y99" s="88">
        <v>15000</v>
      </c>
      <c r="Z99" s="88">
        <v>16200</v>
      </c>
      <c r="AA99" s="85">
        <v>43422</v>
      </c>
      <c r="AB99" s="85">
        <v>43427</v>
      </c>
      <c r="AC99" s="85">
        <v>43427</v>
      </c>
      <c r="AD99" s="84">
        <v>0</v>
      </c>
      <c r="AG99" s="84">
        <v>0</v>
      </c>
      <c r="AJ99" s="84">
        <v>0</v>
      </c>
      <c r="AN99" s="84" t="s">
        <v>338</v>
      </c>
      <c r="AR99" s="85">
        <v>43411</v>
      </c>
      <c r="AS99" s="84">
        <v>6001616927</v>
      </c>
      <c r="AT99" s="85">
        <v>43411</v>
      </c>
      <c r="AU99" s="84" t="s">
        <v>782</v>
      </c>
      <c r="AV99" s="85">
        <v>43427</v>
      </c>
      <c r="AW99" s="123">
        <v>43434</v>
      </c>
      <c r="AX99" s="123">
        <v>43454</v>
      </c>
      <c r="AY99" s="132">
        <v>97248</v>
      </c>
      <c r="AZ99" s="132">
        <f>ROUNDDOWN(AY99+(AY99*MASTER!$A$2/100),0)</f>
        <v>105027</v>
      </c>
      <c r="BA99" s="84" t="s">
        <v>778</v>
      </c>
      <c r="BC99" s="88">
        <v>0</v>
      </c>
      <c r="BG99" s="88">
        <v>0</v>
      </c>
      <c r="BI99" s="84" t="s">
        <v>276</v>
      </c>
      <c r="BJ99" s="88">
        <v>9750</v>
      </c>
      <c r="BK99" s="88">
        <v>10530</v>
      </c>
      <c r="BL99" s="84" t="s">
        <v>863</v>
      </c>
      <c r="BS99" s="88">
        <v>0</v>
      </c>
      <c r="BV99" s="89">
        <v>93204</v>
      </c>
      <c r="BW99" s="89">
        <v>10530</v>
      </c>
      <c r="BX99" s="89">
        <v>43392</v>
      </c>
      <c r="BY99" s="89">
        <v>82674</v>
      </c>
      <c r="BZ99" s="112">
        <v>88.702201622247969</v>
      </c>
      <c r="CK99" s="88">
        <v>6300</v>
      </c>
    </row>
    <row r="100" spans="1:89" x14ac:dyDescent="0.15">
      <c r="A100" s="84">
        <v>2</v>
      </c>
      <c r="B100" s="85">
        <v>43454</v>
      </c>
      <c r="C100" s="85">
        <v>43477</v>
      </c>
      <c r="D100" s="85">
        <v>43483</v>
      </c>
      <c r="F100" s="85">
        <v>43484</v>
      </c>
      <c r="G100" s="85">
        <v>43483</v>
      </c>
      <c r="H100" s="85">
        <v>43480</v>
      </c>
      <c r="I100" s="84" t="s">
        <v>401</v>
      </c>
      <c r="J100" s="84">
        <v>1</v>
      </c>
      <c r="L100" s="84">
        <v>0</v>
      </c>
      <c r="M100" s="85">
        <v>43392</v>
      </c>
      <c r="N100" s="85" t="s">
        <v>265</v>
      </c>
      <c r="O100" s="86" t="s">
        <v>340</v>
      </c>
      <c r="P100" s="84" t="s">
        <v>26</v>
      </c>
      <c r="Q100" s="86" t="s">
        <v>107</v>
      </c>
      <c r="R100" s="86" t="s">
        <v>1377</v>
      </c>
      <c r="S100" s="87" t="s">
        <v>955</v>
      </c>
      <c r="T100" s="87" t="s">
        <v>889</v>
      </c>
      <c r="U100" s="88">
        <v>96800</v>
      </c>
      <c r="V100" s="88">
        <v>104544</v>
      </c>
      <c r="W100" s="88">
        <v>80800</v>
      </c>
      <c r="X100" s="88">
        <v>87264</v>
      </c>
      <c r="Y100" s="88">
        <v>16000</v>
      </c>
      <c r="Z100" s="88">
        <v>17280</v>
      </c>
      <c r="AA100" s="85">
        <v>43472</v>
      </c>
      <c r="AB100" s="85">
        <v>43477</v>
      </c>
      <c r="AC100" s="85">
        <v>43477</v>
      </c>
      <c r="AD100" s="84">
        <v>0</v>
      </c>
      <c r="AG100" s="84">
        <v>0</v>
      </c>
      <c r="AJ100" s="84">
        <v>0</v>
      </c>
      <c r="AN100" s="84" t="s">
        <v>338</v>
      </c>
      <c r="AR100" s="85">
        <v>43424</v>
      </c>
      <c r="AS100" s="84">
        <v>6001621818</v>
      </c>
      <c r="AT100" s="85">
        <v>43425</v>
      </c>
      <c r="AU100" s="84" t="s">
        <v>949</v>
      </c>
      <c r="AV100" s="85">
        <v>43477</v>
      </c>
      <c r="AW100" s="123">
        <v>43496</v>
      </c>
      <c r="AX100" s="123">
        <v>43516</v>
      </c>
      <c r="AY100" s="132">
        <v>92928</v>
      </c>
      <c r="AZ100" s="132">
        <f>ROUNDDOWN(AY100+(AY100*MASTER!$A$2/100),0)</f>
        <v>100362</v>
      </c>
      <c r="BA100" s="84" t="s">
        <v>778</v>
      </c>
      <c r="BC100" s="88">
        <v>0</v>
      </c>
      <c r="BG100" s="88">
        <v>0</v>
      </c>
      <c r="BI100" s="84" t="s">
        <v>276</v>
      </c>
      <c r="BJ100" s="88">
        <v>10400</v>
      </c>
      <c r="BK100" s="88">
        <v>11232</v>
      </c>
      <c r="BL100" s="84" t="s">
        <v>1421</v>
      </c>
      <c r="BS100" s="88">
        <v>0</v>
      </c>
      <c r="BV100" s="89">
        <v>87264</v>
      </c>
      <c r="BW100" s="89">
        <v>11232</v>
      </c>
      <c r="BX100" s="89">
        <v>43392</v>
      </c>
      <c r="BY100" s="89">
        <v>76032</v>
      </c>
      <c r="BZ100" s="112">
        <v>87.128712871287135</v>
      </c>
      <c r="CK100" s="88">
        <v>6300</v>
      </c>
    </row>
    <row r="101" spans="1:89" x14ac:dyDescent="0.15">
      <c r="A101" s="84">
        <v>2</v>
      </c>
      <c r="B101" s="85">
        <v>43454</v>
      </c>
      <c r="C101" s="85">
        <v>43477</v>
      </c>
      <c r="F101" s="85">
        <v>43484</v>
      </c>
      <c r="G101" s="85">
        <v>43483</v>
      </c>
      <c r="H101" s="85">
        <v>43480</v>
      </c>
      <c r="I101" s="84" t="s">
        <v>401</v>
      </c>
      <c r="J101" s="84">
        <v>1</v>
      </c>
      <c r="L101" s="84">
        <v>0</v>
      </c>
      <c r="M101" s="85">
        <v>43392</v>
      </c>
      <c r="N101" s="85" t="s">
        <v>265</v>
      </c>
      <c r="O101" s="86" t="s">
        <v>340</v>
      </c>
      <c r="P101" s="84" t="s">
        <v>26</v>
      </c>
      <c r="Q101" s="86" t="s">
        <v>107</v>
      </c>
      <c r="R101" s="86" t="s">
        <v>1376</v>
      </c>
      <c r="S101" s="87" t="s">
        <v>955</v>
      </c>
      <c r="T101" s="87" t="s">
        <v>1121</v>
      </c>
      <c r="U101" s="88">
        <v>142300</v>
      </c>
      <c r="V101" s="88">
        <v>153684</v>
      </c>
      <c r="W101" s="88">
        <v>89300</v>
      </c>
      <c r="X101" s="88">
        <v>96444</v>
      </c>
      <c r="Y101" s="88">
        <v>53000</v>
      </c>
      <c r="Z101" s="88">
        <v>57240</v>
      </c>
      <c r="AA101" s="85">
        <v>43472</v>
      </c>
      <c r="AB101" s="85">
        <v>43477</v>
      </c>
      <c r="AC101" s="85">
        <v>43477</v>
      </c>
      <c r="AD101" s="84">
        <v>0</v>
      </c>
      <c r="AG101" s="84">
        <v>0</v>
      </c>
      <c r="AJ101" s="84">
        <v>0</v>
      </c>
      <c r="AN101" s="84" t="s">
        <v>338</v>
      </c>
      <c r="AR101" s="85">
        <v>43424</v>
      </c>
      <c r="AS101" s="84">
        <v>6001621818</v>
      </c>
      <c r="AT101" s="85">
        <v>43425</v>
      </c>
      <c r="AU101" s="84" t="s">
        <v>949</v>
      </c>
      <c r="AV101" s="85">
        <v>43477</v>
      </c>
      <c r="AW101" s="123">
        <v>43496</v>
      </c>
      <c r="AX101" s="123">
        <v>43516</v>
      </c>
      <c r="AY101" s="132">
        <v>136608</v>
      </c>
      <c r="AZ101" s="132">
        <f>ROUNDDOWN(AY101+(AY101*MASTER!$A$2/100),0)</f>
        <v>147536</v>
      </c>
      <c r="BA101" s="84" t="s">
        <v>778</v>
      </c>
      <c r="BC101" s="88">
        <v>0</v>
      </c>
      <c r="BG101" s="88">
        <v>0</v>
      </c>
      <c r="BI101" s="84" t="s">
        <v>276</v>
      </c>
      <c r="BJ101" s="88">
        <v>34450</v>
      </c>
      <c r="BK101" s="88">
        <v>37206</v>
      </c>
      <c r="BL101" s="84" t="s">
        <v>1421</v>
      </c>
      <c r="BS101" s="88">
        <v>0</v>
      </c>
      <c r="BV101" s="89">
        <v>96444</v>
      </c>
      <c r="BW101" s="89">
        <v>37206</v>
      </c>
      <c r="BX101" s="89">
        <v>43392</v>
      </c>
      <c r="BY101" s="89">
        <v>59238</v>
      </c>
      <c r="BZ101" s="112">
        <v>61.422172452407622</v>
      </c>
      <c r="CK101" s="88">
        <v>6300</v>
      </c>
    </row>
    <row r="102" spans="1:89" s="151" customFormat="1" x14ac:dyDescent="0.15">
      <c r="A102" s="141">
        <v>3</v>
      </c>
      <c r="B102" s="142"/>
      <c r="C102" s="142" t="s">
        <v>338</v>
      </c>
      <c r="D102" s="142"/>
      <c r="E102" s="142"/>
      <c r="F102" s="142" t="s">
        <v>338</v>
      </c>
      <c r="G102" s="142"/>
      <c r="H102" s="142" t="s">
        <v>338</v>
      </c>
      <c r="I102" s="141"/>
      <c r="J102" s="141">
        <v>1</v>
      </c>
      <c r="K102" s="142"/>
      <c r="L102" s="141">
        <v>0</v>
      </c>
      <c r="M102" s="142">
        <v>43392</v>
      </c>
      <c r="N102" s="142" t="s">
        <v>265</v>
      </c>
      <c r="O102" s="143" t="s">
        <v>340</v>
      </c>
      <c r="P102" s="141" t="s">
        <v>26</v>
      </c>
      <c r="Q102" s="143" t="s">
        <v>107</v>
      </c>
      <c r="R102" s="143" t="s">
        <v>1029</v>
      </c>
      <c r="S102" s="144" t="s">
        <v>955</v>
      </c>
      <c r="T102" s="144" t="s">
        <v>1030</v>
      </c>
      <c r="U102" s="145">
        <v>214800</v>
      </c>
      <c r="V102" s="145">
        <v>231984</v>
      </c>
      <c r="W102" s="145">
        <v>102800</v>
      </c>
      <c r="X102" s="145">
        <v>111024</v>
      </c>
      <c r="Y102" s="145">
        <v>112000</v>
      </c>
      <c r="Z102" s="145">
        <v>120960</v>
      </c>
      <c r="AA102" s="142">
        <v>43472</v>
      </c>
      <c r="AB102" s="142">
        <v>43477</v>
      </c>
      <c r="AC102" s="142"/>
      <c r="AD102" s="141">
        <v>0</v>
      </c>
      <c r="AE102" s="141"/>
      <c r="AF102" s="141"/>
      <c r="AG102" s="141">
        <v>0</v>
      </c>
      <c r="AH102" s="141"/>
      <c r="AI102" s="141"/>
      <c r="AJ102" s="141">
        <v>0</v>
      </c>
      <c r="AK102" s="141"/>
      <c r="AL102" s="141"/>
      <c r="AM102" s="141"/>
      <c r="AN102" s="141" t="s">
        <v>338</v>
      </c>
      <c r="AO102" s="142"/>
      <c r="AP102" s="141"/>
      <c r="AQ102" s="141"/>
      <c r="AR102" s="142"/>
      <c r="AS102" s="141"/>
      <c r="AT102" s="142"/>
      <c r="AU102" s="141"/>
      <c r="AV102" s="142"/>
      <c r="AW102" s="146"/>
      <c r="AX102" s="146"/>
      <c r="AY102" s="147">
        <v>206208</v>
      </c>
      <c r="AZ102" s="132">
        <f>ROUNDDOWN(AY102+(AY102*MASTER!$A$2/100),0)</f>
        <v>222704</v>
      </c>
      <c r="BA102" s="141"/>
      <c r="BB102" s="145"/>
      <c r="BC102" s="145">
        <v>0</v>
      </c>
      <c r="BD102" s="141"/>
      <c r="BE102" s="141"/>
      <c r="BF102" s="145"/>
      <c r="BG102" s="145">
        <v>0</v>
      </c>
      <c r="BH102" s="141"/>
      <c r="BI102" s="141"/>
      <c r="BJ102" s="145"/>
      <c r="BK102" s="145">
        <v>0</v>
      </c>
      <c r="BL102" s="141"/>
      <c r="BM102" s="145"/>
      <c r="BN102" s="145"/>
      <c r="BO102" s="145"/>
      <c r="BP102" s="145"/>
      <c r="BQ102" s="145"/>
      <c r="BR102" s="145"/>
      <c r="BS102" s="145">
        <v>0</v>
      </c>
      <c r="BT102" s="148"/>
      <c r="BU102" s="148"/>
      <c r="BV102" s="149">
        <v>111024</v>
      </c>
      <c r="BW102" s="149">
        <v>0</v>
      </c>
      <c r="BX102" s="149">
        <v>43392</v>
      </c>
      <c r="BY102" s="149">
        <v>111024</v>
      </c>
      <c r="BZ102" s="150">
        <v>100</v>
      </c>
      <c r="CA102" s="141"/>
      <c r="CB102" s="141"/>
      <c r="CC102" s="141"/>
      <c r="CD102" s="144" t="s">
        <v>1031</v>
      </c>
      <c r="CE102" s="142"/>
      <c r="CF102" s="142"/>
      <c r="CG102" s="142"/>
      <c r="CH102" s="142"/>
      <c r="CI102" s="142"/>
      <c r="CJ102" s="142"/>
      <c r="CK102" s="145">
        <v>6300</v>
      </c>
    </row>
    <row r="103" spans="1:89" x14ac:dyDescent="0.15">
      <c r="A103" s="84">
        <v>2</v>
      </c>
      <c r="C103" s="85" t="s">
        <v>338</v>
      </c>
      <c r="F103" s="85">
        <v>43398</v>
      </c>
      <c r="H103" s="85">
        <v>43394</v>
      </c>
      <c r="J103" s="84">
        <v>4</v>
      </c>
      <c r="L103" s="84">
        <v>0</v>
      </c>
      <c r="M103" s="85">
        <v>43392</v>
      </c>
      <c r="N103" s="85" t="s">
        <v>345</v>
      </c>
      <c r="O103" s="86" t="s">
        <v>343</v>
      </c>
      <c r="P103" s="84" t="s">
        <v>482</v>
      </c>
      <c r="Q103" s="86" t="s">
        <v>344</v>
      </c>
      <c r="R103" s="86" t="s">
        <v>483</v>
      </c>
      <c r="S103" s="87" t="s">
        <v>484</v>
      </c>
      <c r="T103" s="87" t="s">
        <v>485</v>
      </c>
      <c r="U103" s="88">
        <v>0</v>
      </c>
      <c r="V103" s="88">
        <v>0</v>
      </c>
      <c r="W103" s="88">
        <v>0</v>
      </c>
      <c r="X103" s="88">
        <v>0</v>
      </c>
      <c r="Y103" s="88">
        <v>0</v>
      </c>
      <c r="Z103" s="88">
        <v>0</v>
      </c>
      <c r="AA103" s="85">
        <v>43390</v>
      </c>
      <c r="AB103" s="85">
        <v>43391</v>
      </c>
      <c r="AC103" s="85">
        <v>43391</v>
      </c>
      <c r="AD103" s="84">
        <v>0</v>
      </c>
      <c r="AG103" s="84">
        <v>0</v>
      </c>
      <c r="AJ103" s="84">
        <v>0</v>
      </c>
      <c r="AN103" s="84" t="s">
        <v>338</v>
      </c>
      <c r="AY103" s="132">
        <f>ROUNDDOWN((0.96*U103),0)</f>
        <v>0</v>
      </c>
      <c r="AZ103" s="132">
        <f>ROUNDDOWN(AY103+(AY103*MASTER!$A$2/100),0)</f>
        <v>0</v>
      </c>
      <c r="BA103" s="84" t="s">
        <v>486</v>
      </c>
      <c r="BB103" s="88">
        <v>52000</v>
      </c>
      <c r="BC103" s="88">
        <v>56160</v>
      </c>
      <c r="BD103" s="84" t="s">
        <v>430</v>
      </c>
      <c r="BG103" s="88">
        <v>0</v>
      </c>
      <c r="BK103" s="88">
        <v>0</v>
      </c>
      <c r="BS103" s="88">
        <v>0</v>
      </c>
      <c r="BV103" s="89">
        <v>0</v>
      </c>
      <c r="BW103" s="89">
        <v>56160</v>
      </c>
      <c r="BX103" s="89">
        <v>43392</v>
      </c>
      <c r="BY103" s="89">
        <v>-56160</v>
      </c>
      <c r="BZ103" s="112" t="s">
        <v>338</v>
      </c>
    </row>
    <row r="104" spans="1:89" x14ac:dyDescent="0.15">
      <c r="A104" s="84">
        <v>1</v>
      </c>
      <c r="B104" s="85">
        <v>43405</v>
      </c>
      <c r="C104" s="85">
        <v>43406</v>
      </c>
      <c r="F104" s="85" t="s">
        <v>338</v>
      </c>
      <c r="H104" s="85" t="s">
        <v>338</v>
      </c>
      <c r="J104" s="84">
        <v>2</v>
      </c>
      <c r="L104" s="84">
        <v>0</v>
      </c>
      <c r="M104" s="85">
        <v>43395</v>
      </c>
      <c r="N104" s="85" t="s">
        <v>265</v>
      </c>
      <c r="O104" s="86" t="s">
        <v>340</v>
      </c>
      <c r="P104" s="84" t="s">
        <v>78</v>
      </c>
      <c r="Q104" s="86" t="s">
        <v>107</v>
      </c>
      <c r="R104" s="86" t="s">
        <v>487</v>
      </c>
      <c r="S104" s="87" t="s">
        <v>489</v>
      </c>
      <c r="T104" s="87" t="s">
        <v>491</v>
      </c>
      <c r="U104" s="88">
        <v>55000</v>
      </c>
      <c r="V104" s="88">
        <v>59400</v>
      </c>
      <c r="W104" s="88">
        <v>55000</v>
      </c>
      <c r="X104" s="88">
        <v>59400</v>
      </c>
      <c r="Z104" s="88">
        <v>0</v>
      </c>
      <c r="AA104" s="85">
        <v>43405</v>
      </c>
      <c r="AB104" s="85">
        <v>43406</v>
      </c>
      <c r="AD104" s="84">
        <v>0</v>
      </c>
      <c r="AG104" s="84">
        <v>0</v>
      </c>
      <c r="AJ104" s="84">
        <v>0</v>
      </c>
      <c r="AN104" s="84" t="s">
        <v>338</v>
      </c>
      <c r="AR104" s="85">
        <v>43403</v>
      </c>
      <c r="AS104" s="84">
        <v>6001613629</v>
      </c>
      <c r="AT104" s="85">
        <v>43403</v>
      </c>
      <c r="AU104" s="84" t="s">
        <v>674</v>
      </c>
      <c r="AV104" s="85">
        <v>43406</v>
      </c>
      <c r="AW104" s="123">
        <v>43434</v>
      </c>
      <c r="AX104" s="123">
        <v>43454</v>
      </c>
      <c r="AY104" s="132">
        <v>52800</v>
      </c>
      <c r="AZ104" s="132">
        <f>ROUNDDOWN(AY104+(AY104*MASTER!$A$2/100),0)</f>
        <v>57024</v>
      </c>
      <c r="BC104" s="88">
        <v>0</v>
      </c>
      <c r="BG104" s="88">
        <v>0</v>
      </c>
      <c r="BK104" s="88">
        <v>0</v>
      </c>
      <c r="BS104" s="88">
        <v>0</v>
      </c>
      <c r="BV104" s="89">
        <v>59400</v>
      </c>
      <c r="BW104" s="89">
        <v>0</v>
      </c>
      <c r="BX104" s="89">
        <v>43395</v>
      </c>
      <c r="BY104" s="89">
        <v>59400</v>
      </c>
      <c r="BZ104" s="112">
        <v>100</v>
      </c>
      <c r="CK104" s="88">
        <v>0</v>
      </c>
    </row>
    <row r="105" spans="1:89" x14ac:dyDescent="0.15">
      <c r="A105" s="84">
        <v>1</v>
      </c>
      <c r="B105" s="85">
        <v>43405</v>
      </c>
      <c r="C105" s="85">
        <v>43410</v>
      </c>
      <c r="F105" s="85" t="s">
        <v>338</v>
      </c>
      <c r="H105" s="85" t="s">
        <v>338</v>
      </c>
      <c r="J105" s="84">
        <v>2</v>
      </c>
      <c r="L105" s="84">
        <v>0</v>
      </c>
      <c r="M105" s="85">
        <v>43395</v>
      </c>
      <c r="N105" s="85" t="s">
        <v>265</v>
      </c>
      <c r="O105" s="86" t="s">
        <v>340</v>
      </c>
      <c r="P105" s="84" t="s">
        <v>78</v>
      </c>
      <c r="Q105" s="86" t="s">
        <v>107</v>
      </c>
      <c r="R105" s="86" t="s">
        <v>492</v>
      </c>
      <c r="S105" s="87" t="s">
        <v>493</v>
      </c>
      <c r="T105" s="87" t="s">
        <v>495</v>
      </c>
      <c r="U105" s="88">
        <v>55000</v>
      </c>
      <c r="V105" s="88">
        <v>59400</v>
      </c>
      <c r="W105" s="88">
        <v>55000</v>
      </c>
      <c r="X105" s="88">
        <v>59400</v>
      </c>
      <c r="Z105" s="88">
        <v>0</v>
      </c>
      <c r="AA105" s="85">
        <v>43409</v>
      </c>
      <c r="AB105" s="85">
        <v>43410</v>
      </c>
      <c r="AD105" s="84">
        <v>0</v>
      </c>
      <c r="AG105" s="84">
        <v>0</v>
      </c>
      <c r="AJ105" s="84">
        <v>0</v>
      </c>
      <c r="AN105" s="84" t="s">
        <v>338</v>
      </c>
      <c r="AR105" s="85">
        <v>43403</v>
      </c>
      <c r="AS105" s="84">
        <v>6001613629</v>
      </c>
      <c r="AT105" s="85">
        <v>43403</v>
      </c>
      <c r="AU105" s="84" t="s">
        <v>674</v>
      </c>
      <c r="AV105" s="85">
        <v>43410</v>
      </c>
      <c r="AW105" s="123">
        <v>43434</v>
      </c>
      <c r="AX105" s="123">
        <v>43454</v>
      </c>
      <c r="AY105" s="132">
        <v>52800</v>
      </c>
      <c r="AZ105" s="132">
        <f>ROUNDDOWN(AY105+(AY105*MASTER!$A$2/100),0)</f>
        <v>57024</v>
      </c>
      <c r="BC105" s="88">
        <v>0</v>
      </c>
      <c r="BG105" s="88">
        <v>0</v>
      </c>
      <c r="BK105" s="88">
        <v>0</v>
      </c>
      <c r="BS105" s="88">
        <v>0</v>
      </c>
      <c r="BV105" s="89">
        <v>59400</v>
      </c>
      <c r="BW105" s="89">
        <v>0</v>
      </c>
      <c r="BX105" s="89">
        <v>43395</v>
      </c>
      <c r="BY105" s="89">
        <v>59400</v>
      </c>
      <c r="BZ105" s="112">
        <v>100</v>
      </c>
      <c r="CK105" s="88">
        <v>0</v>
      </c>
    </row>
    <row r="106" spans="1:89" x14ac:dyDescent="0.15">
      <c r="A106" s="84">
        <v>1</v>
      </c>
      <c r="B106" s="85">
        <v>43405</v>
      </c>
      <c r="C106" s="85">
        <v>43411</v>
      </c>
      <c r="F106" s="85" t="s">
        <v>338</v>
      </c>
      <c r="H106" s="85" t="s">
        <v>338</v>
      </c>
      <c r="J106" s="84">
        <v>2</v>
      </c>
      <c r="L106" s="84">
        <v>0</v>
      </c>
      <c r="M106" s="85">
        <v>43395</v>
      </c>
      <c r="N106" s="85" t="s">
        <v>345</v>
      </c>
      <c r="O106" s="86" t="s">
        <v>343</v>
      </c>
      <c r="P106" s="84" t="s">
        <v>488</v>
      </c>
      <c r="Q106" s="86" t="s">
        <v>344</v>
      </c>
      <c r="R106" s="86" t="s">
        <v>496</v>
      </c>
      <c r="S106" s="87" t="s">
        <v>497</v>
      </c>
      <c r="T106" s="87" t="s">
        <v>494</v>
      </c>
      <c r="U106" s="88">
        <v>55000</v>
      </c>
      <c r="V106" s="88">
        <v>59400</v>
      </c>
      <c r="W106" s="88">
        <v>55000</v>
      </c>
      <c r="X106" s="88">
        <v>59400</v>
      </c>
      <c r="Z106" s="88">
        <v>0</v>
      </c>
      <c r="AA106" s="85">
        <v>43410</v>
      </c>
      <c r="AB106" s="85">
        <v>43411</v>
      </c>
      <c r="AD106" s="84">
        <v>0</v>
      </c>
      <c r="AG106" s="84">
        <v>0</v>
      </c>
      <c r="AJ106" s="84">
        <v>0</v>
      </c>
      <c r="AN106" s="84" t="s">
        <v>338</v>
      </c>
      <c r="AR106" s="85">
        <v>43403</v>
      </c>
      <c r="AS106" s="84">
        <v>6001613629</v>
      </c>
      <c r="AT106" s="85">
        <v>43403</v>
      </c>
      <c r="AU106" s="84" t="s">
        <v>674</v>
      </c>
      <c r="AV106" s="85">
        <v>43411</v>
      </c>
      <c r="AW106" s="123">
        <v>43434</v>
      </c>
      <c r="AX106" s="123">
        <v>43454</v>
      </c>
      <c r="AY106" s="132">
        <f>ROUNDDOWN((0.96*U106),0)</f>
        <v>52800</v>
      </c>
      <c r="AZ106" s="132">
        <f>ROUNDDOWN(AY106+(AY106*MASTER!$A$2/100),0)</f>
        <v>57024</v>
      </c>
      <c r="BC106" s="88">
        <v>0</v>
      </c>
      <c r="BG106" s="88">
        <v>0</v>
      </c>
      <c r="BK106" s="88">
        <v>0</v>
      </c>
      <c r="BS106" s="88">
        <v>0</v>
      </c>
      <c r="BV106" s="89">
        <v>59400</v>
      </c>
      <c r="BW106" s="89">
        <v>0</v>
      </c>
      <c r="BX106" s="89">
        <v>43395</v>
      </c>
      <c r="BY106" s="89">
        <v>59400</v>
      </c>
      <c r="BZ106" s="112">
        <v>100</v>
      </c>
      <c r="CK106" s="88">
        <v>0</v>
      </c>
    </row>
    <row r="107" spans="1:89" x14ac:dyDescent="0.15">
      <c r="A107" s="84">
        <v>1</v>
      </c>
      <c r="B107" s="85">
        <v>43405</v>
      </c>
      <c r="C107" s="85">
        <v>43412</v>
      </c>
      <c r="F107" s="85" t="s">
        <v>338</v>
      </c>
      <c r="H107" s="85" t="s">
        <v>338</v>
      </c>
      <c r="J107" s="84">
        <v>2</v>
      </c>
      <c r="L107" s="84">
        <v>0</v>
      </c>
      <c r="M107" s="85">
        <v>43395</v>
      </c>
      <c r="N107" s="85" t="s">
        <v>345</v>
      </c>
      <c r="O107" s="86" t="s">
        <v>343</v>
      </c>
      <c r="P107" s="84" t="s">
        <v>488</v>
      </c>
      <c r="Q107" s="86" t="s">
        <v>344</v>
      </c>
      <c r="R107" s="86" t="s">
        <v>498</v>
      </c>
      <c r="S107" s="87" t="s">
        <v>499</v>
      </c>
      <c r="T107" s="87" t="s">
        <v>494</v>
      </c>
      <c r="U107" s="88">
        <v>55000</v>
      </c>
      <c r="V107" s="88">
        <v>59400</v>
      </c>
      <c r="W107" s="88">
        <v>55000</v>
      </c>
      <c r="X107" s="88">
        <v>59400</v>
      </c>
      <c r="Z107" s="88">
        <v>0</v>
      </c>
      <c r="AA107" s="85">
        <v>43411</v>
      </c>
      <c r="AB107" s="85">
        <v>43412</v>
      </c>
      <c r="AD107" s="84">
        <v>0</v>
      </c>
      <c r="AG107" s="84">
        <v>0</v>
      </c>
      <c r="AJ107" s="84">
        <v>0</v>
      </c>
      <c r="AN107" s="84" t="s">
        <v>338</v>
      </c>
      <c r="AR107" s="85">
        <v>43403</v>
      </c>
      <c r="AS107" s="84">
        <v>6001613629</v>
      </c>
      <c r="AT107" s="85">
        <v>43403</v>
      </c>
      <c r="AU107" s="84" t="s">
        <v>674</v>
      </c>
      <c r="AV107" s="85">
        <v>43412</v>
      </c>
      <c r="AW107" s="123">
        <v>43434</v>
      </c>
      <c r="AX107" s="123">
        <v>43454</v>
      </c>
      <c r="AY107" s="132">
        <f>ROUNDDOWN((0.96*U107),0)</f>
        <v>52800</v>
      </c>
      <c r="AZ107" s="132">
        <f>ROUNDDOWN(AY107+(AY107*MASTER!$A$2/100),0)</f>
        <v>57024</v>
      </c>
      <c r="BC107" s="88">
        <v>0</v>
      </c>
      <c r="BG107" s="88">
        <v>0</v>
      </c>
      <c r="BK107" s="88">
        <v>0</v>
      </c>
      <c r="BS107" s="88">
        <v>0</v>
      </c>
      <c r="BV107" s="89">
        <v>59400</v>
      </c>
      <c r="BW107" s="89">
        <v>0</v>
      </c>
      <c r="BX107" s="89">
        <v>43395</v>
      </c>
      <c r="BY107" s="89">
        <v>59400</v>
      </c>
      <c r="BZ107" s="112">
        <v>100</v>
      </c>
      <c r="CK107" s="88">
        <v>0</v>
      </c>
    </row>
    <row r="108" spans="1:89" x14ac:dyDescent="0.15">
      <c r="A108" s="84">
        <v>1</v>
      </c>
      <c r="B108" s="85">
        <v>43405</v>
      </c>
      <c r="C108" s="85">
        <v>43413</v>
      </c>
      <c r="F108" s="85" t="s">
        <v>338</v>
      </c>
      <c r="H108" s="85" t="s">
        <v>338</v>
      </c>
      <c r="J108" s="84">
        <v>2</v>
      </c>
      <c r="L108" s="84">
        <v>0</v>
      </c>
      <c r="M108" s="85">
        <v>43395</v>
      </c>
      <c r="N108" s="85" t="s">
        <v>265</v>
      </c>
      <c r="O108" s="86" t="s">
        <v>340</v>
      </c>
      <c r="P108" s="84" t="s">
        <v>78</v>
      </c>
      <c r="Q108" s="86" t="s">
        <v>107</v>
      </c>
      <c r="R108" s="86" t="s">
        <v>723</v>
      </c>
      <c r="S108" s="87" t="s">
        <v>643</v>
      </c>
      <c r="T108" s="87" t="s">
        <v>495</v>
      </c>
      <c r="U108" s="88">
        <v>55000</v>
      </c>
      <c r="V108" s="88">
        <v>59400</v>
      </c>
      <c r="W108" s="88">
        <v>55000</v>
      </c>
      <c r="X108" s="88">
        <v>59400</v>
      </c>
      <c r="Z108" s="88">
        <v>0</v>
      </c>
      <c r="AA108" s="85">
        <v>43412</v>
      </c>
      <c r="AB108" s="85">
        <v>43413</v>
      </c>
      <c r="AD108" s="84">
        <v>0</v>
      </c>
      <c r="AG108" s="84">
        <v>0</v>
      </c>
      <c r="AJ108" s="84">
        <v>0</v>
      </c>
      <c r="AN108" s="84" t="s">
        <v>338</v>
      </c>
      <c r="AR108" s="85">
        <v>43403</v>
      </c>
      <c r="AS108" s="84">
        <v>6001613629</v>
      </c>
      <c r="AT108" s="85">
        <v>43403</v>
      </c>
      <c r="AU108" s="84" t="s">
        <v>674</v>
      </c>
      <c r="AV108" s="85">
        <v>43413</v>
      </c>
      <c r="AW108" s="123">
        <v>43434</v>
      </c>
      <c r="AX108" s="123">
        <v>43454</v>
      </c>
      <c r="AY108" s="132">
        <v>52800</v>
      </c>
      <c r="AZ108" s="132">
        <f>ROUNDDOWN(AY108+(AY108*MASTER!$A$2/100),0)</f>
        <v>57024</v>
      </c>
      <c r="BC108" s="88">
        <v>0</v>
      </c>
      <c r="BG108" s="88">
        <v>0</v>
      </c>
      <c r="BK108" s="88">
        <v>0</v>
      </c>
      <c r="BS108" s="88">
        <v>0</v>
      </c>
      <c r="BV108" s="89">
        <v>59400</v>
      </c>
      <c r="BW108" s="89">
        <v>0</v>
      </c>
      <c r="BX108" s="89">
        <v>43395</v>
      </c>
      <c r="BY108" s="89">
        <v>59400</v>
      </c>
      <c r="BZ108" s="112">
        <v>100</v>
      </c>
      <c r="CK108" s="88">
        <v>0</v>
      </c>
    </row>
    <row r="109" spans="1:89" x14ac:dyDescent="0.15">
      <c r="A109" s="84">
        <v>1</v>
      </c>
      <c r="B109" s="85">
        <v>43405</v>
      </c>
      <c r="C109" s="85">
        <v>43417</v>
      </c>
      <c r="F109" s="85" t="s">
        <v>338</v>
      </c>
      <c r="H109" s="85" t="s">
        <v>338</v>
      </c>
      <c r="J109" s="84">
        <v>2</v>
      </c>
      <c r="L109" s="84">
        <v>0</v>
      </c>
      <c r="M109" s="85">
        <v>43395</v>
      </c>
      <c r="N109" s="85" t="s">
        <v>345</v>
      </c>
      <c r="O109" s="86" t="s">
        <v>343</v>
      </c>
      <c r="P109" s="84" t="s">
        <v>488</v>
      </c>
      <c r="Q109" s="86" t="s">
        <v>344</v>
      </c>
      <c r="R109" s="86" t="s">
        <v>500</v>
      </c>
      <c r="S109" s="87" t="s">
        <v>501</v>
      </c>
      <c r="T109" s="87" t="s">
        <v>502</v>
      </c>
      <c r="U109" s="88">
        <v>55000</v>
      </c>
      <c r="V109" s="88">
        <v>59400</v>
      </c>
      <c r="W109" s="88">
        <v>55000</v>
      </c>
      <c r="X109" s="88">
        <v>59400</v>
      </c>
      <c r="Z109" s="88">
        <v>0</v>
      </c>
      <c r="AA109" s="85">
        <v>43416</v>
      </c>
      <c r="AB109" s="85">
        <v>43417</v>
      </c>
      <c r="AD109" s="84">
        <v>0</v>
      </c>
      <c r="AG109" s="84">
        <v>0</v>
      </c>
      <c r="AJ109" s="84">
        <v>0</v>
      </c>
      <c r="AN109" s="84" t="s">
        <v>338</v>
      </c>
      <c r="AR109" s="85">
        <v>43403</v>
      </c>
      <c r="AS109" s="84">
        <v>6001613629</v>
      </c>
      <c r="AT109" s="85">
        <v>43403</v>
      </c>
      <c r="AU109" s="84" t="s">
        <v>674</v>
      </c>
      <c r="AV109" s="85">
        <v>43417</v>
      </c>
      <c r="AW109" s="123">
        <v>43434</v>
      </c>
      <c r="AX109" s="123">
        <v>43454</v>
      </c>
      <c r="AY109" s="132">
        <f t="shared" ref="AY109:AY120" si="4">ROUNDDOWN((0.96*U109),0)</f>
        <v>52800</v>
      </c>
      <c r="AZ109" s="132">
        <f>ROUNDDOWN(AY109+(AY109*MASTER!$A$2/100),0)</f>
        <v>57024</v>
      </c>
      <c r="BC109" s="88">
        <v>0</v>
      </c>
      <c r="BG109" s="88">
        <v>0</v>
      </c>
      <c r="BK109" s="88">
        <v>0</v>
      </c>
      <c r="BS109" s="88">
        <v>0</v>
      </c>
      <c r="BV109" s="89">
        <v>59400</v>
      </c>
      <c r="BW109" s="89">
        <v>0</v>
      </c>
      <c r="BX109" s="89">
        <v>43395</v>
      </c>
      <c r="BY109" s="89">
        <v>59400</v>
      </c>
      <c r="BZ109" s="112">
        <v>100</v>
      </c>
      <c r="CK109" s="88">
        <v>0</v>
      </c>
    </row>
    <row r="110" spans="1:89" x14ac:dyDescent="0.15">
      <c r="A110" s="84">
        <v>1</v>
      </c>
      <c r="B110" s="85">
        <v>43405</v>
      </c>
      <c r="C110" s="85">
        <v>43418</v>
      </c>
      <c r="F110" s="85" t="s">
        <v>338</v>
      </c>
      <c r="H110" s="85" t="s">
        <v>338</v>
      </c>
      <c r="J110" s="84">
        <v>2</v>
      </c>
      <c r="L110" s="84">
        <v>0</v>
      </c>
      <c r="M110" s="85">
        <v>43395</v>
      </c>
      <c r="N110" s="85" t="s">
        <v>345</v>
      </c>
      <c r="O110" s="86" t="s">
        <v>343</v>
      </c>
      <c r="P110" s="84" t="s">
        <v>488</v>
      </c>
      <c r="Q110" s="86" t="s">
        <v>344</v>
      </c>
      <c r="R110" s="86" t="s">
        <v>503</v>
      </c>
      <c r="S110" s="87" t="s">
        <v>504</v>
      </c>
      <c r="T110" s="87" t="s">
        <v>502</v>
      </c>
      <c r="U110" s="88">
        <v>55000</v>
      </c>
      <c r="V110" s="88">
        <v>59400</v>
      </c>
      <c r="W110" s="88">
        <v>55000</v>
      </c>
      <c r="X110" s="88">
        <v>59400</v>
      </c>
      <c r="Z110" s="88">
        <v>0</v>
      </c>
      <c r="AA110" s="85">
        <v>43417</v>
      </c>
      <c r="AB110" s="85">
        <v>43418</v>
      </c>
      <c r="AD110" s="84">
        <v>0</v>
      </c>
      <c r="AG110" s="84">
        <v>0</v>
      </c>
      <c r="AJ110" s="84">
        <v>0</v>
      </c>
      <c r="AN110" s="84" t="s">
        <v>338</v>
      </c>
      <c r="AR110" s="85">
        <v>43403</v>
      </c>
      <c r="AS110" s="84">
        <v>6001613629</v>
      </c>
      <c r="AT110" s="85">
        <v>43403</v>
      </c>
      <c r="AU110" s="84" t="s">
        <v>674</v>
      </c>
      <c r="AV110" s="85">
        <v>43418</v>
      </c>
      <c r="AW110" s="123">
        <v>43434</v>
      </c>
      <c r="AX110" s="123">
        <v>43454</v>
      </c>
      <c r="AY110" s="132">
        <f t="shared" si="4"/>
        <v>52800</v>
      </c>
      <c r="AZ110" s="132">
        <f>ROUNDDOWN(AY110+(AY110*MASTER!$A$2/100),0)</f>
        <v>57024</v>
      </c>
      <c r="BC110" s="88">
        <v>0</v>
      </c>
      <c r="BG110" s="88">
        <v>0</v>
      </c>
      <c r="BK110" s="88">
        <v>0</v>
      </c>
      <c r="BS110" s="88">
        <v>0</v>
      </c>
      <c r="BV110" s="89">
        <v>59400</v>
      </c>
      <c r="BW110" s="89">
        <v>0</v>
      </c>
      <c r="BX110" s="89">
        <v>43395</v>
      </c>
      <c r="BY110" s="89">
        <v>59400</v>
      </c>
      <c r="BZ110" s="112">
        <v>100</v>
      </c>
      <c r="CK110" s="88">
        <v>0</v>
      </c>
    </row>
    <row r="111" spans="1:89" x14ac:dyDescent="0.15">
      <c r="A111" s="84">
        <v>1</v>
      </c>
      <c r="B111" s="85">
        <v>43405</v>
      </c>
      <c r="C111" s="85">
        <v>43419</v>
      </c>
      <c r="F111" s="85" t="s">
        <v>338</v>
      </c>
      <c r="H111" s="85" t="s">
        <v>338</v>
      </c>
      <c r="J111" s="84">
        <v>2</v>
      </c>
      <c r="L111" s="84">
        <v>0</v>
      </c>
      <c r="M111" s="85">
        <v>43395</v>
      </c>
      <c r="N111" s="85" t="s">
        <v>345</v>
      </c>
      <c r="O111" s="86" t="s">
        <v>343</v>
      </c>
      <c r="P111" s="84" t="s">
        <v>488</v>
      </c>
      <c r="Q111" s="86" t="s">
        <v>344</v>
      </c>
      <c r="R111" s="86" t="s">
        <v>505</v>
      </c>
      <c r="S111" s="87" t="s">
        <v>506</v>
      </c>
      <c r="T111" s="87" t="s">
        <v>502</v>
      </c>
      <c r="U111" s="88">
        <v>55000</v>
      </c>
      <c r="V111" s="88">
        <v>59400</v>
      </c>
      <c r="W111" s="88">
        <v>55000</v>
      </c>
      <c r="X111" s="88">
        <v>59400</v>
      </c>
      <c r="Z111" s="88">
        <v>0</v>
      </c>
      <c r="AA111" s="85">
        <v>43418</v>
      </c>
      <c r="AB111" s="85">
        <v>43419</v>
      </c>
      <c r="AD111" s="84">
        <v>0</v>
      </c>
      <c r="AG111" s="84">
        <v>0</v>
      </c>
      <c r="AJ111" s="84">
        <v>0</v>
      </c>
      <c r="AN111" s="84" t="s">
        <v>338</v>
      </c>
      <c r="AR111" s="85">
        <v>43403</v>
      </c>
      <c r="AS111" s="84">
        <v>6001613629</v>
      </c>
      <c r="AT111" s="85">
        <v>43403</v>
      </c>
      <c r="AU111" s="84" t="s">
        <v>674</v>
      </c>
      <c r="AV111" s="85">
        <v>43419</v>
      </c>
      <c r="AW111" s="123">
        <v>43434</v>
      </c>
      <c r="AX111" s="123">
        <v>43454</v>
      </c>
      <c r="AY111" s="132">
        <f t="shared" si="4"/>
        <v>52800</v>
      </c>
      <c r="AZ111" s="132">
        <f>ROUNDDOWN(AY111+(AY111*MASTER!$A$2/100),0)</f>
        <v>57024</v>
      </c>
      <c r="BC111" s="88">
        <v>0</v>
      </c>
      <c r="BG111" s="88">
        <v>0</v>
      </c>
      <c r="BK111" s="88">
        <v>0</v>
      </c>
      <c r="BS111" s="88">
        <v>0</v>
      </c>
      <c r="BV111" s="89">
        <v>59400</v>
      </c>
      <c r="BW111" s="89">
        <v>0</v>
      </c>
      <c r="BX111" s="89">
        <v>43395</v>
      </c>
      <c r="BY111" s="89">
        <v>59400</v>
      </c>
      <c r="BZ111" s="112">
        <v>100</v>
      </c>
      <c r="CK111" s="88">
        <v>0</v>
      </c>
    </row>
    <row r="112" spans="1:89" x14ac:dyDescent="0.15">
      <c r="A112" s="84">
        <v>1</v>
      </c>
      <c r="B112" s="85">
        <v>43405</v>
      </c>
      <c r="C112" s="85">
        <v>43420</v>
      </c>
      <c r="F112" s="85" t="s">
        <v>338</v>
      </c>
      <c r="H112" s="85" t="s">
        <v>338</v>
      </c>
      <c r="J112" s="84">
        <v>2</v>
      </c>
      <c r="L112" s="84">
        <v>0</v>
      </c>
      <c r="M112" s="85">
        <v>43395</v>
      </c>
      <c r="N112" s="85" t="s">
        <v>345</v>
      </c>
      <c r="O112" s="86" t="s">
        <v>343</v>
      </c>
      <c r="P112" s="84" t="s">
        <v>488</v>
      </c>
      <c r="Q112" s="86" t="s">
        <v>344</v>
      </c>
      <c r="R112" s="86" t="s">
        <v>507</v>
      </c>
      <c r="S112" s="87" t="s">
        <v>508</v>
      </c>
      <c r="T112" s="87" t="s">
        <v>502</v>
      </c>
      <c r="U112" s="88">
        <v>55000</v>
      </c>
      <c r="V112" s="88">
        <v>59400</v>
      </c>
      <c r="W112" s="88">
        <v>55000</v>
      </c>
      <c r="X112" s="88">
        <v>59400</v>
      </c>
      <c r="Z112" s="88">
        <v>0</v>
      </c>
      <c r="AA112" s="85">
        <v>43419</v>
      </c>
      <c r="AB112" s="85">
        <v>43420</v>
      </c>
      <c r="AD112" s="84">
        <v>0</v>
      </c>
      <c r="AG112" s="84">
        <v>0</v>
      </c>
      <c r="AJ112" s="84">
        <v>0</v>
      </c>
      <c r="AN112" s="84" t="s">
        <v>338</v>
      </c>
      <c r="AR112" s="85">
        <v>43403</v>
      </c>
      <c r="AS112" s="84">
        <v>6001613629</v>
      </c>
      <c r="AT112" s="85">
        <v>43403</v>
      </c>
      <c r="AU112" s="84" t="s">
        <v>674</v>
      </c>
      <c r="AV112" s="85">
        <v>43420</v>
      </c>
      <c r="AW112" s="123">
        <v>43434</v>
      </c>
      <c r="AX112" s="123">
        <v>43454</v>
      </c>
      <c r="AY112" s="132">
        <f t="shared" si="4"/>
        <v>52800</v>
      </c>
      <c r="AZ112" s="132">
        <f>ROUNDDOWN(AY112+(AY112*MASTER!$A$2/100),0)</f>
        <v>57024</v>
      </c>
      <c r="BC112" s="88">
        <v>0</v>
      </c>
      <c r="BG112" s="88">
        <v>0</v>
      </c>
      <c r="BK112" s="88">
        <v>0</v>
      </c>
      <c r="BS112" s="88">
        <v>0</v>
      </c>
      <c r="BV112" s="89">
        <v>59400</v>
      </c>
      <c r="BW112" s="89">
        <v>0</v>
      </c>
      <c r="BX112" s="89">
        <v>43395</v>
      </c>
      <c r="BY112" s="89">
        <v>59400</v>
      </c>
      <c r="BZ112" s="112">
        <v>100</v>
      </c>
      <c r="CK112" s="88">
        <v>0</v>
      </c>
    </row>
    <row r="113" spans="1:89" x14ac:dyDescent="0.15">
      <c r="A113" s="84">
        <v>1</v>
      </c>
      <c r="B113" s="85">
        <v>43405</v>
      </c>
      <c r="C113" s="85">
        <v>43421</v>
      </c>
      <c r="F113" s="85" t="s">
        <v>338</v>
      </c>
      <c r="H113" s="85" t="s">
        <v>338</v>
      </c>
      <c r="J113" s="84">
        <v>2</v>
      </c>
      <c r="L113" s="84">
        <v>0</v>
      </c>
      <c r="M113" s="85">
        <v>43395</v>
      </c>
      <c r="N113" s="85" t="s">
        <v>345</v>
      </c>
      <c r="O113" s="86" t="s">
        <v>343</v>
      </c>
      <c r="P113" s="84" t="s">
        <v>488</v>
      </c>
      <c r="Q113" s="86" t="s">
        <v>344</v>
      </c>
      <c r="R113" s="86" t="s">
        <v>509</v>
      </c>
      <c r="S113" s="87" t="s">
        <v>510</v>
      </c>
      <c r="T113" s="87" t="s">
        <v>502</v>
      </c>
      <c r="U113" s="88">
        <v>55000</v>
      </c>
      <c r="V113" s="88">
        <v>59400</v>
      </c>
      <c r="W113" s="88">
        <v>55000</v>
      </c>
      <c r="X113" s="88">
        <v>59400</v>
      </c>
      <c r="Z113" s="88">
        <v>0</v>
      </c>
      <c r="AA113" s="85">
        <v>43420</v>
      </c>
      <c r="AB113" s="85">
        <v>43421</v>
      </c>
      <c r="AD113" s="84">
        <v>0</v>
      </c>
      <c r="AG113" s="84">
        <v>0</v>
      </c>
      <c r="AJ113" s="84">
        <v>0</v>
      </c>
      <c r="AN113" s="84" t="s">
        <v>338</v>
      </c>
      <c r="AR113" s="85">
        <v>43403</v>
      </c>
      <c r="AS113" s="84">
        <v>6001613629</v>
      </c>
      <c r="AT113" s="85">
        <v>43403</v>
      </c>
      <c r="AU113" s="84" t="s">
        <v>674</v>
      </c>
      <c r="AV113" s="85">
        <v>43421</v>
      </c>
      <c r="AW113" s="123">
        <v>43434</v>
      </c>
      <c r="AX113" s="123">
        <v>43454</v>
      </c>
      <c r="AY113" s="132">
        <f t="shared" si="4"/>
        <v>52800</v>
      </c>
      <c r="AZ113" s="132">
        <f>ROUNDDOWN(AY113+(AY113*MASTER!$A$2/100),0)</f>
        <v>57024</v>
      </c>
      <c r="BC113" s="88">
        <v>0</v>
      </c>
      <c r="BG113" s="88">
        <v>0</v>
      </c>
      <c r="BK113" s="88">
        <v>0</v>
      </c>
      <c r="BS113" s="88">
        <v>0</v>
      </c>
      <c r="BV113" s="89">
        <v>59400</v>
      </c>
      <c r="BW113" s="89">
        <v>0</v>
      </c>
      <c r="BX113" s="89">
        <v>43395</v>
      </c>
      <c r="BY113" s="89">
        <v>59400</v>
      </c>
      <c r="BZ113" s="112">
        <v>100</v>
      </c>
      <c r="CK113" s="88">
        <v>0</v>
      </c>
    </row>
    <row r="114" spans="1:89" x14ac:dyDescent="0.15">
      <c r="A114" s="84">
        <v>1</v>
      </c>
      <c r="B114" s="85">
        <v>43405</v>
      </c>
      <c r="C114" s="85">
        <v>43425</v>
      </c>
      <c r="F114" s="85" t="s">
        <v>338</v>
      </c>
      <c r="H114" s="85" t="s">
        <v>338</v>
      </c>
      <c r="J114" s="84">
        <v>2</v>
      </c>
      <c r="L114" s="84">
        <v>0</v>
      </c>
      <c r="M114" s="85">
        <v>43395</v>
      </c>
      <c r="N114" s="85" t="s">
        <v>345</v>
      </c>
      <c r="O114" s="86" t="s">
        <v>343</v>
      </c>
      <c r="P114" s="84" t="s">
        <v>488</v>
      </c>
      <c r="Q114" s="86" t="s">
        <v>344</v>
      </c>
      <c r="R114" s="86" t="s">
        <v>511</v>
      </c>
      <c r="S114" s="87" t="s">
        <v>512</v>
      </c>
      <c r="T114" s="87" t="s">
        <v>490</v>
      </c>
      <c r="U114" s="88">
        <v>55000</v>
      </c>
      <c r="V114" s="88">
        <v>59400</v>
      </c>
      <c r="W114" s="88">
        <v>55000</v>
      </c>
      <c r="X114" s="88">
        <v>59400</v>
      </c>
      <c r="Z114" s="88">
        <v>0</v>
      </c>
      <c r="AA114" s="85">
        <v>43424</v>
      </c>
      <c r="AB114" s="85">
        <v>43425</v>
      </c>
      <c r="AD114" s="84">
        <v>0</v>
      </c>
      <c r="AG114" s="84">
        <v>0</v>
      </c>
      <c r="AJ114" s="84">
        <v>0</v>
      </c>
      <c r="AN114" s="84" t="s">
        <v>338</v>
      </c>
      <c r="AR114" s="85">
        <v>43403</v>
      </c>
      <c r="AS114" s="84">
        <v>6001613629</v>
      </c>
      <c r="AT114" s="85">
        <v>43403</v>
      </c>
      <c r="AU114" s="84" t="s">
        <v>674</v>
      </c>
      <c r="AV114" s="85">
        <v>43425</v>
      </c>
      <c r="AW114" s="123">
        <v>43434</v>
      </c>
      <c r="AX114" s="123">
        <v>43454</v>
      </c>
      <c r="AY114" s="132">
        <f t="shared" si="4"/>
        <v>52800</v>
      </c>
      <c r="AZ114" s="132">
        <f>ROUNDDOWN(AY114+(AY114*MASTER!$A$2/100),0)</f>
        <v>57024</v>
      </c>
      <c r="BC114" s="88">
        <v>0</v>
      </c>
      <c r="BG114" s="88">
        <v>0</v>
      </c>
      <c r="BK114" s="88">
        <v>0</v>
      </c>
      <c r="BS114" s="88">
        <v>0</v>
      </c>
      <c r="BV114" s="89">
        <v>59400</v>
      </c>
      <c r="BW114" s="89">
        <v>0</v>
      </c>
      <c r="BX114" s="89">
        <v>43395</v>
      </c>
      <c r="BY114" s="89">
        <v>59400</v>
      </c>
      <c r="BZ114" s="112">
        <v>100</v>
      </c>
      <c r="CK114" s="88">
        <v>0</v>
      </c>
    </row>
    <row r="115" spans="1:89" x14ac:dyDescent="0.15">
      <c r="A115" s="84">
        <v>1</v>
      </c>
      <c r="B115" s="85">
        <v>43405</v>
      </c>
      <c r="C115" s="85">
        <v>43426</v>
      </c>
      <c r="F115" s="85" t="s">
        <v>338</v>
      </c>
      <c r="H115" s="85" t="s">
        <v>338</v>
      </c>
      <c r="J115" s="84">
        <v>2</v>
      </c>
      <c r="L115" s="84">
        <v>0</v>
      </c>
      <c r="M115" s="85">
        <v>43395</v>
      </c>
      <c r="N115" s="85" t="s">
        <v>345</v>
      </c>
      <c r="O115" s="86" t="s">
        <v>343</v>
      </c>
      <c r="P115" s="84" t="s">
        <v>488</v>
      </c>
      <c r="Q115" s="86" t="s">
        <v>344</v>
      </c>
      <c r="R115" s="86" t="s">
        <v>513</v>
      </c>
      <c r="S115" s="87" t="s">
        <v>514</v>
      </c>
      <c r="T115" s="87" t="s">
        <v>515</v>
      </c>
      <c r="U115" s="88">
        <v>55000</v>
      </c>
      <c r="V115" s="88">
        <v>59400</v>
      </c>
      <c r="W115" s="88">
        <v>55000</v>
      </c>
      <c r="X115" s="88">
        <v>59400</v>
      </c>
      <c r="Z115" s="88">
        <v>0</v>
      </c>
      <c r="AA115" s="85">
        <v>43425</v>
      </c>
      <c r="AB115" s="85">
        <v>43426</v>
      </c>
      <c r="AD115" s="84">
        <v>0</v>
      </c>
      <c r="AG115" s="84">
        <v>0</v>
      </c>
      <c r="AJ115" s="84">
        <v>0</v>
      </c>
      <c r="AN115" s="84" t="s">
        <v>338</v>
      </c>
      <c r="AR115" s="85">
        <v>43403</v>
      </c>
      <c r="AS115" s="84">
        <v>6001613629</v>
      </c>
      <c r="AT115" s="85">
        <v>43403</v>
      </c>
      <c r="AU115" s="84" t="s">
        <v>674</v>
      </c>
      <c r="AV115" s="85">
        <v>43426</v>
      </c>
      <c r="AW115" s="123">
        <v>43434</v>
      </c>
      <c r="AX115" s="123">
        <v>43454</v>
      </c>
      <c r="AY115" s="132">
        <f t="shared" si="4"/>
        <v>52800</v>
      </c>
      <c r="AZ115" s="132">
        <f>ROUNDDOWN(AY115+(AY115*MASTER!$A$2/100),0)</f>
        <v>57024</v>
      </c>
      <c r="BC115" s="88">
        <v>0</v>
      </c>
      <c r="BG115" s="88">
        <v>0</v>
      </c>
      <c r="BK115" s="88">
        <v>0</v>
      </c>
      <c r="BS115" s="88">
        <v>0</v>
      </c>
      <c r="BV115" s="89">
        <v>59400</v>
      </c>
      <c r="BW115" s="89">
        <v>0</v>
      </c>
      <c r="BX115" s="89">
        <v>43395</v>
      </c>
      <c r="BY115" s="89">
        <v>59400</v>
      </c>
      <c r="BZ115" s="112">
        <v>100</v>
      </c>
      <c r="CK115" s="88">
        <v>0</v>
      </c>
    </row>
    <row r="116" spans="1:89" x14ac:dyDescent="0.15">
      <c r="A116" s="84">
        <v>1</v>
      </c>
      <c r="B116" s="85">
        <v>43405</v>
      </c>
      <c r="C116" s="85">
        <v>43427</v>
      </c>
      <c r="F116" s="85" t="s">
        <v>338</v>
      </c>
      <c r="H116" s="85" t="s">
        <v>338</v>
      </c>
      <c r="J116" s="84">
        <v>2</v>
      </c>
      <c r="L116" s="84">
        <v>0</v>
      </c>
      <c r="M116" s="85">
        <v>43395</v>
      </c>
      <c r="N116" s="85" t="s">
        <v>345</v>
      </c>
      <c r="O116" s="86" t="s">
        <v>343</v>
      </c>
      <c r="P116" s="84" t="s">
        <v>488</v>
      </c>
      <c r="Q116" s="86" t="s">
        <v>344</v>
      </c>
      <c r="R116" s="86" t="s">
        <v>516</v>
      </c>
      <c r="S116" s="87" t="s">
        <v>517</v>
      </c>
      <c r="T116" s="87" t="s">
        <v>502</v>
      </c>
      <c r="U116" s="88">
        <v>55000</v>
      </c>
      <c r="V116" s="88">
        <v>59400</v>
      </c>
      <c r="W116" s="88">
        <v>55000</v>
      </c>
      <c r="X116" s="88">
        <v>59400</v>
      </c>
      <c r="Z116" s="88">
        <v>0</v>
      </c>
      <c r="AA116" s="85">
        <v>43426</v>
      </c>
      <c r="AB116" s="85">
        <v>43427</v>
      </c>
      <c r="AD116" s="84">
        <v>0</v>
      </c>
      <c r="AG116" s="84">
        <v>0</v>
      </c>
      <c r="AJ116" s="84">
        <v>0</v>
      </c>
      <c r="AN116" s="84" t="s">
        <v>338</v>
      </c>
      <c r="AR116" s="85">
        <v>43403</v>
      </c>
      <c r="AS116" s="84">
        <v>6001613629</v>
      </c>
      <c r="AT116" s="85">
        <v>43403</v>
      </c>
      <c r="AU116" s="84" t="s">
        <v>674</v>
      </c>
      <c r="AV116" s="85">
        <v>43427</v>
      </c>
      <c r="AW116" s="123">
        <v>43434</v>
      </c>
      <c r="AX116" s="123">
        <v>43454</v>
      </c>
      <c r="AY116" s="132">
        <f t="shared" si="4"/>
        <v>52800</v>
      </c>
      <c r="AZ116" s="132">
        <f>ROUNDDOWN(AY116+(AY116*MASTER!$A$2/100),0)</f>
        <v>57024</v>
      </c>
      <c r="BC116" s="88">
        <v>0</v>
      </c>
      <c r="BG116" s="88">
        <v>0</v>
      </c>
      <c r="BK116" s="88">
        <v>0</v>
      </c>
      <c r="BS116" s="88">
        <v>0</v>
      </c>
      <c r="BV116" s="89">
        <v>59400</v>
      </c>
      <c r="BW116" s="89">
        <v>0</v>
      </c>
      <c r="BX116" s="89">
        <v>43395</v>
      </c>
      <c r="BY116" s="89">
        <v>59400</v>
      </c>
      <c r="BZ116" s="112">
        <v>100</v>
      </c>
      <c r="CK116" s="88">
        <v>0</v>
      </c>
    </row>
    <row r="117" spans="1:89" x14ac:dyDescent="0.15">
      <c r="A117" s="84">
        <v>1</v>
      </c>
      <c r="B117" s="85">
        <v>43405</v>
      </c>
      <c r="C117" s="85">
        <v>43428</v>
      </c>
      <c r="F117" s="85" t="s">
        <v>338</v>
      </c>
      <c r="H117" s="85" t="s">
        <v>338</v>
      </c>
      <c r="J117" s="84">
        <v>2</v>
      </c>
      <c r="L117" s="84">
        <v>0</v>
      </c>
      <c r="M117" s="85">
        <v>43395</v>
      </c>
      <c r="N117" s="85" t="s">
        <v>345</v>
      </c>
      <c r="O117" s="86" t="s">
        <v>343</v>
      </c>
      <c r="P117" s="84" t="s">
        <v>488</v>
      </c>
      <c r="Q117" s="86" t="s">
        <v>344</v>
      </c>
      <c r="R117" s="86" t="s">
        <v>518</v>
      </c>
      <c r="S117" s="87" t="s">
        <v>388</v>
      </c>
      <c r="T117" s="87" t="s">
        <v>502</v>
      </c>
      <c r="U117" s="88">
        <v>55000</v>
      </c>
      <c r="V117" s="88">
        <v>59400</v>
      </c>
      <c r="W117" s="88">
        <v>55000</v>
      </c>
      <c r="X117" s="88">
        <v>59400</v>
      </c>
      <c r="Z117" s="88">
        <v>0</v>
      </c>
      <c r="AA117" s="85">
        <v>43427</v>
      </c>
      <c r="AB117" s="85">
        <v>43428</v>
      </c>
      <c r="AD117" s="84">
        <v>0</v>
      </c>
      <c r="AG117" s="84">
        <v>0</v>
      </c>
      <c r="AJ117" s="84">
        <v>0</v>
      </c>
      <c r="AN117" s="84" t="s">
        <v>338</v>
      </c>
      <c r="AR117" s="85">
        <v>43403</v>
      </c>
      <c r="AS117" s="84">
        <v>6001613629</v>
      </c>
      <c r="AT117" s="85">
        <v>43403</v>
      </c>
      <c r="AU117" s="84" t="s">
        <v>674</v>
      </c>
      <c r="AV117" s="85">
        <v>43428</v>
      </c>
      <c r="AW117" s="123">
        <v>43434</v>
      </c>
      <c r="AX117" s="123">
        <v>43454</v>
      </c>
      <c r="AY117" s="132">
        <f t="shared" si="4"/>
        <v>52800</v>
      </c>
      <c r="AZ117" s="132">
        <f>ROUNDDOWN(AY117+(AY117*MASTER!$A$2/100),0)</f>
        <v>57024</v>
      </c>
      <c r="BC117" s="88">
        <v>0</v>
      </c>
      <c r="BG117" s="88">
        <v>0</v>
      </c>
      <c r="BK117" s="88">
        <v>0</v>
      </c>
      <c r="BS117" s="88">
        <v>0</v>
      </c>
      <c r="BV117" s="89">
        <v>59400</v>
      </c>
      <c r="BW117" s="89">
        <v>0</v>
      </c>
      <c r="BX117" s="89">
        <v>43395</v>
      </c>
      <c r="BY117" s="89">
        <v>59400</v>
      </c>
      <c r="BZ117" s="112">
        <v>100</v>
      </c>
      <c r="CK117" s="88">
        <v>0</v>
      </c>
    </row>
    <row r="118" spans="1:89" x14ac:dyDescent="0.15">
      <c r="A118" s="84">
        <v>1</v>
      </c>
      <c r="B118" s="85">
        <v>43405</v>
      </c>
      <c r="C118" s="85">
        <v>43432</v>
      </c>
      <c r="F118" s="85" t="s">
        <v>338</v>
      </c>
      <c r="H118" s="85" t="s">
        <v>338</v>
      </c>
      <c r="J118" s="84">
        <v>2</v>
      </c>
      <c r="L118" s="84">
        <v>0</v>
      </c>
      <c r="M118" s="85">
        <v>43395</v>
      </c>
      <c r="N118" s="85" t="s">
        <v>345</v>
      </c>
      <c r="O118" s="86" t="s">
        <v>343</v>
      </c>
      <c r="P118" s="84" t="s">
        <v>488</v>
      </c>
      <c r="Q118" s="86" t="s">
        <v>344</v>
      </c>
      <c r="R118" s="86" t="s">
        <v>519</v>
      </c>
      <c r="S118" s="87" t="s">
        <v>520</v>
      </c>
      <c r="T118" s="87" t="s">
        <v>515</v>
      </c>
      <c r="U118" s="88">
        <v>55000</v>
      </c>
      <c r="V118" s="88">
        <v>59400</v>
      </c>
      <c r="W118" s="88">
        <v>55000</v>
      </c>
      <c r="X118" s="88">
        <v>59400</v>
      </c>
      <c r="Z118" s="88">
        <v>0</v>
      </c>
      <c r="AA118" s="85">
        <v>43430</v>
      </c>
      <c r="AB118" s="85">
        <v>43432</v>
      </c>
      <c r="AD118" s="84">
        <v>0</v>
      </c>
      <c r="AG118" s="84">
        <v>0</v>
      </c>
      <c r="AJ118" s="84">
        <v>0</v>
      </c>
      <c r="AN118" s="84" t="s">
        <v>338</v>
      </c>
      <c r="AR118" s="85">
        <v>43403</v>
      </c>
      <c r="AS118" s="84">
        <v>6001613629</v>
      </c>
      <c r="AT118" s="85">
        <v>43403</v>
      </c>
      <c r="AU118" s="84" t="s">
        <v>674</v>
      </c>
      <c r="AV118" s="85">
        <v>43432</v>
      </c>
      <c r="AW118" s="123">
        <v>43434</v>
      </c>
      <c r="AX118" s="123">
        <v>43454</v>
      </c>
      <c r="AY118" s="132">
        <f t="shared" si="4"/>
        <v>52800</v>
      </c>
      <c r="AZ118" s="132">
        <f>ROUNDDOWN(AY118+(AY118*MASTER!$A$2/100),0)</f>
        <v>57024</v>
      </c>
      <c r="BC118" s="88">
        <v>0</v>
      </c>
      <c r="BG118" s="88">
        <v>0</v>
      </c>
      <c r="BK118" s="88">
        <v>0</v>
      </c>
      <c r="BS118" s="88">
        <v>0</v>
      </c>
      <c r="BV118" s="89">
        <v>59400</v>
      </c>
      <c r="BW118" s="89">
        <v>0</v>
      </c>
      <c r="BX118" s="89">
        <v>43395</v>
      </c>
      <c r="BY118" s="89">
        <v>59400</v>
      </c>
      <c r="BZ118" s="112">
        <v>100</v>
      </c>
      <c r="CK118" s="88">
        <v>0</v>
      </c>
    </row>
    <row r="119" spans="1:89" x14ac:dyDescent="0.15">
      <c r="A119" s="84">
        <v>1</v>
      </c>
      <c r="B119" s="85">
        <v>43405</v>
      </c>
      <c r="C119" s="85">
        <v>43434</v>
      </c>
      <c r="F119" s="85" t="s">
        <v>338</v>
      </c>
      <c r="H119" s="85" t="s">
        <v>338</v>
      </c>
      <c r="J119" s="84">
        <v>2</v>
      </c>
      <c r="L119" s="84">
        <v>0</v>
      </c>
      <c r="M119" s="85">
        <v>43395</v>
      </c>
      <c r="N119" s="85" t="s">
        <v>345</v>
      </c>
      <c r="O119" s="86" t="s">
        <v>343</v>
      </c>
      <c r="P119" s="84" t="s">
        <v>488</v>
      </c>
      <c r="Q119" s="86" t="s">
        <v>344</v>
      </c>
      <c r="R119" s="86" t="s">
        <v>521</v>
      </c>
      <c r="S119" s="87" t="s">
        <v>522</v>
      </c>
      <c r="T119" s="87" t="s">
        <v>515</v>
      </c>
      <c r="U119" s="88">
        <v>55000</v>
      </c>
      <c r="V119" s="88">
        <v>59400</v>
      </c>
      <c r="W119" s="88">
        <v>55000</v>
      </c>
      <c r="X119" s="88">
        <v>59400</v>
      </c>
      <c r="Z119" s="88">
        <v>0</v>
      </c>
      <c r="AA119" s="85">
        <v>43432</v>
      </c>
      <c r="AB119" s="85">
        <v>43434</v>
      </c>
      <c r="AD119" s="84">
        <v>0</v>
      </c>
      <c r="AG119" s="84">
        <v>0</v>
      </c>
      <c r="AJ119" s="84">
        <v>0</v>
      </c>
      <c r="AN119" s="84" t="s">
        <v>338</v>
      </c>
      <c r="AR119" s="85">
        <v>43403</v>
      </c>
      <c r="AS119" s="84">
        <v>6001613629</v>
      </c>
      <c r="AT119" s="85">
        <v>43403</v>
      </c>
      <c r="AU119" s="84" t="s">
        <v>674</v>
      </c>
      <c r="AV119" s="85">
        <v>43434</v>
      </c>
      <c r="AW119" s="123">
        <v>43434</v>
      </c>
      <c r="AX119" s="123">
        <v>43454</v>
      </c>
      <c r="AY119" s="132">
        <f t="shared" si="4"/>
        <v>52800</v>
      </c>
      <c r="AZ119" s="132">
        <f>ROUNDDOWN(AY119+(AY119*MASTER!$A$2/100),0)</f>
        <v>57024</v>
      </c>
      <c r="BC119" s="88">
        <v>0</v>
      </c>
      <c r="BG119" s="88">
        <v>0</v>
      </c>
      <c r="BK119" s="88">
        <v>0</v>
      </c>
      <c r="BS119" s="88">
        <v>0</v>
      </c>
      <c r="BV119" s="89">
        <v>59400</v>
      </c>
      <c r="BW119" s="89">
        <v>0</v>
      </c>
      <c r="BX119" s="89">
        <v>43395</v>
      </c>
      <c r="BY119" s="89">
        <v>59400</v>
      </c>
      <c r="BZ119" s="112">
        <v>100</v>
      </c>
      <c r="CK119" s="88">
        <v>0</v>
      </c>
    </row>
    <row r="120" spans="1:89" x14ac:dyDescent="0.15">
      <c r="A120" s="84">
        <v>1</v>
      </c>
      <c r="B120" s="85">
        <v>43405</v>
      </c>
      <c r="C120" s="85">
        <v>43435</v>
      </c>
      <c r="F120" s="85" t="s">
        <v>338</v>
      </c>
      <c r="H120" s="85" t="s">
        <v>338</v>
      </c>
      <c r="J120" s="84">
        <v>2</v>
      </c>
      <c r="L120" s="84">
        <v>0</v>
      </c>
      <c r="M120" s="85">
        <v>43395</v>
      </c>
      <c r="N120" s="85" t="s">
        <v>345</v>
      </c>
      <c r="O120" s="86" t="s">
        <v>343</v>
      </c>
      <c r="P120" s="84" t="s">
        <v>488</v>
      </c>
      <c r="Q120" s="86" t="s">
        <v>344</v>
      </c>
      <c r="R120" s="86" t="s">
        <v>523</v>
      </c>
      <c r="S120" s="87" t="s">
        <v>524</v>
      </c>
      <c r="T120" s="87" t="s">
        <v>502</v>
      </c>
      <c r="U120" s="88">
        <v>55000</v>
      </c>
      <c r="V120" s="88">
        <v>59400</v>
      </c>
      <c r="W120" s="88">
        <v>55000</v>
      </c>
      <c r="X120" s="88">
        <v>59400</v>
      </c>
      <c r="Z120" s="88">
        <v>0</v>
      </c>
      <c r="AA120" s="85">
        <v>43434</v>
      </c>
      <c r="AB120" s="85">
        <v>43435</v>
      </c>
      <c r="AD120" s="84">
        <v>0</v>
      </c>
      <c r="AG120" s="84">
        <v>0</v>
      </c>
      <c r="AJ120" s="84">
        <v>0</v>
      </c>
      <c r="AN120" s="84" t="s">
        <v>338</v>
      </c>
      <c r="AR120" s="85">
        <v>43403</v>
      </c>
      <c r="AS120" s="84">
        <v>6001613629</v>
      </c>
      <c r="AT120" s="85">
        <v>43403</v>
      </c>
      <c r="AU120" s="84" t="s">
        <v>674</v>
      </c>
      <c r="AV120" s="85">
        <v>43435</v>
      </c>
      <c r="AW120" s="123">
        <v>43434</v>
      </c>
      <c r="AX120" s="123">
        <v>43454</v>
      </c>
      <c r="AY120" s="132">
        <f t="shared" si="4"/>
        <v>52800</v>
      </c>
      <c r="AZ120" s="132">
        <f>ROUNDDOWN(AY120+(AY120*MASTER!$A$2/100),0)</f>
        <v>57024</v>
      </c>
      <c r="BC120" s="88">
        <v>0</v>
      </c>
      <c r="BG120" s="88">
        <v>0</v>
      </c>
      <c r="BK120" s="88">
        <v>0</v>
      </c>
      <c r="BS120" s="88">
        <v>0</v>
      </c>
      <c r="BV120" s="89">
        <v>59400</v>
      </c>
      <c r="BW120" s="89">
        <v>0</v>
      </c>
      <c r="BX120" s="89">
        <v>43395</v>
      </c>
      <c r="BY120" s="89">
        <v>59400</v>
      </c>
      <c r="BZ120" s="112">
        <v>100</v>
      </c>
      <c r="CK120" s="88">
        <v>0</v>
      </c>
    </row>
    <row r="121" spans="1:89" x14ac:dyDescent="0.15">
      <c r="A121" s="84">
        <v>1</v>
      </c>
      <c r="B121" s="85">
        <v>43403</v>
      </c>
      <c r="C121" s="85">
        <v>43404</v>
      </c>
      <c r="F121" s="85" t="s">
        <v>338</v>
      </c>
      <c r="H121" s="85" t="s">
        <v>338</v>
      </c>
      <c r="J121" s="84">
        <v>2</v>
      </c>
      <c r="L121" s="84">
        <v>0</v>
      </c>
      <c r="M121" s="85">
        <v>43395</v>
      </c>
      <c r="N121" s="85" t="s">
        <v>265</v>
      </c>
      <c r="O121" s="86" t="s">
        <v>340</v>
      </c>
      <c r="P121" s="84" t="s">
        <v>272</v>
      </c>
      <c r="Q121" s="86" t="s">
        <v>107</v>
      </c>
      <c r="R121" s="86" t="s">
        <v>525</v>
      </c>
      <c r="S121" s="87" t="s">
        <v>526</v>
      </c>
      <c r="T121" s="87" t="s">
        <v>527</v>
      </c>
      <c r="U121" s="88">
        <v>3000</v>
      </c>
      <c r="V121" s="88">
        <v>3240</v>
      </c>
      <c r="W121" s="88">
        <v>3000</v>
      </c>
      <c r="X121" s="88">
        <v>3240</v>
      </c>
      <c r="Z121" s="88">
        <v>0</v>
      </c>
      <c r="AA121" s="85">
        <v>43395</v>
      </c>
      <c r="AD121" s="84">
        <v>0</v>
      </c>
      <c r="AG121" s="84">
        <v>0</v>
      </c>
      <c r="AJ121" s="84">
        <v>0</v>
      </c>
      <c r="AR121" s="85">
        <v>43402</v>
      </c>
      <c r="AS121" s="84">
        <v>6001613321</v>
      </c>
      <c r="AT121" s="85">
        <v>43402</v>
      </c>
      <c r="AU121" s="84" t="s">
        <v>650</v>
      </c>
      <c r="AV121" s="85">
        <v>43404</v>
      </c>
      <c r="AW121" s="123">
        <v>43404</v>
      </c>
      <c r="AX121" s="123">
        <v>43424</v>
      </c>
      <c r="AY121" s="132">
        <v>2880</v>
      </c>
      <c r="AZ121" s="132">
        <f>ROUNDDOWN(AY121+(AY121*MASTER!$A$2/100),0)</f>
        <v>3110</v>
      </c>
      <c r="BC121" s="88">
        <v>0</v>
      </c>
      <c r="BG121" s="88">
        <v>0</v>
      </c>
      <c r="BK121" s="88">
        <v>0</v>
      </c>
      <c r="BS121" s="88">
        <v>0</v>
      </c>
      <c r="BV121" s="89">
        <v>3240</v>
      </c>
      <c r="BW121" s="89">
        <v>0</v>
      </c>
      <c r="BX121" s="89">
        <v>43395</v>
      </c>
      <c r="BY121" s="89">
        <v>3240</v>
      </c>
      <c r="BZ121" s="112">
        <v>100</v>
      </c>
      <c r="CD121" s="87" t="s">
        <v>671</v>
      </c>
    </row>
    <row r="122" spans="1:89" x14ac:dyDescent="0.15">
      <c r="A122" s="84">
        <v>2</v>
      </c>
      <c r="C122" s="85" t="s">
        <v>338</v>
      </c>
      <c r="F122" s="85" t="s">
        <v>338</v>
      </c>
      <c r="H122" s="85" t="s">
        <v>338</v>
      </c>
      <c r="J122" s="84">
        <v>4</v>
      </c>
      <c r="L122" s="84">
        <v>0</v>
      </c>
      <c r="M122" s="85">
        <v>43396</v>
      </c>
      <c r="N122" s="85" t="s">
        <v>265</v>
      </c>
      <c r="O122" s="86" t="s">
        <v>340</v>
      </c>
      <c r="P122" s="84" t="s">
        <v>272</v>
      </c>
      <c r="Q122" s="86" t="s">
        <v>107</v>
      </c>
      <c r="R122" s="86" t="s">
        <v>528</v>
      </c>
      <c r="S122" s="87" t="s">
        <v>351</v>
      </c>
      <c r="T122" s="87" t="s">
        <v>529</v>
      </c>
      <c r="U122" s="88">
        <v>0</v>
      </c>
      <c r="V122" s="88">
        <v>0</v>
      </c>
      <c r="X122" s="88">
        <v>0</v>
      </c>
      <c r="Z122" s="88">
        <v>0</v>
      </c>
      <c r="AA122" s="85">
        <v>43364</v>
      </c>
      <c r="AB122" s="85">
        <v>43393</v>
      </c>
      <c r="AD122" s="84">
        <v>0</v>
      </c>
      <c r="AG122" s="84">
        <v>0</v>
      </c>
      <c r="AJ122" s="84">
        <v>0</v>
      </c>
      <c r="AN122" s="84" t="s">
        <v>338</v>
      </c>
      <c r="AY122" s="132">
        <f>ROUNDDOWN((0.96*U122),0)</f>
        <v>0</v>
      </c>
      <c r="AZ122" s="132">
        <f>ROUNDDOWN(AY122+(AY122*MASTER!$A$2/100),0)</f>
        <v>0</v>
      </c>
      <c r="BA122" s="84" t="s">
        <v>14</v>
      </c>
      <c r="BB122" s="88">
        <v>306000</v>
      </c>
      <c r="BC122" s="88">
        <v>330480</v>
      </c>
      <c r="BD122" s="84" t="s">
        <v>188</v>
      </c>
      <c r="BG122" s="88">
        <v>0</v>
      </c>
      <c r="BK122" s="88">
        <v>0</v>
      </c>
      <c r="BS122" s="88">
        <v>0</v>
      </c>
      <c r="BV122" s="89">
        <v>0</v>
      </c>
      <c r="BW122" s="89">
        <v>330480</v>
      </c>
      <c r="BX122" s="89">
        <v>43396</v>
      </c>
      <c r="BY122" s="89">
        <v>-330480</v>
      </c>
      <c r="BZ122" s="112" t="s">
        <v>338</v>
      </c>
    </row>
    <row r="123" spans="1:89" x14ac:dyDescent="0.15">
      <c r="A123" s="84">
        <v>2</v>
      </c>
      <c r="B123" s="85">
        <v>43399</v>
      </c>
      <c r="C123" s="85">
        <v>43404</v>
      </c>
      <c r="F123" s="85" t="s">
        <v>338</v>
      </c>
      <c r="G123" s="85">
        <v>43399</v>
      </c>
      <c r="H123" s="85" t="s">
        <v>338</v>
      </c>
      <c r="I123" s="84" t="s">
        <v>380</v>
      </c>
      <c r="J123" s="84">
        <v>2</v>
      </c>
      <c r="L123" s="84">
        <v>0</v>
      </c>
      <c r="M123" s="85">
        <v>43396</v>
      </c>
      <c r="N123" s="85" t="s">
        <v>265</v>
      </c>
      <c r="O123" s="86" t="s">
        <v>340</v>
      </c>
      <c r="P123" s="84" t="s">
        <v>6</v>
      </c>
      <c r="Q123" s="86" t="s">
        <v>107</v>
      </c>
      <c r="R123" s="86" t="s">
        <v>645</v>
      </c>
      <c r="S123" s="87" t="s">
        <v>646</v>
      </c>
      <c r="T123" s="87" t="s">
        <v>342</v>
      </c>
      <c r="U123" s="88">
        <v>35000</v>
      </c>
      <c r="V123" s="88">
        <v>37800</v>
      </c>
      <c r="W123" s="88">
        <v>35000</v>
      </c>
      <c r="X123" s="88">
        <v>37800</v>
      </c>
      <c r="Z123" s="88">
        <v>0</v>
      </c>
      <c r="AA123" s="85">
        <v>43398</v>
      </c>
      <c r="AD123" s="84">
        <v>0</v>
      </c>
      <c r="AG123" s="84">
        <v>0</v>
      </c>
      <c r="AJ123" s="84">
        <v>0</v>
      </c>
      <c r="AN123" s="84" t="s">
        <v>338</v>
      </c>
      <c r="AR123" s="85">
        <v>43398</v>
      </c>
      <c r="AS123" s="84">
        <v>6001612213</v>
      </c>
      <c r="AT123" s="85">
        <v>43398</v>
      </c>
      <c r="AU123" s="84" t="s">
        <v>596</v>
      </c>
      <c r="AV123" s="85">
        <v>43404</v>
      </c>
      <c r="AW123" s="123">
        <v>43404</v>
      </c>
      <c r="AX123" s="123">
        <v>43424</v>
      </c>
      <c r="AY123" s="132">
        <v>33600</v>
      </c>
      <c r="AZ123" s="132">
        <f>ROUNDDOWN(AY123+(AY123*MASTER!$A$2/100),0)</f>
        <v>36288</v>
      </c>
      <c r="BA123" s="84" t="s">
        <v>543</v>
      </c>
      <c r="BB123" s="88">
        <v>30000</v>
      </c>
      <c r="BC123" s="88">
        <v>32400</v>
      </c>
      <c r="BD123" s="84" t="s">
        <v>189</v>
      </c>
      <c r="BG123" s="88">
        <v>0</v>
      </c>
      <c r="BK123" s="88">
        <v>0</v>
      </c>
      <c r="BS123" s="88">
        <v>0</v>
      </c>
      <c r="BV123" s="89">
        <v>37800</v>
      </c>
      <c r="BW123" s="89">
        <v>32400</v>
      </c>
      <c r="BX123" s="89">
        <v>43396</v>
      </c>
      <c r="BY123" s="89">
        <v>5400</v>
      </c>
      <c r="BZ123" s="112">
        <v>14.285714285714285</v>
      </c>
      <c r="CK123" s="88">
        <v>0</v>
      </c>
    </row>
    <row r="124" spans="1:89" x14ac:dyDescent="0.15">
      <c r="A124" s="84">
        <v>1</v>
      </c>
      <c r="B124" s="85">
        <v>43412</v>
      </c>
      <c r="C124" s="85">
        <v>43411</v>
      </c>
      <c r="F124" s="85" t="s">
        <v>338</v>
      </c>
      <c r="G124" s="85">
        <v>43412</v>
      </c>
      <c r="H124" s="85" t="s">
        <v>338</v>
      </c>
      <c r="J124" s="84">
        <v>1</v>
      </c>
      <c r="L124" s="84">
        <v>0</v>
      </c>
      <c r="M124" s="85">
        <v>43396</v>
      </c>
      <c r="N124" s="85" t="s">
        <v>265</v>
      </c>
      <c r="O124" s="86" t="s">
        <v>340</v>
      </c>
      <c r="P124" s="84" t="s">
        <v>26</v>
      </c>
      <c r="Q124" s="86" t="s">
        <v>107</v>
      </c>
      <c r="R124" s="86" t="s">
        <v>799</v>
      </c>
      <c r="S124" s="87" t="s">
        <v>800</v>
      </c>
      <c r="T124" s="87" t="s">
        <v>801</v>
      </c>
      <c r="U124" s="88">
        <v>27500</v>
      </c>
      <c r="V124" s="88">
        <v>29700</v>
      </c>
      <c r="W124" s="88">
        <v>13500</v>
      </c>
      <c r="X124" s="88">
        <v>14580</v>
      </c>
      <c r="Y124" s="88">
        <v>14000</v>
      </c>
      <c r="Z124" s="88">
        <v>15120</v>
      </c>
      <c r="AD124" s="84">
        <v>0</v>
      </c>
      <c r="AG124" s="84">
        <v>0</v>
      </c>
      <c r="AJ124" s="84">
        <v>0</v>
      </c>
      <c r="AN124" s="84" t="s">
        <v>338</v>
      </c>
      <c r="AR124" s="85">
        <v>43409</v>
      </c>
      <c r="AS124" s="84">
        <v>6001615454</v>
      </c>
      <c r="AT124" s="85">
        <v>43411</v>
      </c>
      <c r="AU124" s="84" t="s">
        <v>786</v>
      </c>
      <c r="AV124" s="85">
        <v>43411</v>
      </c>
      <c r="AW124" s="123">
        <v>43434</v>
      </c>
      <c r="AX124" s="123">
        <v>43454</v>
      </c>
      <c r="AY124" s="132">
        <v>26400</v>
      </c>
      <c r="AZ124" s="132">
        <f>ROUNDDOWN(AY124+(AY124*MASTER!$A$2/100),0)</f>
        <v>28512</v>
      </c>
      <c r="BC124" s="88">
        <v>0</v>
      </c>
      <c r="BG124" s="88">
        <v>0</v>
      </c>
      <c r="BK124" s="88">
        <v>0</v>
      </c>
      <c r="BS124" s="88">
        <v>0</v>
      </c>
      <c r="BV124" s="89">
        <v>14580</v>
      </c>
      <c r="BW124" s="89">
        <v>0</v>
      </c>
      <c r="BX124" s="89">
        <v>43396</v>
      </c>
      <c r="BY124" s="89">
        <v>14580</v>
      </c>
      <c r="BZ124" s="112">
        <v>100</v>
      </c>
      <c r="CK124" s="88">
        <v>0</v>
      </c>
    </row>
    <row r="125" spans="1:89" x14ac:dyDescent="0.15">
      <c r="A125" s="84">
        <v>1</v>
      </c>
      <c r="B125" s="85">
        <v>43404</v>
      </c>
      <c r="C125" s="85">
        <v>43409</v>
      </c>
      <c r="F125" s="85" t="s">
        <v>338</v>
      </c>
      <c r="H125" s="85" t="s">
        <v>338</v>
      </c>
      <c r="J125" s="84">
        <v>2</v>
      </c>
      <c r="L125" s="84">
        <v>0</v>
      </c>
      <c r="M125" s="85">
        <v>43396</v>
      </c>
      <c r="N125" s="85" t="s">
        <v>265</v>
      </c>
      <c r="O125" s="86" t="s">
        <v>340</v>
      </c>
      <c r="P125" s="84" t="s">
        <v>26</v>
      </c>
      <c r="Q125" s="86" t="s">
        <v>107</v>
      </c>
      <c r="R125" s="86" t="s">
        <v>678</v>
      </c>
      <c r="S125" s="87" t="s">
        <v>351</v>
      </c>
      <c r="T125" s="87" t="s">
        <v>679</v>
      </c>
      <c r="U125" s="88">
        <v>10000</v>
      </c>
      <c r="V125" s="88">
        <v>10800</v>
      </c>
      <c r="W125" s="88">
        <v>10000</v>
      </c>
      <c r="X125" s="88">
        <v>10800</v>
      </c>
      <c r="Z125" s="88">
        <v>0</v>
      </c>
      <c r="AA125" s="85">
        <v>43388</v>
      </c>
      <c r="AB125" s="85">
        <v>43388</v>
      </c>
      <c r="AD125" s="84">
        <v>0</v>
      </c>
      <c r="AG125" s="84">
        <v>0</v>
      </c>
      <c r="AJ125" s="84">
        <v>0</v>
      </c>
      <c r="AN125" s="84" t="s">
        <v>338</v>
      </c>
      <c r="AR125" s="85">
        <v>43403</v>
      </c>
      <c r="AS125" s="84">
        <v>6001613628</v>
      </c>
      <c r="AT125" s="85">
        <v>43403</v>
      </c>
      <c r="AU125" s="84" t="s">
        <v>672</v>
      </c>
      <c r="AV125" s="85">
        <v>43409</v>
      </c>
      <c r="AW125" s="123">
        <v>43434</v>
      </c>
      <c r="AX125" s="123">
        <v>43454</v>
      </c>
      <c r="AY125" s="140">
        <v>10000</v>
      </c>
      <c r="AZ125" s="132">
        <f>ROUNDDOWN(AY125+(AY125*MASTER!$A$2/100),0)</f>
        <v>10800</v>
      </c>
      <c r="BC125" s="88">
        <v>0</v>
      </c>
      <c r="BG125" s="88">
        <v>0</v>
      </c>
      <c r="BK125" s="88">
        <v>0</v>
      </c>
      <c r="BS125" s="88">
        <v>0</v>
      </c>
      <c r="BV125" s="89">
        <v>10800</v>
      </c>
      <c r="BW125" s="89">
        <v>0</v>
      </c>
      <c r="BX125" s="89">
        <v>43396</v>
      </c>
      <c r="BY125" s="89">
        <v>10800</v>
      </c>
      <c r="BZ125" s="112">
        <v>100</v>
      </c>
      <c r="CK125" s="88">
        <v>0</v>
      </c>
    </row>
    <row r="126" spans="1:89" x14ac:dyDescent="0.15">
      <c r="A126" s="84">
        <v>1</v>
      </c>
      <c r="B126" s="85">
        <v>43404</v>
      </c>
      <c r="C126" s="85">
        <v>43409</v>
      </c>
      <c r="F126" s="85" t="s">
        <v>338</v>
      </c>
      <c r="H126" s="85" t="s">
        <v>338</v>
      </c>
      <c r="J126" s="84">
        <v>2</v>
      </c>
      <c r="L126" s="84">
        <v>0</v>
      </c>
      <c r="M126" s="85">
        <v>43396</v>
      </c>
      <c r="N126" s="85" t="s">
        <v>265</v>
      </c>
      <c r="O126" s="86" t="s">
        <v>340</v>
      </c>
      <c r="P126" s="84" t="s">
        <v>26</v>
      </c>
      <c r="Q126" s="86" t="s">
        <v>107</v>
      </c>
      <c r="R126" s="86" t="s">
        <v>680</v>
      </c>
      <c r="S126" s="87" t="s">
        <v>351</v>
      </c>
      <c r="T126" s="87" t="s">
        <v>681</v>
      </c>
      <c r="U126" s="88">
        <v>10000</v>
      </c>
      <c r="V126" s="88">
        <v>10800</v>
      </c>
      <c r="W126" s="88">
        <v>10000</v>
      </c>
      <c r="X126" s="88">
        <v>10800</v>
      </c>
      <c r="Z126" s="88">
        <v>0</v>
      </c>
      <c r="AA126" s="85">
        <v>43388</v>
      </c>
      <c r="AB126" s="85">
        <v>43388</v>
      </c>
      <c r="AD126" s="84">
        <v>0</v>
      </c>
      <c r="AG126" s="84">
        <v>0</v>
      </c>
      <c r="AJ126" s="84">
        <v>0</v>
      </c>
      <c r="AN126" s="84" t="s">
        <v>338</v>
      </c>
      <c r="AR126" s="85">
        <v>43403</v>
      </c>
      <c r="AS126" s="84">
        <v>6001613628</v>
      </c>
      <c r="AT126" s="85">
        <v>43403</v>
      </c>
      <c r="AU126" s="84" t="s">
        <v>672</v>
      </c>
      <c r="AV126" s="85">
        <v>43409</v>
      </c>
      <c r="AW126" s="123">
        <v>43434</v>
      </c>
      <c r="AX126" s="123">
        <v>43454</v>
      </c>
      <c r="AY126" s="140">
        <v>10000</v>
      </c>
      <c r="AZ126" s="132">
        <f>ROUNDDOWN(AY126+(AY126*MASTER!$A$2/100),0)</f>
        <v>10800</v>
      </c>
      <c r="BC126" s="88">
        <v>0</v>
      </c>
      <c r="BG126" s="88">
        <v>0</v>
      </c>
      <c r="BK126" s="88">
        <v>0</v>
      </c>
      <c r="BS126" s="88">
        <v>0</v>
      </c>
      <c r="BV126" s="89">
        <v>10800</v>
      </c>
      <c r="BW126" s="89">
        <v>0</v>
      </c>
      <c r="BX126" s="89">
        <v>43396</v>
      </c>
      <c r="BY126" s="89">
        <v>10800</v>
      </c>
      <c r="BZ126" s="112">
        <v>100</v>
      </c>
      <c r="CK126" s="88">
        <v>0</v>
      </c>
    </row>
    <row r="127" spans="1:89" x14ac:dyDescent="0.15">
      <c r="A127" s="84">
        <v>1</v>
      </c>
      <c r="B127" s="85">
        <v>43404</v>
      </c>
      <c r="C127" s="85">
        <v>43409</v>
      </c>
      <c r="F127" s="85" t="s">
        <v>338</v>
      </c>
      <c r="H127" s="85" t="s">
        <v>338</v>
      </c>
      <c r="J127" s="84">
        <v>2</v>
      </c>
      <c r="L127" s="84">
        <v>0</v>
      </c>
      <c r="M127" s="85">
        <v>43396</v>
      </c>
      <c r="N127" s="85" t="s">
        <v>265</v>
      </c>
      <c r="O127" s="86" t="s">
        <v>340</v>
      </c>
      <c r="P127" s="84" t="s">
        <v>26</v>
      </c>
      <c r="Q127" s="86" t="s">
        <v>107</v>
      </c>
      <c r="R127" s="86" t="s">
        <v>682</v>
      </c>
      <c r="S127" s="87" t="s">
        <v>351</v>
      </c>
      <c r="T127" s="87" t="s">
        <v>683</v>
      </c>
      <c r="U127" s="88">
        <v>2500</v>
      </c>
      <c r="V127" s="88">
        <v>2700</v>
      </c>
      <c r="W127" s="88">
        <v>2500</v>
      </c>
      <c r="X127" s="88">
        <v>2700</v>
      </c>
      <c r="Z127" s="88">
        <v>0</v>
      </c>
      <c r="AA127" s="85">
        <v>43388</v>
      </c>
      <c r="AB127" s="85">
        <v>43388</v>
      </c>
      <c r="AD127" s="84">
        <v>0</v>
      </c>
      <c r="AG127" s="84">
        <v>0</v>
      </c>
      <c r="AJ127" s="84">
        <v>0</v>
      </c>
      <c r="AN127" s="84" t="s">
        <v>338</v>
      </c>
      <c r="AR127" s="85">
        <v>43403</v>
      </c>
      <c r="AS127" s="84">
        <v>6001613628</v>
      </c>
      <c r="AT127" s="85">
        <v>43403</v>
      </c>
      <c r="AU127" s="84" t="s">
        <v>672</v>
      </c>
      <c r="AV127" s="85">
        <v>43409</v>
      </c>
      <c r="AW127" s="123">
        <v>43434</v>
      </c>
      <c r="AX127" s="123">
        <v>43454</v>
      </c>
      <c r="AY127" s="140">
        <v>2500</v>
      </c>
      <c r="AZ127" s="132">
        <f>ROUNDDOWN(AY127+(AY127*MASTER!$A$2/100),0)</f>
        <v>2700</v>
      </c>
      <c r="BC127" s="88">
        <v>0</v>
      </c>
      <c r="BG127" s="88">
        <v>0</v>
      </c>
      <c r="BK127" s="88">
        <v>0</v>
      </c>
      <c r="BS127" s="88">
        <v>0</v>
      </c>
      <c r="BV127" s="89">
        <v>2700</v>
      </c>
      <c r="BW127" s="89">
        <v>0</v>
      </c>
      <c r="BX127" s="89">
        <v>43396</v>
      </c>
      <c r="BY127" s="89">
        <v>2700</v>
      </c>
      <c r="BZ127" s="112">
        <v>100</v>
      </c>
      <c r="CK127" s="88">
        <v>0</v>
      </c>
    </row>
    <row r="128" spans="1:89" s="151" customFormat="1" x14ac:dyDescent="0.15">
      <c r="A128" s="141">
        <v>3</v>
      </c>
      <c r="B128" s="142"/>
      <c r="C128" s="142" t="s">
        <v>338</v>
      </c>
      <c r="D128" s="142"/>
      <c r="E128" s="142"/>
      <c r="F128" s="142" t="s">
        <v>338</v>
      </c>
      <c r="G128" s="142"/>
      <c r="H128" s="142" t="s">
        <v>338</v>
      </c>
      <c r="I128" s="141"/>
      <c r="J128" s="141">
        <v>2</v>
      </c>
      <c r="K128" s="142"/>
      <c r="L128" s="141">
        <v>0</v>
      </c>
      <c r="M128" s="142">
        <v>43396</v>
      </c>
      <c r="N128" s="142" t="s">
        <v>265</v>
      </c>
      <c r="O128" s="143" t="s">
        <v>340</v>
      </c>
      <c r="P128" s="141" t="s">
        <v>26</v>
      </c>
      <c r="Q128" s="143" t="s">
        <v>107</v>
      </c>
      <c r="R128" s="143" t="s">
        <v>1315</v>
      </c>
      <c r="S128" s="144" t="s">
        <v>351</v>
      </c>
      <c r="T128" s="144" t="s">
        <v>548</v>
      </c>
      <c r="U128" s="145">
        <v>52500</v>
      </c>
      <c r="V128" s="145">
        <v>56700</v>
      </c>
      <c r="W128" s="145">
        <v>52500</v>
      </c>
      <c r="X128" s="145">
        <v>56700</v>
      </c>
      <c r="Y128" s="145"/>
      <c r="Z128" s="145">
        <v>0</v>
      </c>
      <c r="AA128" s="142">
        <v>43389</v>
      </c>
      <c r="AB128" s="142">
        <v>43391</v>
      </c>
      <c r="AC128" s="142"/>
      <c r="AD128" s="141">
        <v>0</v>
      </c>
      <c r="AE128" s="141"/>
      <c r="AF128" s="141"/>
      <c r="AG128" s="141">
        <v>0</v>
      </c>
      <c r="AH128" s="141"/>
      <c r="AI128" s="141"/>
      <c r="AJ128" s="141">
        <v>0</v>
      </c>
      <c r="AK128" s="141"/>
      <c r="AL128" s="141"/>
      <c r="AM128" s="141"/>
      <c r="AN128" s="141" t="s">
        <v>338</v>
      </c>
      <c r="AO128" s="142"/>
      <c r="AP128" s="141"/>
      <c r="AQ128" s="141"/>
      <c r="AR128" s="142"/>
      <c r="AS128" s="141"/>
      <c r="AT128" s="142"/>
      <c r="AU128" s="141"/>
      <c r="AV128" s="142"/>
      <c r="AW128" s="146"/>
      <c r="AX128" s="146"/>
      <c r="AY128" s="154">
        <v>52500</v>
      </c>
      <c r="AZ128" s="132">
        <f>ROUNDDOWN(AY128+(AY128*MASTER!$A$2/100),0)</f>
        <v>56700</v>
      </c>
      <c r="BA128" s="141"/>
      <c r="BB128" s="145"/>
      <c r="BC128" s="145">
        <v>0</v>
      </c>
      <c r="BD128" s="141"/>
      <c r="BE128" s="141"/>
      <c r="BF128" s="145"/>
      <c r="BG128" s="145">
        <v>0</v>
      </c>
      <c r="BH128" s="141"/>
      <c r="BI128" s="141"/>
      <c r="BJ128" s="145"/>
      <c r="BK128" s="145">
        <v>0</v>
      </c>
      <c r="BL128" s="141"/>
      <c r="BM128" s="145"/>
      <c r="BN128" s="145"/>
      <c r="BO128" s="145"/>
      <c r="BP128" s="145"/>
      <c r="BQ128" s="145"/>
      <c r="BR128" s="145"/>
      <c r="BS128" s="145">
        <v>0</v>
      </c>
      <c r="BT128" s="148"/>
      <c r="BU128" s="148"/>
      <c r="BV128" s="149">
        <v>56700</v>
      </c>
      <c r="BW128" s="149">
        <v>0</v>
      </c>
      <c r="BX128" s="149">
        <v>43396</v>
      </c>
      <c r="BY128" s="149">
        <v>56700</v>
      </c>
      <c r="BZ128" s="150">
        <v>100</v>
      </c>
      <c r="CA128" s="141"/>
      <c r="CB128" s="141"/>
      <c r="CC128" s="141"/>
      <c r="CD128" s="144" t="s">
        <v>1316</v>
      </c>
      <c r="CE128" s="142"/>
      <c r="CF128" s="142"/>
      <c r="CG128" s="142"/>
      <c r="CH128" s="142"/>
      <c r="CI128" s="142"/>
      <c r="CJ128" s="142"/>
      <c r="CK128" s="145">
        <v>0</v>
      </c>
    </row>
    <row r="129" spans="1:89" s="151" customFormat="1" x14ac:dyDescent="0.15">
      <c r="A129" s="141">
        <v>3</v>
      </c>
      <c r="B129" s="142"/>
      <c r="C129" s="142" t="s">
        <v>338</v>
      </c>
      <c r="D129" s="142"/>
      <c r="E129" s="142"/>
      <c r="F129" s="142" t="s">
        <v>338</v>
      </c>
      <c r="G129" s="142"/>
      <c r="H129" s="142" t="s">
        <v>338</v>
      </c>
      <c r="I129" s="141"/>
      <c r="J129" s="141">
        <v>2</v>
      </c>
      <c r="K129" s="142"/>
      <c r="L129" s="141">
        <v>0</v>
      </c>
      <c r="M129" s="142">
        <v>43396</v>
      </c>
      <c r="N129" s="142" t="s">
        <v>265</v>
      </c>
      <c r="O129" s="143" t="s">
        <v>340</v>
      </c>
      <c r="P129" s="141" t="s">
        <v>26</v>
      </c>
      <c r="Q129" s="143" t="s">
        <v>107</v>
      </c>
      <c r="R129" s="143" t="s">
        <v>1317</v>
      </c>
      <c r="S129" s="144" t="s">
        <v>351</v>
      </c>
      <c r="T129" s="144" t="s">
        <v>663</v>
      </c>
      <c r="U129" s="145">
        <v>5000</v>
      </c>
      <c r="V129" s="145">
        <v>5400</v>
      </c>
      <c r="W129" s="145">
        <v>5000</v>
      </c>
      <c r="X129" s="145">
        <v>5400</v>
      </c>
      <c r="Y129" s="145"/>
      <c r="Z129" s="145">
        <v>0</v>
      </c>
      <c r="AA129" s="142">
        <v>43389</v>
      </c>
      <c r="AB129" s="142">
        <v>43391</v>
      </c>
      <c r="AC129" s="142"/>
      <c r="AD129" s="141">
        <v>0</v>
      </c>
      <c r="AE129" s="141"/>
      <c r="AF129" s="141"/>
      <c r="AG129" s="141">
        <v>0</v>
      </c>
      <c r="AH129" s="141"/>
      <c r="AI129" s="141"/>
      <c r="AJ129" s="141">
        <v>0</v>
      </c>
      <c r="AK129" s="141"/>
      <c r="AL129" s="141"/>
      <c r="AM129" s="141"/>
      <c r="AN129" s="141" t="s">
        <v>338</v>
      </c>
      <c r="AO129" s="142"/>
      <c r="AP129" s="141"/>
      <c r="AQ129" s="141"/>
      <c r="AR129" s="142"/>
      <c r="AS129" s="141"/>
      <c r="AT129" s="142"/>
      <c r="AU129" s="141"/>
      <c r="AV129" s="142"/>
      <c r="AW129" s="146"/>
      <c r="AX129" s="146"/>
      <c r="AY129" s="154">
        <v>5000</v>
      </c>
      <c r="AZ129" s="132">
        <f>ROUNDDOWN(AY129+(AY129*MASTER!$A$2/100),0)</f>
        <v>5400</v>
      </c>
      <c r="BA129" s="141"/>
      <c r="BB129" s="145"/>
      <c r="BC129" s="145">
        <v>0</v>
      </c>
      <c r="BD129" s="141"/>
      <c r="BE129" s="141"/>
      <c r="BF129" s="145"/>
      <c r="BG129" s="145">
        <v>0</v>
      </c>
      <c r="BH129" s="141"/>
      <c r="BI129" s="141"/>
      <c r="BJ129" s="145"/>
      <c r="BK129" s="145">
        <v>0</v>
      </c>
      <c r="BL129" s="141"/>
      <c r="BM129" s="145"/>
      <c r="BN129" s="145"/>
      <c r="BO129" s="145"/>
      <c r="BP129" s="145"/>
      <c r="BQ129" s="145"/>
      <c r="BR129" s="145"/>
      <c r="BS129" s="145">
        <v>0</v>
      </c>
      <c r="BT129" s="148"/>
      <c r="BU129" s="148"/>
      <c r="BV129" s="149">
        <v>5400</v>
      </c>
      <c r="BW129" s="149">
        <v>0</v>
      </c>
      <c r="BX129" s="149">
        <v>43396</v>
      </c>
      <c r="BY129" s="149">
        <v>5400</v>
      </c>
      <c r="BZ129" s="150">
        <v>100</v>
      </c>
      <c r="CA129" s="141"/>
      <c r="CB129" s="141"/>
      <c r="CC129" s="141"/>
      <c r="CD129" s="144" t="s">
        <v>1318</v>
      </c>
      <c r="CE129" s="142"/>
      <c r="CF129" s="142"/>
      <c r="CG129" s="142"/>
      <c r="CH129" s="142"/>
      <c r="CI129" s="142"/>
      <c r="CJ129" s="142"/>
      <c r="CK129" s="145">
        <v>0</v>
      </c>
    </row>
    <row r="130" spans="1:89" x14ac:dyDescent="0.15">
      <c r="A130" s="84">
        <v>2</v>
      </c>
      <c r="B130" s="85">
        <v>43405</v>
      </c>
      <c r="C130" s="85">
        <v>43405</v>
      </c>
      <c r="F130" s="85" t="s">
        <v>338</v>
      </c>
      <c r="G130" s="85">
        <v>43406</v>
      </c>
      <c r="H130" s="85" t="s">
        <v>338</v>
      </c>
      <c r="J130" s="84">
        <v>2</v>
      </c>
      <c r="L130" s="84">
        <v>0</v>
      </c>
      <c r="M130" s="85">
        <v>43396</v>
      </c>
      <c r="N130" s="85" t="s">
        <v>265</v>
      </c>
      <c r="O130" s="86" t="s">
        <v>340</v>
      </c>
      <c r="P130" s="84" t="s">
        <v>6</v>
      </c>
      <c r="Q130" s="86" t="s">
        <v>107</v>
      </c>
      <c r="R130" s="86" t="s">
        <v>549</v>
      </c>
      <c r="S130" s="87" t="s">
        <v>550</v>
      </c>
      <c r="T130" s="87" t="s">
        <v>342</v>
      </c>
      <c r="U130" s="88">
        <v>35000</v>
      </c>
      <c r="V130" s="88">
        <v>37800</v>
      </c>
      <c r="W130" s="88">
        <v>35000</v>
      </c>
      <c r="X130" s="88">
        <v>37800</v>
      </c>
      <c r="Z130" s="88">
        <v>0</v>
      </c>
      <c r="AA130" s="85">
        <v>43403</v>
      </c>
      <c r="AB130" s="85">
        <v>43404</v>
      </c>
      <c r="AD130" s="84">
        <v>0</v>
      </c>
      <c r="AG130" s="84">
        <v>0</v>
      </c>
      <c r="AJ130" s="84">
        <v>0</v>
      </c>
      <c r="AN130" s="84" t="s">
        <v>338</v>
      </c>
      <c r="AR130" s="85">
        <v>43403</v>
      </c>
      <c r="AS130" s="84">
        <v>6001613632</v>
      </c>
      <c r="AT130" s="85">
        <v>43403</v>
      </c>
      <c r="AU130" s="84" t="s">
        <v>673</v>
      </c>
      <c r="AV130" s="85">
        <v>43405</v>
      </c>
      <c r="AW130" s="123">
        <v>43434</v>
      </c>
      <c r="AX130" s="123">
        <v>43454</v>
      </c>
      <c r="AY130" s="132">
        <v>33600</v>
      </c>
      <c r="AZ130" s="132">
        <f>ROUNDDOWN(AY130+(AY130*MASTER!$A$2/100),0)</f>
        <v>36288</v>
      </c>
      <c r="BC130" s="88">
        <v>0</v>
      </c>
      <c r="BG130" s="88">
        <v>0</v>
      </c>
      <c r="BK130" s="88">
        <v>0</v>
      </c>
      <c r="BS130" s="88">
        <v>0</v>
      </c>
      <c r="BV130" s="89">
        <v>37800</v>
      </c>
      <c r="BW130" s="89">
        <v>0</v>
      </c>
      <c r="BX130" s="89">
        <v>43396</v>
      </c>
      <c r="BY130" s="89">
        <v>37800</v>
      </c>
      <c r="BZ130" s="112">
        <v>100</v>
      </c>
    </row>
    <row r="131" spans="1:89" x14ac:dyDescent="0.15">
      <c r="A131" s="84">
        <v>1</v>
      </c>
      <c r="C131" s="85" t="s">
        <v>338</v>
      </c>
      <c r="F131" s="85" t="s">
        <v>338</v>
      </c>
      <c r="H131" s="85" t="s">
        <v>338</v>
      </c>
      <c r="J131" s="84">
        <v>4</v>
      </c>
      <c r="L131" s="84">
        <v>0</v>
      </c>
      <c r="M131" s="85">
        <v>43396</v>
      </c>
      <c r="N131" s="85" t="s">
        <v>265</v>
      </c>
      <c r="O131" s="86" t="s">
        <v>340</v>
      </c>
      <c r="P131" s="84" t="s">
        <v>6</v>
      </c>
      <c r="Q131" s="86" t="s">
        <v>107</v>
      </c>
      <c r="R131" s="86" t="s">
        <v>538</v>
      </c>
      <c r="S131" s="87" t="s">
        <v>546</v>
      </c>
      <c r="T131" s="87" t="s">
        <v>539</v>
      </c>
      <c r="U131" s="88">
        <v>0</v>
      </c>
      <c r="V131" s="88">
        <v>0</v>
      </c>
      <c r="W131" s="88">
        <v>0</v>
      </c>
      <c r="X131" s="88">
        <v>0</v>
      </c>
      <c r="Y131" s="88">
        <v>0</v>
      </c>
      <c r="Z131" s="88">
        <v>0</v>
      </c>
      <c r="AA131" s="85">
        <v>43385</v>
      </c>
      <c r="AB131" s="85">
        <v>43385</v>
      </c>
      <c r="AD131" s="84">
        <v>0</v>
      </c>
      <c r="AG131" s="84">
        <v>0</v>
      </c>
      <c r="AJ131" s="84">
        <v>0</v>
      </c>
      <c r="AN131" s="84" t="s">
        <v>338</v>
      </c>
      <c r="AY131" s="132">
        <f>ROUNDDOWN((0.96*U131),0)</f>
        <v>0</v>
      </c>
      <c r="AZ131" s="132">
        <f>ROUNDDOWN(AY131+(AY131*MASTER!$A$2/100),0)</f>
        <v>0</v>
      </c>
      <c r="BA131" s="84" t="s">
        <v>543</v>
      </c>
      <c r="BB131" s="88">
        <v>23000</v>
      </c>
      <c r="BC131" s="88">
        <v>24840</v>
      </c>
      <c r="BD131" s="84" t="s">
        <v>188</v>
      </c>
      <c r="BG131" s="88">
        <v>0</v>
      </c>
      <c r="BK131" s="88">
        <v>0</v>
      </c>
      <c r="BS131" s="88">
        <v>0</v>
      </c>
      <c r="BV131" s="89">
        <v>0</v>
      </c>
      <c r="BW131" s="89">
        <v>24840</v>
      </c>
      <c r="BX131" s="89">
        <v>43396</v>
      </c>
      <c r="BY131" s="89">
        <v>-24840</v>
      </c>
      <c r="BZ131" s="112" t="s">
        <v>338</v>
      </c>
    </row>
    <row r="132" spans="1:89" x14ac:dyDescent="0.15">
      <c r="A132" s="84">
        <v>2</v>
      </c>
      <c r="C132" s="85" t="s">
        <v>338</v>
      </c>
      <c r="F132" s="85" t="s">
        <v>338</v>
      </c>
      <c r="H132" s="85" t="s">
        <v>338</v>
      </c>
      <c r="J132" s="84">
        <v>4</v>
      </c>
      <c r="L132" s="84">
        <v>0</v>
      </c>
      <c r="M132" s="85">
        <v>43396</v>
      </c>
      <c r="N132" s="85" t="s">
        <v>265</v>
      </c>
      <c r="O132" s="86" t="s">
        <v>340</v>
      </c>
      <c r="P132" s="84" t="s">
        <v>6</v>
      </c>
      <c r="Q132" s="86" t="s">
        <v>107</v>
      </c>
      <c r="R132" s="86" t="s">
        <v>541</v>
      </c>
      <c r="S132" s="87" t="s">
        <v>419</v>
      </c>
      <c r="T132" s="87" t="s">
        <v>542</v>
      </c>
      <c r="U132" s="88">
        <v>0</v>
      </c>
      <c r="V132" s="88">
        <v>0</v>
      </c>
      <c r="W132" s="88">
        <v>0</v>
      </c>
      <c r="X132" s="88">
        <v>0</v>
      </c>
      <c r="Y132" s="88">
        <v>0</v>
      </c>
      <c r="Z132" s="88">
        <v>0</v>
      </c>
      <c r="AA132" s="85">
        <v>43372</v>
      </c>
      <c r="AB132" s="85">
        <v>43372</v>
      </c>
      <c r="AD132" s="84">
        <v>0</v>
      </c>
      <c r="AG132" s="84">
        <v>0</v>
      </c>
      <c r="AJ132" s="84">
        <v>0</v>
      </c>
      <c r="AN132" s="84" t="s">
        <v>338</v>
      </c>
      <c r="AY132" s="132">
        <f>ROUNDDOWN((0.96*U132),0)</f>
        <v>0</v>
      </c>
      <c r="AZ132" s="132">
        <f>ROUNDDOWN(AY132+(AY132*MASTER!$A$2/100),0)</f>
        <v>0</v>
      </c>
      <c r="BA132" s="84" t="s">
        <v>543</v>
      </c>
      <c r="BB132" s="88">
        <v>23000</v>
      </c>
      <c r="BC132" s="88">
        <v>24840</v>
      </c>
      <c r="BD132" s="84" t="s">
        <v>188</v>
      </c>
      <c r="BG132" s="88">
        <v>0</v>
      </c>
      <c r="BK132" s="88">
        <v>0</v>
      </c>
      <c r="BS132" s="88">
        <v>0</v>
      </c>
      <c r="BV132" s="89">
        <v>0</v>
      </c>
      <c r="BW132" s="89">
        <v>24840</v>
      </c>
      <c r="BX132" s="89">
        <v>43396</v>
      </c>
      <c r="BY132" s="89">
        <v>-24840</v>
      </c>
      <c r="BZ132" s="112" t="s">
        <v>338</v>
      </c>
    </row>
    <row r="133" spans="1:89" x14ac:dyDescent="0.15">
      <c r="A133" s="84">
        <v>2</v>
      </c>
      <c r="C133" s="85" t="s">
        <v>338</v>
      </c>
      <c r="F133" s="85" t="s">
        <v>338</v>
      </c>
      <c r="H133" s="85" t="s">
        <v>338</v>
      </c>
      <c r="J133" s="84">
        <v>4</v>
      </c>
      <c r="L133" s="84">
        <v>0</v>
      </c>
      <c r="M133" s="85">
        <v>43396</v>
      </c>
      <c r="N133" s="85" t="s">
        <v>265</v>
      </c>
      <c r="O133" s="86" t="s">
        <v>340</v>
      </c>
      <c r="P133" s="84" t="s">
        <v>6</v>
      </c>
      <c r="Q133" s="86" t="s">
        <v>107</v>
      </c>
      <c r="R133" s="86" t="s">
        <v>544</v>
      </c>
      <c r="S133" s="87" t="s">
        <v>419</v>
      </c>
      <c r="T133" s="87" t="s">
        <v>545</v>
      </c>
      <c r="U133" s="88">
        <v>0</v>
      </c>
      <c r="V133" s="88">
        <v>0</v>
      </c>
      <c r="W133" s="88">
        <v>0</v>
      </c>
      <c r="X133" s="88">
        <v>0</v>
      </c>
      <c r="Y133" s="88">
        <v>0</v>
      </c>
      <c r="Z133" s="88">
        <v>0</v>
      </c>
      <c r="AA133" s="85">
        <v>43385</v>
      </c>
      <c r="AB133" s="85">
        <v>43385</v>
      </c>
      <c r="AD133" s="84">
        <v>0</v>
      </c>
      <c r="AG133" s="84">
        <v>0</v>
      </c>
      <c r="AJ133" s="84">
        <v>0</v>
      </c>
      <c r="AN133" s="84" t="s">
        <v>338</v>
      </c>
      <c r="AY133" s="132">
        <f>ROUNDDOWN((0.96*U133),0)</f>
        <v>0</v>
      </c>
      <c r="AZ133" s="132">
        <f>ROUNDDOWN(AY133+(AY133*MASTER!$A$2/100),0)</f>
        <v>0</v>
      </c>
      <c r="BA133" s="84" t="s">
        <v>543</v>
      </c>
      <c r="BB133" s="88">
        <v>23000</v>
      </c>
      <c r="BC133" s="88">
        <v>24840</v>
      </c>
      <c r="BD133" s="84" t="s">
        <v>430</v>
      </c>
      <c r="BG133" s="88">
        <v>0</v>
      </c>
      <c r="BK133" s="88">
        <v>0</v>
      </c>
      <c r="BS133" s="88">
        <v>0</v>
      </c>
      <c r="BV133" s="89">
        <v>0</v>
      </c>
      <c r="BW133" s="89">
        <v>24840</v>
      </c>
      <c r="BX133" s="89">
        <v>43396</v>
      </c>
      <c r="BY133" s="89">
        <v>-24840</v>
      </c>
      <c r="BZ133" s="112" t="s">
        <v>338</v>
      </c>
    </row>
    <row r="134" spans="1:89" x14ac:dyDescent="0.15">
      <c r="A134" s="84">
        <v>2</v>
      </c>
      <c r="B134" s="85">
        <v>43409</v>
      </c>
      <c r="C134" s="85">
        <v>43413</v>
      </c>
      <c r="F134" s="85" t="s">
        <v>338</v>
      </c>
      <c r="G134" s="85">
        <v>43406</v>
      </c>
      <c r="H134" s="85" t="s">
        <v>338</v>
      </c>
      <c r="J134" s="84">
        <v>3</v>
      </c>
      <c r="L134" s="84">
        <v>0</v>
      </c>
      <c r="M134" s="85">
        <v>43396</v>
      </c>
      <c r="N134" s="85" t="s">
        <v>265</v>
      </c>
      <c r="O134" s="86" t="s">
        <v>340</v>
      </c>
      <c r="P134" s="84" t="s">
        <v>6</v>
      </c>
      <c r="Q134" s="86" t="s">
        <v>107</v>
      </c>
      <c r="R134" s="86" t="s">
        <v>551</v>
      </c>
      <c r="S134" s="87" t="s">
        <v>552</v>
      </c>
      <c r="T134" s="87" t="s">
        <v>553</v>
      </c>
      <c r="U134" s="88">
        <v>15000</v>
      </c>
      <c r="V134" s="88">
        <v>16200</v>
      </c>
      <c r="W134" s="88">
        <v>0</v>
      </c>
      <c r="X134" s="88">
        <v>0</v>
      </c>
      <c r="Y134" s="88">
        <v>15000</v>
      </c>
      <c r="Z134" s="88">
        <v>16200</v>
      </c>
      <c r="AA134" s="85">
        <v>43405</v>
      </c>
      <c r="AD134" s="84">
        <v>0</v>
      </c>
      <c r="AG134" s="84">
        <v>0</v>
      </c>
      <c r="AJ134" s="84">
        <v>0</v>
      </c>
      <c r="AR134" s="85">
        <v>43405</v>
      </c>
      <c r="AS134" s="84">
        <v>6001614418</v>
      </c>
      <c r="AT134" s="85">
        <v>43406</v>
      </c>
      <c r="AU134" s="84" t="s">
        <v>744</v>
      </c>
      <c r="AV134" s="85">
        <v>43413</v>
      </c>
      <c r="AW134" s="123">
        <v>43434</v>
      </c>
      <c r="AX134" s="123">
        <v>43454</v>
      </c>
      <c r="AY134" s="132">
        <v>14400</v>
      </c>
      <c r="AZ134" s="132">
        <f>ROUNDDOWN(AY134+(AY134*MASTER!$A$2/100),0)</f>
        <v>15552</v>
      </c>
      <c r="BC134" s="88">
        <v>0</v>
      </c>
      <c r="BG134" s="88">
        <v>0</v>
      </c>
      <c r="BK134" s="88">
        <v>0</v>
      </c>
      <c r="BS134" s="88">
        <v>0</v>
      </c>
      <c r="BV134" s="89">
        <v>0</v>
      </c>
      <c r="BW134" s="89">
        <v>0</v>
      </c>
      <c r="BX134" s="89">
        <v>43396</v>
      </c>
      <c r="BY134" s="89">
        <v>0</v>
      </c>
      <c r="BZ134" s="112" t="s">
        <v>338</v>
      </c>
    </row>
    <row r="135" spans="1:89" x14ac:dyDescent="0.15">
      <c r="A135" s="84">
        <v>2</v>
      </c>
      <c r="B135" s="85">
        <v>43409</v>
      </c>
      <c r="C135" s="85">
        <v>43413</v>
      </c>
      <c r="F135" s="85" t="s">
        <v>338</v>
      </c>
      <c r="H135" s="85" t="s">
        <v>338</v>
      </c>
      <c r="I135" s="84" t="s">
        <v>781</v>
      </c>
      <c r="J135" s="84">
        <v>2</v>
      </c>
      <c r="L135" s="84">
        <v>0</v>
      </c>
      <c r="M135" s="85">
        <v>43396</v>
      </c>
      <c r="N135" s="85" t="s">
        <v>265</v>
      </c>
      <c r="O135" s="86" t="s">
        <v>340</v>
      </c>
      <c r="P135" s="84" t="s">
        <v>26</v>
      </c>
      <c r="Q135" s="86" t="s">
        <v>107</v>
      </c>
      <c r="R135" s="86" t="s">
        <v>554</v>
      </c>
      <c r="S135" s="87" t="s">
        <v>555</v>
      </c>
      <c r="T135" s="87" t="s">
        <v>556</v>
      </c>
      <c r="U135" s="88">
        <v>628500</v>
      </c>
      <c r="V135" s="88">
        <v>678780</v>
      </c>
      <c r="W135" s="88">
        <v>628500</v>
      </c>
      <c r="X135" s="88">
        <v>678780</v>
      </c>
      <c r="Z135" s="88">
        <v>0</v>
      </c>
      <c r="AA135" s="85">
        <v>43405</v>
      </c>
      <c r="AB135" s="85">
        <v>43405</v>
      </c>
      <c r="AD135" s="84">
        <v>0</v>
      </c>
      <c r="AG135" s="84">
        <v>0</v>
      </c>
      <c r="AJ135" s="84">
        <v>0</v>
      </c>
      <c r="AM135" s="84" t="s">
        <v>290</v>
      </c>
      <c r="AN135" s="84" t="s">
        <v>748</v>
      </c>
      <c r="AR135" s="85">
        <v>43406</v>
      </c>
      <c r="AS135" s="84">
        <v>6001614856</v>
      </c>
      <c r="AT135" s="85">
        <v>43406</v>
      </c>
      <c r="AU135" s="84" t="s">
        <v>742</v>
      </c>
      <c r="AV135" s="85">
        <v>43413</v>
      </c>
      <c r="AW135" s="123">
        <v>43434</v>
      </c>
      <c r="AX135" s="123">
        <v>43454</v>
      </c>
      <c r="AY135" s="132">
        <v>603360</v>
      </c>
      <c r="AZ135" s="132">
        <f>ROUNDDOWN(AY135+(AY135*MASTER!$A$2/100),0)</f>
        <v>651628</v>
      </c>
      <c r="BA135" s="84" t="s">
        <v>109</v>
      </c>
      <c r="BC135" s="88">
        <v>0</v>
      </c>
      <c r="BG135" s="88">
        <v>0</v>
      </c>
      <c r="BK135" s="88">
        <v>0</v>
      </c>
      <c r="BS135" s="88">
        <v>0</v>
      </c>
      <c r="BV135" s="89">
        <v>678780</v>
      </c>
      <c r="BW135" s="89">
        <v>0</v>
      </c>
      <c r="BX135" s="89">
        <v>43396</v>
      </c>
      <c r="BY135" s="89">
        <v>678780</v>
      </c>
      <c r="BZ135" s="112">
        <v>100</v>
      </c>
      <c r="CK135" s="88">
        <v>31500</v>
      </c>
    </row>
    <row r="136" spans="1:89" x14ac:dyDescent="0.15">
      <c r="A136" s="84">
        <v>2</v>
      </c>
      <c r="B136" s="85">
        <v>43402</v>
      </c>
      <c r="C136" s="85">
        <v>43402</v>
      </c>
      <c r="D136" s="85">
        <v>43398</v>
      </c>
      <c r="E136" s="85">
        <v>43398</v>
      </c>
      <c r="F136" s="85" t="s">
        <v>338</v>
      </c>
      <c r="G136" s="85">
        <v>43398</v>
      </c>
      <c r="H136" s="85" t="s">
        <v>338</v>
      </c>
      <c r="I136" s="84" t="s">
        <v>380</v>
      </c>
      <c r="J136" s="84">
        <v>2</v>
      </c>
      <c r="L136" s="84">
        <v>0</v>
      </c>
      <c r="M136" s="85">
        <v>43396</v>
      </c>
      <c r="N136" s="85" t="s">
        <v>265</v>
      </c>
      <c r="O136" s="86" t="s">
        <v>340</v>
      </c>
      <c r="P136" s="84" t="s">
        <v>6</v>
      </c>
      <c r="Q136" s="86" t="s">
        <v>107</v>
      </c>
      <c r="R136" s="86" t="s">
        <v>557</v>
      </c>
      <c r="S136" s="87" t="s">
        <v>558</v>
      </c>
      <c r="T136" s="87" t="s">
        <v>342</v>
      </c>
      <c r="U136" s="88">
        <v>35000</v>
      </c>
      <c r="V136" s="88">
        <v>37800</v>
      </c>
      <c r="W136" s="88">
        <v>35000</v>
      </c>
      <c r="X136" s="88">
        <v>37800</v>
      </c>
      <c r="Z136" s="88">
        <v>0</v>
      </c>
      <c r="AA136" s="85">
        <v>43397</v>
      </c>
      <c r="AB136" s="85">
        <v>43398</v>
      </c>
      <c r="AD136" s="84">
        <v>0</v>
      </c>
      <c r="AG136" s="84">
        <v>0</v>
      </c>
      <c r="AJ136" s="84">
        <v>0</v>
      </c>
      <c r="AR136" s="85">
        <v>43399</v>
      </c>
      <c r="AS136" s="84">
        <v>6001612729</v>
      </c>
      <c r="AT136" s="85">
        <v>43399</v>
      </c>
      <c r="AU136" s="84" t="s">
        <v>630</v>
      </c>
      <c r="AV136" s="85">
        <v>43402</v>
      </c>
      <c r="AW136" s="123">
        <v>43404</v>
      </c>
      <c r="AX136" s="123">
        <v>43424</v>
      </c>
      <c r="AY136" s="132">
        <v>33600</v>
      </c>
      <c r="AZ136" s="132">
        <f>ROUNDDOWN(AY136+(AY136*MASTER!$A$2/100),0)</f>
        <v>36288</v>
      </c>
      <c r="BA136" s="84" t="s">
        <v>14</v>
      </c>
      <c r="BB136" s="88">
        <v>23000</v>
      </c>
      <c r="BC136" s="88">
        <v>24840</v>
      </c>
      <c r="BD136" s="84" t="s">
        <v>189</v>
      </c>
      <c r="BG136" s="88">
        <v>0</v>
      </c>
      <c r="BK136" s="88">
        <v>0</v>
      </c>
      <c r="BS136" s="88">
        <v>0</v>
      </c>
      <c r="BV136" s="89">
        <v>37800</v>
      </c>
      <c r="BW136" s="89">
        <v>24840</v>
      </c>
      <c r="BX136" s="89">
        <v>43396</v>
      </c>
      <c r="BY136" s="89">
        <v>12960</v>
      </c>
      <c r="BZ136" s="112">
        <v>34.285714285714285</v>
      </c>
    </row>
    <row r="137" spans="1:89" x14ac:dyDescent="0.15">
      <c r="A137" s="84">
        <v>2</v>
      </c>
      <c r="B137" s="85">
        <v>43417</v>
      </c>
      <c r="C137" s="85">
        <v>43420</v>
      </c>
      <c r="D137" s="85">
        <v>43438</v>
      </c>
      <c r="F137" s="85">
        <v>43427</v>
      </c>
      <c r="G137" s="85">
        <v>43420</v>
      </c>
      <c r="H137" s="85">
        <v>43423</v>
      </c>
      <c r="I137" s="84" t="s">
        <v>776</v>
      </c>
      <c r="J137" s="84">
        <v>1</v>
      </c>
      <c r="L137" s="84">
        <v>0</v>
      </c>
      <c r="M137" s="85">
        <v>43397</v>
      </c>
      <c r="N137" s="85" t="s">
        <v>265</v>
      </c>
      <c r="O137" s="86" t="s">
        <v>340</v>
      </c>
      <c r="P137" s="84" t="s">
        <v>26</v>
      </c>
      <c r="Q137" s="86" t="s">
        <v>107</v>
      </c>
      <c r="R137" s="86" t="s">
        <v>570</v>
      </c>
      <c r="S137" s="87" t="s">
        <v>571</v>
      </c>
      <c r="T137" s="87" t="s">
        <v>572</v>
      </c>
      <c r="U137" s="88">
        <v>187000</v>
      </c>
      <c r="V137" s="88">
        <v>201960</v>
      </c>
      <c r="W137" s="88">
        <v>92300</v>
      </c>
      <c r="X137" s="88">
        <v>99684</v>
      </c>
      <c r="Y137" s="88">
        <v>94700</v>
      </c>
      <c r="Z137" s="88">
        <v>102276</v>
      </c>
      <c r="AA137" s="85">
        <v>43419</v>
      </c>
      <c r="AB137" s="85">
        <v>43420</v>
      </c>
      <c r="AC137" s="85">
        <v>43420</v>
      </c>
      <c r="AD137" s="84">
        <v>0</v>
      </c>
      <c r="AG137" s="84">
        <v>0</v>
      </c>
      <c r="AJ137" s="84">
        <v>0</v>
      </c>
      <c r="AM137" s="84" t="s">
        <v>290</v>
      </c>
      <c r="AN137" s="84" t="s">
        <v>573</v>
      </c>
      <c r="AR137" s="85">
        <v>43416</v>
      </c>
      <c r="AS137" s="84">
        <v>6001618599</v>
      </c>
      <c r="AT137" s="85">
        <v>43416</v>
      </c>
      <c r="AU137" s="84" t="s">
        <v>839</v>
      </c>
      <c r="AV137" s="85">
        <v>43420</v>
      </c>
      <c r="AW137" s="123">
        <v>43434</v>
      </c>
      <c r="AX137" s="123">
        <v>43454</v>
      </c>
      <c r="AY137" s="132">
        <v>179520</v>
      </c>
      <c r="AZ137" s="132">
        <f>ROUNDDOWN(AY137+(AY137*MASTER!$A$2/100),0)</f>
        <v>193881</v>
      </c>
      <c r="BA137" s="84" t="s">
        <v>287</v>
      </c>
      <c r="BB137" s="88">
        <v>23000</v>
      </c>
      <c r="BC137" s="88">
        <v>24840</v>
      </c>
      <c r="BD137" s="84" t="s">
        <v>189</v>
      </c>
      <c r="BG137" s="88">
        <v>0</v>
      </c>
      <c r="BI137" s="84" t="s">
        <v>434</v>
      </c>
      <c r="BJ137" s="88">
        <v>61555</v>
      </c>
      <c r="BK137" s="88">
        <v>66479.399999999994</v>
      </c>
      <c r="BL137" s="84" t="s">
        <v>189</v>
      </c>
      <c r="BS137" s="88">
        <v>0</v>
      </c>
      <c r="BV137" s="89">
        <v>99684</v>
      </c>
      <c r="BW137" s="89">
        <v>91319.4</v>
      </c>
      <c r="BX137" s="89">
        <v>43397</v>
      </c>
      <c r="BY137" s="89">
        <v>8364.6</v>
      </c>
      <c r="BZ137" s="112">
        <v>8.3911159263272008</v>
      </c>
      <c r="CK137" s="88">
        <v>6300</v>
      </c>
    </row>
    <row r="138" spans="1:89" x14ac:dyDescent="0.15">
      <c r="A138" s="84">
        <v>2</v>
      </c>
      <c r="B138" s="85">
        <v>43451</v>
      </c>
      <c r="C138" s="85">
        <v>43460</v>
      </c>
      <c r="D138" s="85" t="s">
        <v>374</v>
      </c>
      <c r="F138" s="85">
        <v>43467</v>
      </c>
      <c r="G138" s="85">
        <v>43461</v>
      </c>
      <c r="H138" s="85">
        <v>43463</v>
      </c>
      <c r="I138" s="84" t="s">
        <v>776</v>
      </c>
      <c r="J138" s="84">
        <v>1</v>
      </c>
      <c r="L138" s="84">
        <v>0</v>
      </c>
      <c r="M138" s="85">
        <v>43397</v>
      </c>
      <c r="N138" s="85" t="s">
        <v>265</v>
      </c>
      <c r="O138" s="86" t="s">
        <v>340</v>
      </c>
      <c r="P138" s="84" t="s">
        <v>26</v>
      </c>
      <c r="Q138" s="86" t="s">
        <v>107</v>
      </c>
      <c r="R138" s="86" t="s">
        <v>1095</v>
      </c>
      <c r="S138" s="87" t="s">
        <v>571</v>
      </c>
      <c r="T138" s="87" t="s">
        <v>1096</v>
      </c>
      <c r="U138" s="88">
        <v>23900</v>
      </c>
      <c r="V138" s="88">
        <v>25812</v>
      </c>
      <c r="W138" s="88">
        <v>14700</v>
      </c>
      <c r="X138" s="88">
        <v>15876</v>
      </c>
      <c r="Y138" s="88">
        <v>9200</v>
      </c>
      <c r="Z138" s="88">
        <v>9936</v>
      </c>
      <c r="AA138" s="85">
        <v>43458</v>
      </c>
      <c r="AB138" s="85">
        <v>43460</v>
      </c>
      <c r="AC138" s="85">
        <v>43460</v>
      </c>
      <c r="AD138" s="84">
        <v>0</v>
      </c>
      <c r="AG138" s="84">
        <v>0</v>
      </c>
      <c r="AJ138" s="84">
        <v>0</v>
      </c>
      <c r="AM138" s="84" t="s">
        <v>290</v>
      </c>
      <c r="AN138" s="84" t="s">
        <v>1097</v>
      </c>
      <c r="AR138" s="85">
        <v>43416</v>
      </c>
      <c r="AS138" s="84">
        <v>6001618599</v>
      </c>
      <c r="AT138" s="85">
        <v>43416</v>
      </c>
      <c r="AU138" s="84" t="s">
        <v>839</v>
      </c>
      <c r="AV138" s="85">
        <v>43460</v>
      </c>
      <c r="AW138" s="123">
        <v>43465</v>
      </c>
      <c r="AX138" s="123">
        <v>43485</v>
      </c>
      <c r="AY138" s="132">
        <v>22944</v>
      </c>
      <c r="AZ138" s="132">
        <f>ROUNDDOWN(AY138+(AY138*MASTER!$A$2/100),0)</f>
        <v>24779</v>
      </c>
      <c r="BA138" s="84" t="s">
        <v>778</v>
      </c>
      <c r="BC138" s="88">
        <v>0</v>
      </c>
      <c r="BG138" s="88">
        <v>0</v>
      </c>
      <c r="BI138" s="84" t="s">
        <v>276</v>
      </c>
      <c r="BJ138" s="88">
        <v>5980</v>
      </c>
      <c r="BK138" s="88">
        <v>6458.4</v>
      </c>
      <c r="BL138" s="84" t="s">
        <v>1421</v>
      </c>
      <c r="BS138" s="88">
        <v>0</v>
      </c>
      <c r="BV138" s="89">
        <v>15876</v>
      </c>
      <c r="BW138" s="89">
        <v>6458.4</v>
      </c>
      <c r="BX138" s="89">
        <v>43397</v>
      </c>
      <c r="BY138" s="89">
        <v>9417.6</v>
      </c>
      <c r="BZ138" s="112">
        <v>59.319727891156461</v>
      </c>
      <c r="CK138" s="88">
        <v>0</v>
      </c>
    </row>
    <row r="139" spans="1:89" s="151" customFormat="1" x14ac:dyDescent="0.15">
      <c r="A139" s="141">
        <v>3</v>
      </c>
      <c r="B139" s="142"/>
      <c r="C139" s="142" t="s">
        <v>338</v>
      </c>
      <c r="D139" s="142"/>
      <c r="E139" s="142"/>
      <c r="F139" s="142" t="s">
        <v>338</v>
      </c>
      <c r="G139" s="142"/>
      <c r="H139" s="142" t="s">
        <v>338</v>
      </c>
      <c r="I139" s="141"/>
      <c r="J139" s="141">
        <v>1</v>
      </c>
      <c r="K139" s="142"/>
      <c r="L139" s="141">
        <v>0</v>
      </c>
      <c r="M139" s="142">
        <v>43397</v>
      </c>
      <c r="N139" s="142" t="s">
        <v>265</v>
      </c>
      <c r="O139" s="143" t="s">
        <v>340</v>
      </c>
      <c r="P139" s="141" t="s">
        <v>26</v>
      </c>
      <c r="Q139" s="143" t="s">
        <v>107</v>
      </c>
      <c r="R139" s="143" t="s">
        <v>1306</v>
      </c>
      <c r="S139" s="144" t="s">
        <v>1307</v>
      </c>
      <c r="T139" s="144" t="s">
        <v>1308</v>
      </c>
      <c r="U139" s="145">
        <v>59000</v>
      </c>
      <c r="V139" s="145">
        <v>63720</v>
      </c>
      <c r="W139" s="145">
        <v>47000</v>
      </c>
      <c r="X139" s="145">
        <v>50760</v>
      </c>
      <c r="Y139" s="145">
        <v>12000</v>
      </c>
      <c r="Z139" s="145">
        <v>12960</v>
      </c>
      <c r="AA139" s="142"/>
      <c r="AB139" s="142"/>
      <c r="AC139" s="142"/>
      <c r="AD139" s="141">
        <v>0</v>
      </c>
      <c r="AE139" s="141"/>
      <c r="AF139" s="141"/>
      <c r="AG139" s="141">
        <v>0</v>
      </c>
      <c r="AH139" s="141"/>
      <c r="AI139" s="141"/>
      <c r="AJ139" s="141">
        <v>0</v>
      </c>
      <c r="AK139" s="141"/>
      <c r="AL139" s="141"/>
      <c r="AM139" s="141" t="s">
        <v>290</v>
      </c>
      <c r="AN139" s="141" t="s">
        <v>1309</v>
      </c>
      <c r="AO139" s="142"/>
      <c r="AP139" s="141"/>
      <c r="AQ139" s="141"/>
      <c r="AR139" s="142"/>
      <c r="AS139" s="141"/>
      <c r="AT139" s="142"/>
      <c r="AU139" s="141"/>
      <c r="AV139" s="142"/>
      <c r="AW139" s="146"/>
      <c r="AX139" s="146"/>
      <c r="AY139" s="147">
        <v>56640</v>
      </c>
      <c r="AZ139" s="132">
        <f>ROUNDDOWN(AY139+(AY139*MASTER!$A$2/100),0)</f>
        <v>61171</v>
      </c>
      <c r="BA139" s="141"/>
      <c r="BB139" s="145"/>
      <c r="BC139" s="145">
        <v>0</v>
      </c>
      <c r="BD139" s="141"/>
      <c r="BE139" s="141"/>
      <c r="BF139" s="145"/>
      <c r="BG139" s="145">
        <v>0</v>
      </c>
      <c r="BH139" s="141"/>
      <c r="BI139" s="141"/>
      <c r="BJ139" s="145"/>
      <c r="BK139" s="145">
        <v>0</v>
      </c>
      <c r="BL139" s="141"/>
      <c r="BM139" s="145"/>
      <c r="BN139" s="145"/>
      <c r="BO139" s="145"/>
      <c r="BP139" s="145"/>
      <c r="BQ139" s="145"/>
      <c r="BR139" s="145"/>
      <c r="BS139" s="145">
        <v>0</v>
      </c>
      <c r="BT139" s="148"/>
      <c r="BU139" s="148"/>
      <c r="BV139" s="149">
        <v>50760</v>
      </c>
      <c r="BW139" s="149">
        <v>0</v>
      </c>
      <c r="BX139" s="149">
        <v>43397</v>
      </c>
      <c r="BY139" s="149">
        <v>50760</v>
      </c>
      <c r="BZ139" s="150">
        <v>100</v>
      </c>
      <c r="CA139" s="141"/>
      <c r="CB139" s="141"/>
      <c r="CC139" s="141"/>
      <c r="CD139" s="144" t="s">
        <v>1310</v>
      </c>
      <c r="CE139" s="142"/>
      <c r="CF139" s="142"/>
      <c r="CG139" s="142"/>
      <c r="CH139" s="142"/>
      <c r="CI139" s="142"/>
      <c r="CJ139" s="142"/>
      <c r="CK139" s="145">
        <v>0</v>
      </c>
    </row>
    <row r="140" spans="1:89" x14ac:dyDescent="0.15">
      <c r="A140" s="84">
        <v>1</v>
      </c>
      <c r="B140" s="85">
        <v>43412</v>
      </c>
      <c r="C140" s="85">
        <v>43426</v>
      </c>
      <c r="F140" s="85" t="s">
        <v>338</v>
      </c>
      <c r="H140" s="85" t="s">
        <v>338</v>
      </c>
      <c r="J140" s="84">
        <v>2</v>
      </c>
      <c r="K140" s="85">
        <v>43406</v>
      </c>
      <c r="L140" s="84" t="s">
        <v>818</v>
      </c>
      <c r="M140" s="85">
        <v>43397</v>
      </c>
      <c r="N140" s="85" t="s">
        <v>265</v>
      </c>
      <c r="O140" s="86" t="s">
        <v>340</v>
      </c>
      <c r="P140" s="84" t="s">
        <v>26</v>
      </c>
      <c r="Q140" s="86" t="s">
        <v>107</v>
      </c>
      <c r="R140" s="86" t="s">
        <v>739</v>
      </c>
      <c r="S140" s="87" t="s">
        <v>740</v>
      </c>
      <c r="T140" s="87" t="s">
        <v>741</v>
      </c>
      <c r="U140" s="88">
        <v>18750</v>
      </c>
      <c r="V140" s="88">
        <v>20250</v>
      </c>
      <c r="W140" s="88">
        <v>18750</v>
      </c>
      <c r="X140" s="88">
        <v>20250</v>
      </c>
      <c r="Z140" s="88">
        <v>0</v>
      </c>
      <c r="AD140" s="84">
        <v>0</v>
      </c>
      <c r="AG140" s="84">
        <v>0</v>
      </c>
      <c r="AJ140" s="84">
        <v>0</v>
      </c>
      <c r="AN140" s="84" t="s">
        <v>338</v>
      </c>
      <c r="AR140" s="85">
        <v>43409</v>
      </c>
      <c r="AS140" s="84">
        <v>6001615454</v>
      </c>
      <c r="AT140" s="85">
        <v>43411</v>
      </c>
      <c r="AU140" s="84" t="s">
        <v>786</v>
      </c>
      <c r="AV140" s="85">
        <v>43426</v>
      </c>
      <c r="AW140" s="123">
        <v>43434</v>
      </c>
      <c r="AX140" s="123">
        <v>43454</v>
      </c>
      <c r="AY140" s="132">
        <v>18000</v>
      </c>
      <c r="AZ140" s="132">
        <f>ROUNDDOWN(AY140+(AY140*MASTER!$A$2/100),0)</f>
        <v>19440</v>
      </c>
      <c r="BC140" s="88">
        <v>0</v>
      </c>
      <c r="BG140" s="88">
        <v>0</v>
      </c>
      <c r="BK140" s="88">
        <v>0</v>
      </c>
      <c r="BS140" s="88">
        <v>0</v>
      </c>
      <c r="BV140" s="89">
        <v>20250</v>
      </c>
      <c r="BW140" s="89">
        <v>0</v>
      </c>
      <c r="BX140" s="89">
        <v>0</v>
      </c>
      <c r="BY140" s="89">
        <v>43406</v>
      </c>
      <c r="BZ140" s="112">
        <v>100</v>
      </c>
      <c r="CD140" s="87" t="s">
        <v>819</v>
      </c>
      <c r="CK140" s="88">
        <v>0</v>
      </c>
    </row>
    <row r="141" spans="1:89" x14ac:dyDescent="0.15">
      <c r="A141" s="84">
        <v>1</v>
      </c>
      <c r="C141" s="85" t="s">
        <v>338</v>
      </c>
      <c r="F141" s="85" t="s">
        <v>338</v>
      </c>
      <c r="H141" s="85" t="s">
        <v>338</v>
      </c>
      <c r="J141" s="84">
        <v>2</v>
      </c>
      <c r="L141" s="84">
        <v>0</v>
      </c>
      <c r="M141" s="85">
        <v>43397</v>
      </c>
      <c r="N141" s="85" t="s">
        <v>264</v>
      </c>
      <c r="O141" s="86" t="s">
        <v>340</v>
      </c>
      <c r="P141" s="84" t="s">
        <v>272</v>
      </c>
      <c r="Q141" s="86" t="s">
        <v>107</v>
      </c>
      <c r="R141" s="86" t="s">
        <v>579</v>
      </c>
      <c r="S141" s="87" t="s">
        <v>387</v>
      </c>
      <c r="T141" s="87" t="s">
        <v>580</v>
      </c>
      <c r="U141" s="88">
        <v>80000</v>
      </c>
      <c r="V141" s="88">
        <v>86400</v>
      </c>
      <c r="W141" s="88">
        <v>80000</v>
      </c>
      <c r="X141" s="88">
        <v>86400</v>
      </c>
      <c r="Z141" s="88">
        <v>0</v>
      </c>
      <c r="AD141" s="84">
        <v>0</v>
      </c>
      <c r="AG141" s="84">
        <v>0</v>
      </c>
      <c r="AJ141" s="84">
        <v>0</v>
      </c>
      <c r="AR141" s="85">
        <v>43409</v>
      </c>
      <c r="AS141" s="84">
        <v>6001615453</v>
      </c>
      <c r="AT141" s="85">
        <v>43411</v>
      </c>
      <c r="AU141" s="84" t="s">
        <v>785</v>
      </c>
      <c r="AV141" s="85">
        <v>43411</v>
      </c>
      <c r="AW141" s="123">
        <v>43434</v>
      </c>
      <c r="AX141" s="123">
        <v>43454</v>
      </c>
      <c r="AY141" s="140">
        <v>80000</v>
      </c>
      <c r="AZ141" s="132">
        <f>ROUNDDOWN(AY141+(AY141*MASTER!$A$2/100),0)</f>
        <v>86400</v>
      </c>
      <c r="BC141" s="88">
        <v>0</v>
      </c>
      <c r="BG141" s="88">
        <v>0</v>
      </c>
      <c r="BK141" s="88">
        <v>0</v>
      </c>
      <c r="BS141" s="88">
        <v>0</v>
      </c>
      <c r="BV141" s="89">
        <v>86400</v>
      </c>
      <c r="BW141" s="89">
        <v>0</v>
      </c>
      <c r="BX141" s="89">
        <v>43397</v>
      </c>
      <c r="BY141" s="89">
        <v>86400</v>
      </c>
      <c r="BZ141" s="112">
        <v>100</v>
      </c>
    </row>
    <row r="142" spans="1:89" x14ac:dyDescent="0.15">
      <c r="A142" s="84">
        <v>1</v>
      </c>
      <c r="B142" s="85">
        <v>43399</v>
      </c>
      <c r="C142" s="85">
        <v>43402</v>
      </c>
      <c r="F142" s="85" t="s">
        <v>338</v>
      </c>
      <c r="H142" s="85" t="s">
        <v>338</v>
      </c>
      <c r="J142" s="84">
        <v>2</v>
      </c>
      <c r="L142" s="84" t="s">
        <v>584</v>
      </c>
      <c r="M142" s="85">
        <v>43397</v>
      </c>
      <c r="N142" s="85" t="s">
        <v>265</v>
      </c>
      <c r="O142" s="86" t="s">
        <v>340</v>
      </c>
      <c r="P142" s="84" t="s">
        <v>272</v>
      </c>
      <c r="Q142" s="86" t="s">
        <v>107</v>
      </c>
      <c r="R142" s="86" t="s">
        <v>625</v>
      </c>
      <c r="S142" s="87" t="s">
        <v>449</v>
      </c>
      <c r="T142" s="87" t="s">
        <v>626</v>
      </c>
      <c r="U142" s="88">
        <v>5600</v>
      </c>
      <c r="V142" s="88">
        <v>6048</v>
      </c>
      <c r="W142" s="88">
        <v>5600</v>
      </c>
      <c r="X142" s="88">
        <v>6048</v>
      </c>
      <c r="Z142" s="88">
        <v>0</v>
      </c>
      <c r="AD142" s="84">
        <v>0</v>
      </c>
      <c r="AG142" s="84">
        <v>0</v>
      </c>
      <c r="AJ142" s="84">
        <v>0</v>
      </c>
      <c r="AR142" s="85">
        <v>43397</v>
      </c>
      <c r="AS142" s="84">
        <v>6001611968</v>
      </c>
      <c r="AT142" s="85">
        <v>43399</v>
      </c>
      <c r="AU142" s="84" t="s">
        <v>665</v>
      </c>
      <c r="AV142" s="85">
        <v>43402</v>
      </c>
      <c r="AW142" s="123">
        <v>43404</v>
      </c>
      <c r="AX142" s="123">
        <v>43424</v>
      </c>
      <c r="AY142" s="132">
        <v>5376</v>
      </c>
      <c r="AZ142" s="132">
        <f>ROUNDDOWN(AY142+(AY142*MASTER!$A$2/100),0)</f>
        <v>5806</v>
      </c>
      <c r="BC142" s="88">
        <v>0</v>
      </c>
      <c r="BG142" s="88">
        <v>0</v>
      </c>
      <c r="BK142" s="88">
        <v>0</v>
      </c>
      <c r="BS142" s="88">
        <v>0</v>
      </c>
      <c r="BV142" s="89">
        <v>6048</v>
      </c>
      <c r="BW142" s="89">
        <v>0</v>
      </c>
      <c r="BX142" s="89">
        <v>43397</v>
      </c>
      <c r="BY142" s="89">
        <v>6048</v>
      </c>
      <c r="BZ142" s="112">
        <v>100</v>
      </c>
      <c r="CD142" s="87" t="s">
        <v>627</v>
      </c>
    </row>
    <row r="143" spans="1:89" x14ac:dyDescent="0.15">
      <c r="A143" s="84">
        <v>1</v>
      </c>
      <c r="B143" s="85">
        <v>43405</v>
      </c>
      <c r="C143" s="85">
        <v>43410</v>
      </c>
      <c r="F143" s="85" t="s">
        <v>338</v>
      </c>
      <c r="H143" s="85" t="s">
        <v>338</v>
      </c>
      <c r="J143" s="84">
        <v>2</v>
      </c>
      <c r="L143" s="84" t="s">
        <v>584</v>
      </c>
      <c r="M143" s="85">
        <v>43397</v>
      </c>
      <c r="N143" s="85" t="s">
        <v>265</v>
      </c>
      <c r="O143" s="86" t="s">
        <v>340</v>
      </c>
      <c r="P143" s="84" t="s">
        <v>78</v>
      </c>
      <c r="Q143" s="86" t="s">
        <v>107</v>
      </c>
      <c r="R143" s="86" t="s">
        <v>583</v>
      </c>
      <c r="S143" s="87" t="s">
        <v>407</v>
      </c>
      <c r="T143" s="87" t="s">
        <v>408</v>
      </c>
      <c r="U143" s="88">
        <v>8300</v>
      </c>
      <c r="V143" s="88">
        <v>8964</v>
      </c>
      <c r="W143" s="88">
        <v>8300</v>
      </c>
      <c r="X143" s="88">
        <v>8964</v>
      </c>
      <c r="Z143" s="88">
        <v>0</v>
      </c>
      <c r="AD143" s="84">
        <v>0</v>
      </c>
      <c r="AG143" s="84">
        <v>0</v>
      </c>
      <c r="AJ143" s="84">
        <v>0</v>
      </c>
      <c r="AR143" s="85">
        <v>43397</v>
      </c>
      <c r="AS143" s="84">
        <v>6001611702</v>
      </c>
      <c r="AT143" s="85">
        <v>43397</v>
      </c>
      <c r="AU143" s="84" t="s">
        <v>714</v>
      </c>
      <c r="AV143" s="85">
        <v>43410</v>
      </c>
      <c r="AW143" s="123">
        <v>43434</v>
      </c>
      <c r="AX143" s="123">
        <v>43454</v>
      </c>
      <c r="AY143" s="132">
        <v>7968</v>
      </c>
      <c r="AZ143" s="132">
        <f>ROUNDDOWN(AY143+(AY143*MASTER!$A$2/100),0)</f>
        <v>8605</v>
      </c>
      <c r="BC143" s="88">
        <v>0</v>
      </c>
      <c r="BG143" s="88">
        <v>0</v>
      </c>
      <c r="BK143" s="88">
        <v>0</v>
      </c>
      <c r="BS143" s="88">
        <v>0</v>
      </c>
      <c r="BV143" s="89">
        <v>8964</v>
      </c>
      <c r="BW143" s="89">
        <v>0</v>
      </c>
      <c r="BX143" s="89">
        <v>43397</v>
      </c>
      <c r="BY143" s="89">
        <v>8964</v>
      </c>
      <c r="BZ143" s="112">
        <v>100</v>
      </c>
      <c r="CK143" s="88">
        <v>0</v>
      </c>
    </row>
    <row r="144" spans="1:89" x14ac:dyDescent="0.15">
      <c r="A144" s="84">
        <v>1</v>
      </c>
      <c r="B144" s="85">
        <v>43405</v>
      </c>
      <c r="C144" s="85">
        <v>43410</v>
      </c>
      <c r="F144" s="85" t="s">
        <v>338</v>
      </c>
      <c r="H144" s="85" t="s">
        <v>338</v>
      </c>
      <c r="J144" s="84">
        <v>2</v>
      </c>
      <c r="L144" s="84" t="s">
        <v>584</v>
      </c>
      <c r="M144" s="85">
        <v>43397</v>
      </c>
      <c r="N144" s="85" t="s">
        <v>265</v>
      </c>
      <c r="O144" s="86" t="s">
        <v>340</v>
      </c>
      <c r="P144" s="84" t="s">
        <v>78</v>
      </c>
      <c r="Q144" s="86" t="s">
        <v>107</v>
      </c>
      <c r="R144" s="86" t="s">
        <v>581</v>
      </c>
      <c r="S144" s="87" t="s">
        <v>407</v>
      </c>
      <c r="T144" s="87" t="s">
        <v>582</v>
      </c>
      <c r="U144" s="88">
        <v>5150</v>
      </c>
      <c r="V144" s="88">
        <v>5562</v>
      </c>
      <c r="W144" s="88">
        <v>5150</v>
      </c>
      <c r="X144" s="88">
        <v>5562</v>
      </c>
      <c r="Z144" s="88">
        <v>0</v>
      </c>
      <c r="AD144" s="84">
        <v>0</v>
      </c>
      <c r="AG144" s="84">
        <v>0</v>
      </c>
      <c r="AJ144" s="84">
        <v>0</v>
      </c>
      <c r="AR144" s="85">
        <v>43397</v>
      </c>
      <c r="AS144" s="84">
        <v>6001611702</v>
      </c>
      <c r="AT144" s="85">
        <v>43397</v>
      </c>
      <c r="AU144" s="84" t="s">
        <v>714</v>
      </c>
      <c r="AV144" s="85">
        <v>43410</v>
      </c>
      <c r="AW144" s="123">
        <v>43434</v>
      </c>
      <c r="AX144" s="123">
        <v>43454</v>
      </c>
      <c r="AY144" s="132">
        <v>4944</v>
      </c>
      <c r="AZ144" s="132">
        <f>ROUNDDOWN(AY144+(AY144*MASTER!$A$2/100),0)</f>
        <v>5339</v>
      </c>
      <c r="BC144" s="88">
        <v>0</v>
      </c>
      <c r="BG144" s="88">
        <v>0</v>
      </c>
      <c r="BK144" s="88">
        <v>0</v>
      </c>
      <c r="BS144" s="88">
        <v>0</v>
      </c>
      <c r="BV144" s="89">
        <v>5562</v>
      </c>
      <c r="BW144" s="89">
        <v>0</v>
      </c>
      <c r="BX144" s="89">
        <v>43397</v>
      </c>
      <c r="BY144" s="89">
        <v>5562</v>
      </c>
      <c r="BZ144" s="112">
        <v>100</v>
      </c>
      <c r="CK144" s="88">
        <v>0</v>
      </c>
    </row>
    <row r="145" spans="1:89" x14ac:dyDescent="0.15">
      <c r="A145" s="84">
        <v>2</v>
      </c>
      <c r="B145" s="85">
        <v>43453</v>
      </c>
      <c r="C145" s="85">
        <v>43461</v>
      </c>
      <c r="F145" s="85">
        <v>43468</v>
      </c>
      <c r="G145" s="85">
        <v>43461</v>
      </c>
      <c r="H145" s="85">
        <v>43464</v>
      </c>
      <c r="I145" s="84" t="s">
        <v>776</v>
      </c>
      <c r="J145" s="84">
        <v>1</v>
      </c>
      <c r="K145" s="85">
        <v>43403</v>
      </c>
      <c r="L145" s="84" t="s">
        <v>659</v>
      </c>
      <c r="M145" s="85">
        <v>43397</v>
      </c>
      <c r="N145" s="85" t="s">
        <v>265</v>
      </c>
      <c r="O145" s="86" t="s">
        <v>340</v>
      </c>
      <c r="P145" s="84" t="s">
        <v>26</v>
      </c>
      <c r="Q145" s="86" t="s">
        <v>107</v>
      </c>
      <c r="R145" s="86" t="s">
        <v>592</v>
      </c>
      <c r="S145" s="87" t="s">
        <v>593</v>
      </c>
      <c r="T145" s="87" t="s">
        <v>594</v>
      </c>
      <c r="U145" s="88">
        <v>158500</v>
      </c>
      <c r="V145" s="88">
        <v>171180</v>
      </c>
      <c r="W145" s="88">
        <v>132300</v>
      </c>
      <c r="X145" s="88">
        <v>142884</v>
      </c>
      <c r="Y145" s="88">
        <v>26200</v>
      </c>
      <c r="Z145" s="88">
        <v>28296</v>
      </c>
      <c r="AA145" s="85">
        <v>43458</v>
      </c>
      <c r="AB145" s="85">
        <v>43461</v>
      </c>
      <c r="AC145" s="85">
        <v>43461</v>
      </c>
      <c r="AD145" s="84">
        <v>0</v>
      </c>
      <c r="AG145" s="84">
        <v>0</v>
      </c>
      <c r="AJ145" s="84">
        <v>0</v>
      </c>
      <c r="AM145" s="84" t="s">
        <v>290</v>
      </c>
      <c r="AN145" s="84" t="s">
        <v>660</v>
      </c>
      <c r="AR145" s="85">
        <v>43452</v>
      </c>
      <c r="AS145" s="84">
        <v>6001631390</v>
      </c>
      <c r="AT145" s="85">
        <v>43452</v>
      </c>
      <c r="AU145" s="84" t="s">
        <v>1337</v>
      </c>
      <c r="AV145" s="85">
        <v>43461</v>
      </c>
      <c r="AW145" s="123">
        <v>43465</v>
      </c>
      <c r="AX145" s="123">
        <v>43485</v>
      </c>
      <c r="AY145" s="132">
        <v>152160</v>
      </c>
      <c r="AZ145" s="132">
        <f>ROUNDDOWN(AY145+(AY145*MASTER!$A$2/100),0)</f>
        <v>164332</v>
      </c>
      <c r="BA145" s="84" t="s">
        <v>14</v>
      </c>
      <c r="BB145" s="88">
        <v>93600</v>
      </c>
      <c r="BC145" s="88">
        <v>101088</v>
      </c>
      <c r="BD145" s="84" t="s">
        <v>1138</v>
      </c>
      <c r="BG145" s="88">
        <v>0</v>
      </c>
      <c r="BI145" s="84" t="s">
        <v>434</v>
      </c>
      <c r="BJ145" s="88">
        <v>17030</v>
      </c>
      <c r="BK145" s="88">
        <v>18392.400000000001</v>
      </c>
      <c r="BL145" s="84" t="s">
        <v>1138</v>
      </c>
      <c r="BS145" s="88">
        <v>0</v>
      </c>
      <c r="BV145" s="89">
        <v>142884</v>
      </c>
      <c r="BW145" s="89">
        <v>119480.4</v>
      </c>
      <c r="BX145" s="89">
        <v>0</v>
      </c>
      <c r="BY145" s="89">
        <v>23403.599999999999</v>
      </c>
      <c r="BZ145" s="112">
        <v>43403</v>
      </c>
      <c r="CK145" s="88">
        <v>6300</v>
      </c>
    </row>
    <row r="146" spans="1:89" x14ac:dyDescent="0.15">
      <c r="A146" s="84">
        <v>1</v>
      </c>
      <c r="B146" s="85">
        <v>43405</v>
      </c>
      <c r="C146" s="85">
        <v>43414</v>
      </c>
      <c r="F146" s="85" t="s">
        <v>338</v>
      </c>
      <c r="H146" s="85" t="s">
        <v>338</v>
      </c>
      <c r="J146" s="84">
        <v>2</v>
      </c>
      <c r="L146" s="84">
        <v>0</v>
      </c>
      <c r="M146" s="85">
        <v>43397</v>
      </c>
      <c r="N146" s="85" t="s">
        <v>265</v>
      </c>
      <c r="O146" s="86" t="s">
        <v>340</v>
      </c>
      <c r="P146" s="84" t="s">
        <v>78</v>
      </c>
      <c r="Q146" s="86" t="s">
        <v>107</v>
      </c>
      <c r="R146" s="86" t="s">
        <v>724</v>
      </c>
      <c r="S146" s="87" t="s">
        <v>725</v>
      </c>
      <c r="T146" s="87" t="s">
        <v>726</v>
      </c>
      <c r="U146" s="88">
        <v>55000</v>
      </c>
      <c r="V146" s="88">
        <v>59400</v>
      </c>
      <c r="W146" s="88">
        <v>55000</v>
      </c>
      <c r="X146" s="88">
        <v>59400</v>
      </c>
      <c r="Z146" s="88">
        <v>0</v>
      </c>
      <c r="AA146" s="85">
        <v>43413</v>
      </c>
      <c r="AB146" s="85">
        <v>43414</v>
      </c>
      <c r="AD146" s="84">
        <v>0</v>
      </c>
      <c r="AG146" s="84">
        <v>0</v>
      </c>
      <c r="AJ146" s="84">
        <v>0</v>
      </c>
      <c r="AN146" s="84" t="s">
        <v>338</v>
      </c>
      <c r="AR146" s="85">
        <v>43403</v>
      </c>
      <c r="AS146" s="84">
        <v>6001613629</v>
      </c>
      <c r="AT146" s="85">
        <v>43403</v>
      </c>
      <c r="AU146" s="84" t="s">
        <v>674</v>
      </c>
      <c r="AV146" s="85">
        <v>43414</v>
      </c>
      <c r="AW146" s="123">
        <v>43434</v>
      </c>
      <c r="AX146" s="123">
        <v>43454</v>
      </c>
      <c r="AY146" s="132">
        <v>52800</v>
      </c>
      <c r="AZ146" s="132">
        <f>ROUNDDOWN(AY146+(AY146*MASTER!$A$2/100),0)</f>
        <v>57024</v>
      </c>
      <c r="BC146" s="88">
        <v>0</v>
      </c>
      <c r="BG146" s="88">
        <v>0</v>
      </c>
      <c r="BK146" s="88">
        <v>0</v>
      </c>
      <c r="BS146" s="88">
        <v>0</v>
      </c>
      <c r="BV146" s="89">
        <v>59400</v>
      </c>
      <c r="BW146" s="89">
        <v>0</v>
      </c>
      <c r="BX146" s="89">
        <v>43397</v>
      </c>
      <c r="BY146" s="89">
        <v>59400</v>
      </c>
      <c r="BZ146" s="112">
        <v>100</v>
      </c>
      <c r="CK146" s="88">
        <v>0</v>
      </c>
    </row>
    <row r="147" spans="1:89" x14ac:dyDescent="0.15">
      <c r="A147" s="84">
        <v>1</v>
      </c>
      <c r="B147" s="85">
        <v>43399</v>
      </c>
      <c r="C147" s="85">
        <v>43402</v>
      </c>
      <c r="F147" s="85" t="s">
        <v>338</v>
      </c>
      <c r="H147" s="85" t="s">
        <v>338</v>
      </c>
      <c r="J147" s="84">
        <v>2</v>
      </c>
      <c r="L147" s="84" t="s">
        <v>584</v>
      </c>
      <c r="M147" s="85">
        <v>43397</v>
      </c>
      <c r="N147" s="85" t="s">
        <v>265</v>
      </c>
      <c r="O147" s="86" t="s">
        <v>340</v>
      </c>
      <c r="P147" s="84" t="s">
        <v>272</v>
      </c>
      <c r="Q147" s="86" t="s">
        <v>107</v>
      </c>
      <c r="R147" s="86" t="s">
        <v>628</v>
      </c>
      <c r="S147" s="87" t="s">
        <v>449</v>
      </c>
      <c r="T147" s="87" t="s">
        <v>629</v>
      </c>
      <c r="U147" s="88">
        <v>22400</v>
      </c>
      <c r="V147" s="88">
        <v>24192</v>
      </c>
      <c r="W147" s="88">
        <v>22400</v>
      </c>
      <c r="X147" s="88">
        <v>24192</v>
      </c>
      <c r="Z147" s="88">
        <v>0</v>
      </c>
      <c r="AD147" s="84">
        <v>0</v>
      </c>
      <c r="AG147" s="84">
        <v>0</v>
      </c>
      <c r="AJ147" s="84">
        <v>0</v>
      </c>
      <c r="AR147" s="85">
        <v>43398</v>
      </c>
      <c r="AS147" s="84">
        <v>6001612268</v>
      </c>
      <c r="AT147" s="85">
        <v>43399</v>
      </c>
      <c r="AU147" s="84" t="s">
        <v>664</v>
      </c>
      <c r="AV147" s="85">
        <v>43402</v>
      </c>
      <c r="AW147" s="123">
        <v>43404</v>
      </c>
      <c r="AX147" s="123">
        <v>43424</v>
      </c>
      <c r="AY147" s="132">
        <v>21504</v>
      </c>
      <c r="AZ147" s="132">
        <f>ROUNDDOWN(AY147+(AY147*MASTER!$A$2/100),0)</f>
        <v>23224</v>
      </c>
      <c r="BC147" s="88">
        <v>0</v>
      </c>
      <c r="BG147" s="88">
        <v>0</v>
      </c>
      <c r="BK147" s="88">
        <v>0</v>
      </c>
      <c r="BS147" s="88">
        <v>0</v>
      </c>
      <c r="BV147" s="89">
        <v>24192</v>
      </c>
      <c r="BW147" s="89">
        <v>0</v>
      </c>
      <c r="BX147" s="89">
        <v>43397</v>
      </c>
      <c r="BY147" s="89">
        <v>24192</v>
      </c>
      <c r="BZ147" s="112">
        <v>100</v>
      </c>
    </row>
    <row r="148" spans="1:89" x14ac:dyDescent="0.15">
      <c r="A148" s="84">
        <v>2</v>
      </c>
      <c r="C148" s="85" t="s">
        <v>338</v>
      </c>
      <c r="F148" s="85" t="s">
        <v>338</v>
      </c>
      <c r="H148" s="85" t="s">
        <v>338</v>
      </c>
      <c r="J148" s="84">
        <v>4</v>
      </c>
      <c r="L148" s="84">
        <v>0</v>
      </c>
      <c r="M148" s="85">
        <v>43397</v>
      </c>
      <c r="N148" s="85" t="s">
        <v>265</v>
      </c>
      <c r="O148" s="86" t="s">
        <v>340</v>
      </c>
      <c r="P148" s="84" t="s">
        <v>78</v>
      </c>
      <c r="Q148" s="86" t="s">
        <v>107</v>
      </c>
      <c r="R148" s="86" t="s">
        <v>585</v>
      </c>
      <c r="S148" s="87" t="s">
        <v>562</v>
      </c>
      <c r="T148" s="87" t="s">
        <v>586</v>
      </c>
      <c r="U148" s="88">
        <v>0</v>
      </c>
      <c r="V148" s="88">
        <v>0</v>
      </c>
      <c r="W148" s="88">
        <v>0</v>
      </c>
      <c r="X148" s="88">
        <v>0</v>
      </c>
      <c r="Y148" s="88">
        <v>0</v>
      </c>
      <c r="Z148" s="88">
        <v>0</v>
      </c>
      <c r="AA148" s="85">
        <v>43364</v>
      </c>
      <c r="AB148" s="85">
        <v>43393</v>
      </c>
      <c r="AD148" s="84">
        <v>0</v>
      </c>
      <c r="AG148" s="84">
        <v>0</v>
      </c>
      <c r="AJ148" s="84">
        <v>0</v>
      </c>
      <c r="AN148" s="84" t="s">
        <v>338</v>
      </c>
      <c r="AY148" s="132">
        <f>ROUNDDOWN((0.96*U148),0)</f>
        <v>0</v>
      </c>
      <c r="AZ148" s="132">
        <f>ROUNDDOWN(AY148+(AY148*MASTER!$A$2/100),0)</f>
        <v>0</v>
      </c>
      <c r="BA148" s="84" t="s">
        <v>289</v>
      </c>
      <c r="BB148" s="88">
        <v>501417</v>
      </c>
      <c r="BC148" s="88">
        <v>541530.36</v>
      </c>
      <c r="BD148" s="84" t="s">
        <v>188</v>
      </c>
      <c r="BG148" s="88">
        <v>0</v>
      </c>
      <c r="BK148" s="88">
        <v>0</v>
      </c>
      <c r="BS148" s="88">
        <v>0</v>
      </c>
      <c r="BV148" s="89">
        <v>0</v>
      </c>
      <c r="BW148" s="89">
        <v>541530.36</v>
      </c>
      <c r="BX148" s="89">
        <v>43397</v>
      </c>
      <c r="BY148" s="89">
        <v>-541530.36</v>
      </c>
      <c r="BZ148" s="112" t="s">
        <v>338</v>
      </c>
    </row>
    <row r="149" spans="1:89" x14ac:dyDescent="0.15">
      <c r="A149" s="84">
        <v>2</v>
      </c>
      <c r="B149" s="85">
        <v>43409</v>
      </c>
      <c r="C149" s="85">
        <v>43409</v>
      </c>
      <c r="D149" s="85">
        <v>43402</v>
      </c>
      <c r="E149" s="85">
        <v>43402</v>
      </c>
      <c r="F149" s="85" t="s">
        <v>338</v>
      </c>
      <c r="G149" s="85">
        <v>43402</v>
      </c>
      <c r="H149" s="85" t="s">
        <v>338</v>
      </c>
      <c r="I149" s="84" t="s">
        <v>380</v>
      </c>
      <c r="J149" s="84">
        <v>2</v>
      </c>
      <c r="L149" s="84">
        <v>0</v>
      </c>
      <c r="M149" s="85">
        <v>43398</v>
      </c>
      <c r="N149" s="85" t="s">
        <v>265</v>
      </c>
      <c r="O149" s="86" t="s">
        <v>340</v>
      </c>
      <c r="P149" s="84" t="s">
        <v>6</v>
      </c>
      <c r="Q149" s="86" t="s">
        <v>107</v>
      </c>
      <c r="R149" s="86" t="s">
        <v>661</v>
      </c>
      <c r="S149" s="87" t="s">
        <v>442</v>
      </c>
      <c r="T149" s="87" t="s">
        <v>342</v>
      </c>
      <c r="U149" s="88">
        <v>35000</v>
      </c>
      <c r="V149" s="88">
        <v>37800</v>
      </c>
      <c r="W149" s="88">
        <v>35000</v>
      </c>
      <c r="X149" s="88">
        <v>37800</v>
      </c>
      <c r="Z149" s="88">
        <v>0</v>
      </c>
      <c r="AA149" s="85">
        <v>43399</v>
      </c>
      <c r="AB149" s="85">
        <v>43399</v>
      </c>
      <c r="AD149" s="84">
        <v>0</v>
      </c>
      <c r="AG149" s="84">
        <v>0</v>
      </c>
      <c r="AJ149" s="84">
        <v>0</v>
      </c>
      <c r="AN149" s="84" t="s">
        <v>338</v>
      </c>
      <c r="AR149" s="85">
        <v>43405</v>
      </c>
      <c r="AS149" s="84">
        <v>6001614418</v>
      </c>
      <c r="AT149" s="85">
        <v>43406</v>
      </c>
      <c r="AU149" s="84" t="s">
        <v>744</v>
      </c>
      <c r="AV149" s="85">
        <v>43409</v>
      </c>
      <c r="AW149" s="123">
        <v>43434</v>
      </c>
      <c r="AX149" s="123">
        <v>43454</v>
      </c>
      <c r="AY149" s="132">
        <v>33600</v>
      </c>
      <c r="AZ149" s="132">
        <f>ROUNDDOWN(AY149+(AY149*MASTER!$A$2/100),0)</f>
        <v>36288</v>
      </c>
      <c r="BA149" s="84" t="s">
        <v>745</v>
      </c>
      <c r="BB149" s="88">
        <v>30000</v>
      </c>
      <c r="BC149" s="88">
        <v>32400</v>
      </c>
      <c r="BD149" s="84" t="s">
        <v>188</v>
      </c>
      <c r="BG149" s="88">
        <v>0</v>
      </c>
      <c r="BK149" s="88">
        <v>0</v>
      </c>
      <c r="BS149" s="88">
        <v>0</v>
      </c>
      <c r="BV149" s="89">
        <v>37800</v>
      </c>
      <c r="BW149" s="89">
        <v>32400</v>
      </c>
      <c r="BX149" s="89">
        <v>43398</v>
      </c>
      <c r="BY149" s="89">
        <v>5400</v>
      </c>
      <c r="BZ149" s="112">
        <v>14.285714285714285</v>
      </c>
      <c r="CK149" s="88">
        <v>0</v>
      </c>
    </row>
    <row r="150" spans="1:89" x14ac:dyDescent="0.15">
      <c r="A150" s="84">
        <v>2</v>
      </c>
      <c r="B150" s="85">
        <v>43451</v>
      </c>
      <c r="C150" s="85">
        <v>43459</v>
      </c>
      <c r="D150" s="85">
        <v>43512</v>
      </c>
      <c r="F150" s="85">
        <v>43468</v>
      </c>
      <c r="G150" s="85">
        <v>43460</v>
      </c>
      <c r="H150" s="85">
        <v>43464</v>
      </c>
      <c r="I150" s="84" t="s">
        <v>776</v>
      </c>
      <c r="J150" s="84">
        <v>1</v>
      </c>
      <c r="L150" s="84">
        <v>0</v>
      </c>
      <c r="M150" s="85">
        <v>43398</v>
      </c>
      <c r="N150" s="85" t="s">
        <v>265</v>
      </c>
      <c r="O150" s="86" t="s">
        <v>340</v>
      </c>
      <c r="P150" s="84" t="s">
        <v>26</v>
      </c>
      <c r="Q150" s="86" t="s">
        <v>107</v>
      </c>
      <c r="R150" s="86" t="s">
        <v>1290</v>
      </c>
      <c r="S150" s="87" t="s">
        <v>1024</v>
      </c>
      <c r="T150" s="87" t="s">
        <v>1291</v>
      </c>
      <c r="U150" s="88">
        <v>214800</v>
      </c>
      <c r="V150" s="88">
        <v>231984</v>
      </c>
      <c r="W150" s="88">
        <v>102800</v>
      </c>
      <c r="X150" s="88">
        <v>111024</v>
      </c>
      <c r="Y150" s="88">
        <v>112000</v>
      </c>
      <c r="Z150" s="88">
        <v>120960</v>
      </c>
      <c r="AA150" s="85">
        <v>43459</v>
      </c>
      <c r="AB150" s="85">
        <v>43461</v>
      </c>
      <c r="AC150" s="85">
        <v>43461</v>
      </c>
      <c r="AD150" s="84">
        <v>0</v>
      </c>
      <c r="AG150" s="84">
        <v>0</v>
      </c>
      <c r="AJ150" s="84">
        <v>0</v>
      </c>
      <c r="AM150" s="84" t="s">
        <v>290</v>
      </c>
      <c r="AN150" s="84" t="s">
        <v>1292</v>
      </c>
      <c r="AR150" s="85">
        <v>43418</v>
      </c>
      <c r="AS150" s="84">
        <v>6001619467</v>
      </c>
      <c r="AT150" s="85">
        <v>43418</v>
      </c>
      <c r="AU150" s="84" t="s">
        <v>880</v>
      </c>
      <c r="AV150" s="85">
        <v>43459</v>
      </c>
      <c r="AW150" s="123">
        <v>43465</v>
      </c>
      <c r="AX150" s="123">
        <v>43485</v>
      </c>
      <c r="AY150" s="132">
        <v>206208</v>
      </c>
      <c r="AZ150" s="132">
        <f>ROUNDDOWN(AY150+(AY150*MASTER!$A$2/100),0)</f>
        <v>222704</v>
      </c>
      <c r="BA150" s="84" t="s">
        <v>778</v>
      </c>
      <c r="BC150" s="88">
        <v>0</v>
      </c>
      <c r="BG150" s="88">
        <v>0</v>
      </c>
      <c r="BI150" s="84" t="s">
        <v>434</v>
      </c>
      <c r="BJ150" s="88">
        <v>72800</v>
      </c>
      <c r="BK150" s="88">
        <v>78624</v>
      </c>
      <c r="BL150" s="84" t="s">
        <v>1138</v>
      </c>
      <c r="BS150" s="88">
        <v>0</v>
      </c>
      <c r="BV150" s="89">
        <v>111024</v>
      </c>
      <c r="BW150" s="89">
        <v>78624</v>
      </c>
      <c r="BX150" s="89">
        <v>43398</v>
      </c>
      <c r="BY150" s="89">
        <v>32400</v>
      </c>
      <c r="BZ150" s="112">
        <v>29.18287937743191</v>
      </c>
      <c r="CK150" s="88">
        <v>6300</v>
      </c>
    </row>
    <row r="151" spans="1:89" x14ac:dyDescent="0.15">
      <c r="A151" s="84">
        <v>2</v>
      </c>
      <c r="B151" s="85">
        <v>43454</v>
      </c>
      <c r="C151" s="85">
        <v>43477</v>
      </c>
      <c r="D151" s="85">
        <v>43483</v>
      </c>
      <c r="F151" s="85">
        <v>43484</v>
      </c>
      <c r="G151" s="85">
        <v>43483</v>
      </c>
      <c r="H151" s="85">
        <v>43480</v>
      </c>
      <c r="I151" s="84" t="s">
        <v>401</v>
      </c>
      <c r="J151" s="84">
        <v>1</v>
      </c>
      <c r="L151" s="84">
        <v>0</v>
      </c>
      <c r="M151" s="85">
        <v>43398</v>
      </c>
      <c r="N151" s="85" t="s">
        <v>265</v>
      </c>
      <c r="O151" s="86" t="s">
        <v>340</v>
      </c>
      <c r="P151" s="84" t="s">
        <v>26</v>
      </c>
      <c r="Q151" s="86" t="s">
        <v>107</v>
      </c>
      <c r="R151" s="86" t="s">
        <v>1373</v>
      </c>
      <c r="S151" s="87" t="s">
        <v>955</v>
      </c>
      <c r="T151" s="87" t="s">
        <v>1374</v>
      </c>
      <c r="U151" s="88">
        <v>1542320</v>
      </c>
      <c r="V151" s="88">
        <v>1665705.6</v>
      </c>
      <c r="W151" s="88">
        <v>1360620</v>
      </c>
      <c r="X151" s="88">
        <v>1469469.6</v>
      </c>
      <c r="Y151" s="88">
        <v>181700</v>
      </c>
      <c r="Z151" s="88">
        <v>196236</v>
      </c>
      <c r="AA151" s="85">
        <v>43472</v>
      </c>
      <c r="AB151" s="85">
        <v>43477</v>
      </c>
      <c r="AC151" s="85">
        <v>43477</v>
      </c>
      <c r="AD151" s="84">
        <v>0</v>
      </c>
      <c r="AG151" s="84">
        <v>0</v>
      </c>
      <c r="AJ151" s="84">
        <v>0</v>
      </c>
      <c r="AM151" s="84" t="s">
        <v>290</v>
      </c>
      <c r="AN151" s="84" t="s">
        <v>1375</v>
      </c>
      <c r="AR151" s="85">
        <v>43430</v>
      </c>
      <c r="AS151" s="84">
        <v>6001623402</v>
      </c>
      <c r="AT151" s="85">
        <v>43430</v>
      </c>
      <c r="AU151" s="84" t="s">
        <v>980</v>
      </c>
      <c r="AV151" s="85">
        <v>43477</v>
      </c>
      <c r="AW151" s="123">
        <v>43496</v>
      </c>
      <c r="AX151" s="123">
        <v>43516</v>
      </c>
      <c r="AY151" s="132">
        <v>1480627</v>
      </c>
      <c r="AZ151" s="132">
        <f>ROUNDDOWN(AY151+(AY151*MASTER!$A$2/100),0)</f>
        <v>1599077</v>
      </c>
      <c r="BA151" s="84" t="s">
        <v>778</v>
      </c>
      <c r="BC151" s="88">
        <v>0</v>
      </c>
      <c r="BG151" s="88">
        <v>0</v>
      </c>
      <c r="BI151" s="84" t="s">
        <v>276</v>
      </c>
      <c r="BJ151" s="88">
        <v>118105</v>
      </c>
      <c r="BK151" s="88">
        <v>127553.4</v>
      </c>
      <c r="BL151" s="84" t="s">
        <v>1421</v>
      </c>
      <c r="BS151" s="88">
        <v>0</v>
      </c>
      <c r="BV151" s="89">
        <v>1469469.6</v>
      </c>
      <c r="BW151" s="89">
        <v>127553.4</v>
      </c>
      <c r="BX151" s="89">
        <v>43398</v>
      </c>
      <c r="BY151" s="89">
        <v>1341916.2</v>
      </c>
      <c r="BZ151" s="112">
        <v>91.319765989034423</v>
      </c>
      <c r="CK151" s="88">
        <v>105000</v>
      </c>
    </row>
    <row r="152" spans="1:89" x14ac:dyDescent="0.15">
      <c r="A152" s="84">
        <v>2</v>
      </c>
      <c r="B152" s="85">
        <v>43441</v>
      </c>
      <c r="C152" s="85">
        <v>43453</v>
      </c>
      <c r="D152" s="85">
        <v>43467</v>
      </c>
      <c r="F152" s="85">
        <v>43460</v>
      </c>
      <c r="G152" s="85">
        <v>43452</v>
      </c>
      <c r="H152" s="85">
        <v>43456</v>
      </c>
      <c r="I152" s="84" t="s">
        <v>401</v>
      </c>
      <c r="J152" s="84">
        <v>1</v>
      </c>
      <c r="L152" s="84">
        <v>0</v>
      </c>
      <c r="M152" s="85">
        <v>43399</v>
      </c>
      <c r="N152" s="85" t="s">
        <v>265</v>
      </c>
      <c r="O152" s="86" t="s">
        <v>340</v>
      </c>
      <c r="P152" s="84" t="s">
        <v>26</v>
      </c>
      <c r="Q152" s="86" t="s">
        <v>107</v>
      </c>
      <c r="R152" s="86" t="s">
        <v>597</v>
      </c>
      <c r="S152" s="87" t="s">
        <v>598</v>
      </c>
      <c r="T152" s="87" t="s">
        <v>599</v>
      </c>
      <c r="U152" s="88">
        <v>83000</v>
      </c>
      <c r="V152" s="88">
        <v>89640</v>
      </c>
      <c r="W152" s="88">
        <v>71000</v>
      </c>
      <c r="X152" s="88">
        <v>76680</v>
      </c>
      <c r="Y152" s="88">
        <v>12000</v>
      </c>
      <c r="Z152" s="88">
        <v>12960</v>
      </c>
      <c r="AA152" s="85">
        <v>43451</v>
      </c>
      <c r="AB152" s="85">
        <v>43453</v>
      </c>
      <c r="AC152" s="85">
        <v>43453</v>
      </c>
      <c r="AD152" s="84">
        <v>0</v>
      </c>
      <c r="AG152" s="84">
        <v>0</v>
      </c>
      <c r="AJ152" s="84">
        <v>0</v>
      </c>
      <c r="AM152" s="84" t="s">
        <v>290</v>
      </c>
      <c r="AN152" s="84" t="s">
        <v>1106</v>
      </c>
      <c r="AR152" s="85">
        <v>43419</v>
      </c>
      <c r="AS152" s="84">
        <v>6001619965</v>
      </c>
      <c r="AT152" s="85">
        <v>43420</v>
      </c>
      <c r="AU152" s="84" t="s">
        <v>892</v>
      </c>
      <c r="AV152" s="85">
        <v>43453</v>
      </c>
      <c r="AW152" s="123">
        <v>43465</v>
      </c>
      <c r="AX152" s="123">
        <v>43485</v>
      </c>
      <c r="AY152" s="132">
        <v>79680</v>
      </c>
      <c r="AZ152" s="132">
        <f>ROUNDDOWN(AY152+(AY152*MASTER!$A$2/100),0)</f>
        <v>86054</v>
      </c>
      <c r="BA152" s="84" t="s">
        <v>543</v>
      </c>
      <c r="BB152" s="88">
        <v>50000</v>
      </c>
      <c r="BC152" s="88">
        <v>54000</v>
      </c>
      <c r="BD152" s="84" t="s">
        <v>190</v>
      </c>
      <c r="BG152" s="88">
        <v>0</v>
      </c>
      <c r="BK152" s="88">
        <v>0</v>
      </c>
      <c r="BS152" s="88">
        <v>0</v>
      </c>
      <c r="BV152" s="89">
        <v>76680</v>
      </c>
      <c r="BW152" s="89">
        <v>54000</v>
      </c>
      <c r="BX152" s="89">
        <v>43399</v>
      </c>
      <c r="BY152" s="89">
        <v>22680</v>
      </c>
      <c r="BZ152" s="112">
        <v>29.577464788732392</v>
      </c>
    </row>
    <row r="153" spans="1:89" x14ac:dyDescent="0.15">
      <c r="A153" s="84">
        <v>2</v>
      </c>
      <c r="B153" s="85">
        <v>43431</v>
      </c>
      <c r="C153" s="85">
        <v>43439</v>
      </c>
      <c r="D153" s="85">
        <v>43467</v>
      </c>
      <c r="F153" s="85">
        <v>43445</v>
      </c>
      <c r="G153" s="85">
        <v>43439</v>
      </c>
      <c r="H153" s="85">
        <v>43441</v>
      </c>
      <c r="I153" s="84" t="s">
        <v>401</v>
      </c>
      <c r="J153" s="84">
        <v>1</v>
      </c>
      <c r="L153" s="84">
        <v>0</v>
      </c>
      <c r="M153" s="85">
        <v>43399</v>
      </c>
      <c r="N153" s="85" t="s">
        <v>265</v>
      </c>
      <c r="O153" s="86" t="s">
        <v>340</v>
      </c>
      <c r="P153" s="84" t="s">
        <v>26</v>
      </c>
      <c r="Q153" s="86" t="s">
        <v>107</v>
      </c>
      <c r="R153" s="86" t="s">
        <v>1208</v>
      </c>
      <c r="S153" s="87" t="s">
        <v>600</v>
      </c>
      <c r="T153" s="87" t="s">
        <v>599</v>
      </c>
      <c r="U153" s="88">
        <v>83000</v>
      </c>
      <c r="V153" s="88">
        <v>89640</v>
      </c>
      <c r="W153" s="88">
        <v>71000</v>
      </c>
      <c r="X153" s="88">
        <v>76680</v>
      </c>
      <c r="Y153" s="88">
        <v>12000</v>
      </c>
      <c r="Z153" s="88">
        <v>12960</v>
      </c>
      <c r="AA153" s="85">
        <v>43437</v>
      </c>
      <c r="AB153" s="85">
        <v>43438</v>
      </c>
      <c r="AC153" s="85">
        <v>43438</v>
      </c>
      <c r="AD153" s="84">
        <v>0</v>
      </c>
      <c r="AG153" s="84">
        <v>0</v>
      </c>
      <c r="AJ153" s="84">
        <v>0</v>
      </c>
      <c r="AM153" s="84" t="s">
        <v>290</v>
      </c>
      <c r="AN153" s="84" t="s">
        <v>1209</v>
      </c>
      <c r="AR153" s="85">
        <v>43420</v>
      </c>
      <c r="AS153" s="84">
        <v>6001620387</v>
      </c>
      <c r="AT153" s="85">
        <v>43420</v>
      </c>
      <c r="AU153" s="84" t="s">
        <v>891</v>
      </c>
      <c r="AV153" s="85">
        <v>43439</v>
      </c>
      <c r="AW153" s="123">
        <v>43465</v>
      </c>
      <c r="AX153" s="123">
        <v>43485</v>
      </c>
      <c r="AY153" s="132">
        <v>79680</v>
      </c>
      <c r="AZ153" s="132">
        <f>ROUNDDOWN(AY153+(AY153*MASTER!$A$2/100),0)</f>
        <v>86054</v>
      </c>
      <c r="BA153" s="84" t="s">
        <v>543</v>
      </c>
      <c r="BB153" s="88">
        <v>46000</v>
      </c>
      <c r="BC153" s="88">
        <v>49680</v>
      </c>
      <c r="BD153" s="84" t="s">
        <v>190</v>
      </c>
      <c r="BG153" s="88">
        <v>0</v>
      </c>
      <c r="BI153" s="84" t="s">
        <v>434</v>
      </c>
      <c r="BJ153" s="88">
        <v>7800</v>
      </c>
      <c r="BK153" s="88">
        <v>8424</v>
      </c>
      <c r="BL153" s="84" t="s">
        <v>190</v>
      </c>
      <c r="BS153" s="88">
        <v>0</v>
      </c>
      <c r="BV153" s="89">
        <v>76680</v>
      </c>
      <c r="BW153" s="89">
        <v>58104</v>
      </c>
      <c r="BX153" s="89">
        <v>43399</v>
      </c>
      <c r="BY153" s="89">
        <v>18576</v>
      </c>
      <c r="BZ153" s="112">
        <v>24.225352112676056</v>
      </c>
    </row>
    <row r="154" spans="1:89" x14ac:dyDescent="0.15">
      <c r="A154" s="84">
        <v>2</v>
      </c>
      <c r="B154" s="85">
        <v>43451</v>
      </c>
      <c r="C154" s="85">
        <v>43453</v>
      </c>
      <c r="F154" s="85">
        <v>43460</v>
      </c>
      <c r="H154" s="85">
        <v>43456</v>
      </c>
      <c r="I154" s="84" t="s">
        <v>401</v>
      </c>
      <c r="J154" s="84">
        <v>1</v>
      </c>
      <c r="K154" s="85">
        <v>43445</v>
      </c>
      <c r="L154" s="84" t="s">
        <v>1210</v>
      </c>
      <c r="M154" s="85">
        <v>43399</v>
      </c>
      <c r="N154" s="85" t="s">
        <v>265</v>
      </c>
      <c r="O154" s="86" t="s">
        <v>340</v>
      </c>
      <c r="P154" s="84" t="s">
        <v>26</v>
      </c>
      <c r="Q154" s="86" t="s">
        <v>107</v>
      </c>
      <c r="R154" s="86" t="s">
        <v>1203</v>
      </c>
      <c r="S154" s="87" t="s">
        <v>1204</v>
      </c>
      <c r="T154" s="87" t="s">
        <v>599</v>
      </c>
      <c r="U154" s="88">
        <v>67000</v>
      </c>
      <c r="V154" s="88">
        <v>72360</v>
      </c>
      <c r="W154" s="88">
        <v>55000</v>
      </c>
      <c r="X154" s="88">
        <v>59400</v>
      </c>
      <c r="Y154" s="88">
        <v>12000</v>
      </c>
      <c r="Z154" s="88">
        <v>12960</v>
      </c>
      <c r="AA154" s="85">
        <v>43452</v>
      </c>
      <c r="AB154" s="85">
        <v>43453</v>
      </c>
      <c r="AC154" s="85">
        <v>43453</v>
      </c>
      <c r="AD154" s="84">
        <v>0</v>
      </c>
      <c r="AG154" s="84">
        <v>0</v>
      </c>
      <c r="AJ154" s="84">
        <v>0</v>
      </c>
      <c r="AM154" s="84" t="s">
        <v>290</v>
      </c>
      <c r="AN154" s="84" t="s">
        <v>1205</v>
      </c>
      <c r="AR154" s="85">
        <v>43448</v>
      </c>
      <c r="AS154" s="84">
        <v>6001630339</v>
      </c>
      <c r="AT154" s="85">
        <v>43448</v>
      </c>
      <c r="AU154" s="84" t="s">
        <v>1262</v>
      </c>
      <c r="AV154" s="85">
        <v>43453</v>
      </c>
      <c r="AW154" s="123">
        <v>43465</v>
      </c>
      <c r="AX154" s="123">
        <v>43485</v>
      </c>
      <c r="AY154" s="132">
        <v>64320</v>
      </c>
      <c r="AZ154" s="132">
        <f>ROUNDDOWN(AY154+(AY154*MASTER!$A$2/100),0)</f>
        <v>69465</v>
      </c>
      <c r="BA154" s="84" t="s">
        <v>543</v>
      </c>
      <c r="BB154" s="88">
        <v>50000</v>
      </c>
      <c r="BC154" s="88">
        <v>54000</v>
      </c>
      <c r="BD154" s="84" t="s">
        <v>190</v>
      </c>
      <c r="BG154" s="88">
        <v>0</v>
      </c>
      <c r="BI154" s="84" t="s">
        <v>434</v>
      </c>
      <c r="BJ154" s="88">
        <v>7800</v>
      </c>
      <c r="BK154" s="88">
        <v>8424</v>
      </c>
      <c r="BL154" s="84" t="s">
        <v>190</v>
      </c>
      <c r="BS154" s="88">
        <v>0</v>
      </c>
      <c r="BV154" s="89">
        <v>59400</v>
      </c>
      <c r="BW154" s="89">
        <v>62424</v>
      </c>
      <c r="BX154" s="89">
        <v>0</v>
      </c>
      <c r="BY154" s="89">
        <v>43445</v>
      </c>
      <c r="BZ154" s="112">
        <v>-5.0909090909090908</v>
      </c>
    </row>
    <row r="155" spans="1:89" x14ac:dyDescent="0.15">
      <c r="A155" s="84">
        <v>2</v>
      </c>
      <c r="B155" s="85">
        <v>43431</v>
      </c>
      <c r="C155" s="85">
        <v>43446</v>
      </c>
      <c r="D155" s="85">
        <v>43467</v>
      </c>
      <c r="F155" s="85">
        <v>43453</v>
      </c>
      <c r="G155" s="85">
        <v>43446</v>
      </c>
      <c r="H155" s="85">
        <v>43449</v>
      </c>
      <c r="I155" s="84" t="s">
        <v>401</v>
      </c>
      <c r="J155" s="84">
        <v>1</v>
      </c>
      <c r="L155" s="84">
        <v>0</v>
      </c>
      <c r="M155" s="85">
        <v>43399</v>
      </c>
      <c r="N155" s="85" t="s">
        <v>265</v>
      </c>
      <c r="O155" s="86" t="s">
        <v>340</v>
      </c>
      <c r="P155" s="84" t="s">
        <v>26</v>
      </c>
      <c r="Q155" s="86" t="s">
        <v>107</v>
      </c>
      <c r="R155" s="86" t="s">
        <v>601</v>
      </c>
      <c r="S155" s="87" t="s">
        <v>602</v>
      </c>
      <c r="T155" s="87" t="s">
        <v>599</v>
      </c>
      <c r="U155" s="88">
        <v>83000</v>
      </c>
      <c r="V155" s="88">
        <v>89640</v>
      </c>
      <c r="W155" s="88">
        <v>71000</v>
      </c>
      <c r="X155" s="88">
        <v>76680</v>
      </c>
      <c r="Y155" s="88">
        <v>12000</v>
      </c>
      <c r="Z155" s="88">
        <v>12960</v>
      </c>
      <c r="AA155" s="85">
        <v>43444</v>
      </c>
      <c r="AB155" s="85">
        <v>43446</v>
      </c>
      <c r="AC155" s="85">
        <v>43446</v>
      </c>
      <c r="AD155" s="84">
        <v>0</v>
      </c>
      <c r="AG155" s="84">
        <v>0</v>
      </c>
      <c r="AJ155" s="84">
        <v>0</v>
      </c>
      <c r="AM155" s="84" t="s">
        <v>290</v>
      </c>
      <c r="AN155" s="84" t="s">
        <v>603</v>
      </c>
      <c r="AR155" s="85">
        <v>43424</v>
      </c>
      <c r="AS155" s="84">
        <v>6001621818</v>
      </c>
      <c r="AT155" s="85">
        <v>43425</v>
      </c>
      <c r="AU155" s="84" t="s">
        <v>949</v>
      </c>
      <c r="AV155" s="85">
        <v>43446</v>
      </c>
      <c r="AW155" s="123">
        <v>43465</v>
      </c>
      <c r="AX155" s="123">
        <v>43485</v>
      </c>
      <c r="AY155" s="132">
        <v>79680</v>
      </c>
      <c r="AZ155" s="132">
        <f>ROUNDDOWN(AY155+(AY155*MASTER!$A$2/100),0)</f>
        <v>86054</v>
      </c>
      <c r="BA155" s="84" t="s">
        <v>543</v>
      </c>
      <c r="BB155" s="88">
        <v>48000</v>
      </c>
      <c r="BC155" s="88">
        <v>51840</v>
      </c>
      <c r="BD155" s="84" t="s">
        <v>190</v>
      </c>
      <c r="BG155" s="88">
        <v>0</v>
      </c>
      <c r="BI155" s="84" t="s">
        <v>434</v>
      </c>
      <c r="BJ155" s="88">
        <v>7800</v>
      </c>
      <c r="BK155" s="88">
        <v>8424</v>
      </c>
      <c r="BL155" s="84" t="s">
        <v>190</v>
      </c>
      <c r="BS155" s="88">
        <v>0</v>
      </c>
      <c r="BV155" s="89">
        <v>76680</v>
      </c>
      <c r="BW155" s="89">
        <v>60264</v>
      </c>
      <c r="BX155" s="89">
        <v>43399</v>
      </c>
      <c r="BY155" s="89">
        <v>16416</v>
      </c>
      <c r="BZ155" s="112">
        <v>21.408450704225352</v>
      </c>
    </row>
    <row r="156" spans="1:89" x14ac:dyDescent="0.15">
      <c r="A156" s="84">
        <v>2</v>
      </c>
      <c r="B156" s="85">
        <v>43423</v>
      </c>
      <c r="C156" s="85">
        <v>43434</v>
      </c>
      <c r="D156" s="85">
        <v>43470</v>
      </c>
      <c r="F156" s="85">
        <v>43441</v>
      </c>
      <c r="G156" s="85">
        <v>43441</v>
      </c>
      <c r="H156" s="85">
        <v>43437</v>
      </c>
      <c r="I156" s="84" t="s">
        <v>776</v>
      </c>
      <c r="J156" s="84">
        <v>1</v>
      </c>
      <c r="L156" s="84">
        <v>0</v>
      </c>
      <c r="M156" s="85">
        <v>43399</v>
      </c>
      <c r="N156" s="85" t="s">
        <v>265</v>
      </c>
      <c r="O156" s="86" t="s">
        <v>340</v>
      </c>
      <c r="P156" s="84" t="s">
        <v>26</v>
      </c>
      <c r="Q156" s="86" t="s">
        <v>107</v>
      </c>
      <c r="R156" s="86" t="s">
        <v>604</v>
      </c>
      <c r="S156" s="87" t="s">
        <v>605</v>
      </c>
      <c r="T156" s="87" t="s">
        <v>606</v>
      </c>
      <c r="U156" s="88">
        <v>65200</v>
      </c>
      <c r="V156" s="88">
        <v>70416</v>
      </c>
      <c r="W156" s="88">
        <v>47000</v>
      </c>
      <c r="X156" s="88">
        <v>50760</v>
      </c>
      <c r="Y156" s="88">
        <v>18200</v>
      </c>
      <c r="Z156" s="88">
        <v>19656</v>
      </c>
      <c r="AA156" s="85">
        <v>43432</v>
      </c>
      <c r="AB156" s="85">
        <v>43434</v>
      </c>
      <c r="AC156" s="85">
        <v>43434</v>
      </c>
      <c r="AD156" s="84">
        <v>0</v>
      </c>
      <c r="AG156" s="84">
        <v>0</v>
      </c>
      <c r="AJ156" s="84">
        <v>0</v>
      </c>
      <c r="AR156" s="85">
        <v>43420</v>
      </c>
      <c r="AS156" s="84">
        <v>6001620387</v>
      </c>
      <c r="AT156" s="85">
        <v>43420</v>
      </c>
      <c r="AU156" s="84" t="s">
        <v>891</v>
      </c>
      <c r="AV156" s="85">
        <v>43434</v>
      </c>
      <c r="AW156" s="123">
        <v>43434</v>
      </c>
      <c r="AX156" s="123">
        <v>43454</v>
      </c>
      <c r="AY156" s="132">
        <v>62592</v>
      </c>
      <c r="AZ156" s="132">
        <f>ROUNDDOWN(AY156+(AY156*MASTER!$A$2/100),0)</f>
        <v>67599</v>
      </c>
      <c r="BA156" s="84" t="s">
        <v>287</v>
      </c>
      <c r="BB156" s="88">
        <v>24000</v>
      </c>
      <c r="BC156" s="88">
        <v>25920</v>
      </c>
      <c r="BD156" s="84" t="s">
        <v>190</v>
      </c>
      <c r="BG156" s="88">
        <v>0</v>
      </c>
      <c r="BI156" s="84" t="s">
        <v>434</v>
      </c>
      <c r="BJ156" s="88">
        <v>11830</v>
      </c>
      <c r="BK156" s="88">
        <v>12776.4</v>
      </c>
      <c r="BL156" s="84" t="s">
        <v>190</v>
      </c>
      <c r="BS156" s="88">
        <v>0</v>
      </c>
      <c r="BV156" s="89">
        <v>50760</v>
      </c>
      <c r="BW156" s="89">
        <v>38696.400000000001</v>
      </c>
      <c r="BX156" s="89">
        <v>43399</v>
      </c>
      <c r="BY156" s="89">
        <v>12063.6</v>
      </c>
      <c r="BZ156" s="112">
        <v>23.765957446808507</v>
      </c>
    </row>
    <row r="157" spans="1:89" x14ac:dyDescent="0.15">
      <c r="A157" s="84">
        <v>1</v>
      </c>
      <c r="B157" s="85">
        <v>43409</v>
      </c>
      <c r="C157" s="85">
        <v>43431</v>
      </c>
      <c r="F157" s="85" t="s">
        <v>338</v>
      </c>
      <c r="G157" s="85">
        <v>43472</v>
      </c>
      <c r="H157" s="85" t="s">
        <v>338</v>
      </c>
      <c r="I157" s="84" t="s">
        <v>776</v>
      </c>
      <c r="J157" s="84">
        <v>1</v>
      </c>
      <c r="L157" s="84">
        <v>0</v>
      </c>
      <c r="M157" s="85">
        <v>43399</v>
      </c>
      <c r="N157" s="85" t="s">
        <v>265</v>
      </c>
      <c r="O157" s="86" t="s">
        <v>340</v>
      </c>
      <c r="P157" s="84" t="s">
        <v>170</v>
      </c>
      <c r="Q157" s="86" t="s">
        <v>107</v>
      </c>
      <c r="R157" s="86" t="s">
        <v>607</v>
      </c>
      <c r="S157" s="87" t="s">
        <v>608</v>
      </c>
      <c r="T157" s="87" t="s">
        <v>609</v>
      </c>
      <c r="U157" s="88">
        <v>2939760</v>
      </c>
      <c r="V157" s="88">
        <v>3174940.8</v>
      </c>
      <c r="W157" s="88">
        <v>2672260</v>
      </c>
      <c r="X157" s="88">
        <v>2886040.8</v>
      </c>
      <c r="Y157" s="88">
        <v>267500</v>
      </c>
      <c r="Z157" s="88">
        <v>288900</v>
      </c>
      <c r="AA157" s="85">
        <v>43424</v>
      </c>
      <c r="AB157" s="85">
        <v>43431</v>
      </c>
      <c r="AD157" s="84">
        <v>0</v>
      </c>
      <c r="AG157" s="84">
        <v>0</v>
      </c>
      <c r="AJ157" s="84">
        <v>0</v>
      </c>
      <c r="AR157" s="85">
        <v>43405</v>
      </c>
      <c r="AS157" s="84">
        <v>6001614418</v>
      </c>
      <c r="AT157" s="85">
        <v>43406</v>
      </c>
      <c r="AU157" s="84" t="s">
        <v>744</v>
      </c>
      <c r="AV157" s="85">
        <v>43431</v>
      </c>
      <c r="AW157" s="123">
        <v>43434</v>
      </c>
      <c r="AX157" s="123">
        <v>43454</v>
      </c>
      <c r="AY157" s="132">
        <v>2822169</v>
      </c>
      <c r="AZ157" s="132">
        <f>ROUNDDOWN(AY157+(AY157*MASTER!$A$2/100),0)</f>
        <v>3047942</v>
      </c>
      <c r="BA157" s="84" t="s">
        <v>287</v>
      </c>
      <c r="BB157" s="88">
        <v>1600000</v>
      </c>
      <c r="BC157" s="88">
        <v>1728000</v>
      </c>
      <c r="BD157" s="84" t="s">
        <v>189</v>
      </c>
      <c r="BG157" s="88">
        <v>0</v>
      </c>
      <c r="BI157" s="84" t="s">
        <v>434</v>
      </c>
      <c r="BJ157" s="88">
        <v>173875</v>
      </c>
      <c r="BK157" s="88">
        <v>187785</v>
      </c>
      <c r="BL157" s="84" t="s">
        <v>190</v>
      </c>
      <c r="BS157" s="88">
        <v>0</v>
      </c>
      <c r="BV157" s="89">
        <v>2886040.8</v>
      </c>
      <c r="BW157" s="89">
        <v>1915785</v>
      </c>
      <c r="BX157" s="89">
        <v>43399</v>
      </c>
      <c r="BY157" s="89">
        <v>970255.8</v>
      </c>
      <c r="BZ157" s="112">
        <v>33.618921811500371</v>
      </c>
    </row>
    <row r="158" spans="1:89" x14ac:dyDescent="0.15">
      <c r="A158" s="84">
        <v>1</v>
      </c>
      <c r="B158" s="85">
        <v>43409</v>
      </c>
      <c r="C158" s="85">
        <v>43431</v>
      </c>
      <c r="F158" s="85" t="s">
        <v>338</v>
      </c>
      <c r="H158" s="85" t="s">
        <v>338</v>
      </c>
      <c r="I158" s="84" t="s">
        <v>776</v>
      </c>
      <c r="J158" s="84">
        <v>1</v>
      </c>
      <c r="L158" s="84">
        <v>0</v>
      </c>
      <c r="M158" s="85">
        <v>43399</v>
      </c>
      <c r="N158" s="85" t="s">
        <v>265</v>
      </c>
      <c r="O158" s="86" t="s">
        <v>340</v>
      </c>
      <c r="P158" s="84" t="s">
        <v>223</v>
      </c>
      <c r="Q158" s="86" t="s">
        <v>107</v>
      </c>
      <c r="R158" s="86" t="s">
        <v>610</v>
      </c>
      <c r="S158" s="87" t="s">
        <v>608</v>
      </c>
      <c r="T158" s="87" t="s">
        <v>611</v>
      </c>
      <c r="U158" s="88">
        <v>201000</v>
      </c>
      <c r="V158" s="88">
        <v>217080</v>
      </c>
      <c r="W158" s="88">
        <v>66000</v>
      </c>
      <c r="X158" s="88">
        <v>71280</v>
      </c>
      <c r="Y158" s="88">
        <v>135000</v>
      </c>
      <c r="Z158" s="88">
        <v>145800</v>
      </c>
      <c r="AA158" s="85">
        <v>43424</v>
      </c>
      <c r="AB158" s="85">
        <v>43431</v>
      </c>
      <c r="AD158" s="84">
        <v>0</v>
      </c>
      <c r="AG158" s="84">
        <v>0</v>
      </c>
      <c r="AJ158" s="84">
        <v>0</v>
      </c>
      <c r="AR158" s="85">
        <v>43405</v>
      </c>
      <c r="AS158" s="84">
        <v>6001614418</v>
      </c>
      <c r="AT158" s="85">
        <v>43406</v>
      </c>
      <c r="AU158" s="84" t="s">
        <v>744</v>
      </c>
      <c r="AV158" s="85">
        <v>43431</v>
      </c>
      <c r="AW158" s="123">
        <v>43434</v>
      </c>
      <c r="AX158" s="123">
        <v>43454</v>
      </c>
      <c r="AY158" s="132">
        <v>192960</v>
      </c>
      <c r="AZ158" s="132">
        <f>ROUNDDOWN(AY158+(AY158*MASTER!$A$2/100),0)</f>
        <v>208396</v>
      </c>
      <c r="BA158" s="84" t="s">
        <v>778</v>
      </c>
      <c r="BC158" s="88">
        <v>0</v>
      </c>
      <c r="BG158" s="88">
        <v>0</v>
      </c>
      <c r="BI158" s="84" t="s">
        <v>434</v>
      </c>
      <c r="BJ158" s="88">
        <v>87750</v>
      </c>
      <c r="BK158" s="88">
        <v>94770</v>
      </c>
      <c r="BL158" s="84" t="s">
        <v>190</v>
      </c>
      <c r="BS158" s="88">
        <v>0</v>
      </c>
      <c r="BV158" s="89">
        <v>71280</v>
      </c>
      <c r="BW158" s="89">
        <v>94770</v>
      </c>
      <c r="BX158" s="89">
        <v>43399</v>
      </c>
      <c r="BY158" s="89">
        <v>-23490</v>
      </c>
      <c r="BZ158" s="112">
        <v>-32.954545454545453</v>
      </c>
    </row>
    <row r="159" spans="1:89" x14ac:dyDescent="0.15">
      <c r="A159" s="84">
        <v>1</v>
      </c>
      <c r="B159" s="85">
        <v>43409</v>
      </c>
      <c r="C159" s="85">
        <v>43431</v>
      </c>
      <c r="F159" s="85" t="s">
        <v>338</v>
      </c>
      <c r="H159" s="85" t="s">
        <v>338</v>
      </c>
      <c r="I159" s="84" t="s">
        <v>777</v>
      </c>
      <c r="J159" s="84">
        <v>2</v>
      </c>
      <c r="L159" s="84">
        <v>0</v>
      </c>
      <c r="M159" s="85">
        <v>43399</v>
      </c>
      <c r="N159" s="85" t="s">
        <v>265</v>
      </c>
      <c r="O159" s="86" t="s">
        <v>340</v>
      </c>
      <c r="P159" s="84" t="s">
        <v>29</v>
      </c>
      <c r="Q159" s="86" t="s">
        <v>107</v>
      </c>
      <c r="R159" s="86" t="s">
        <v>612</v>
      </c>
      <c r="S159" s="87" t="s">
        <v>608</v>
      </c>
      <c r="T159" s="87" t="s">
        <v>613</v>
      </c>
      <c r="U159" s="88">
        <v>132000</v>
      </c>
      <c r="V159" s="88">
        <v>142560</v>
      </c>
      <c r="W159" s="88">
        <v>132000</v>
      </c>
      <c r="X159" s="88">
        <v>142560</v>
      </c>
      <c r="Z159" s="88">
        <v>0</v>
      </c>
      <c r="AA159" s="85">
        <v>43424</v>
      </c>
      <c r="AB159" s="85">
        <v>43431</v>
      </c>
      <c r="AD159" s="84">
        <v>0</v>
      </c>
      <c r="AG159" s="84">
        <v>0</v>
      </c>
      <c r="AJ159" s="84">
        <v>0</v>
      </c>
      <c r="AR159" s="85">
        <v>43405</v>
      </c>
      <c r="AS159" s="84">
        <v>6001614418</v>
      </c>
      <c r="AT159" s="85">
        <v>43406</v>
      </c>
      <c r="AU159" s="84" t="s">
        <v>744</v>
      </c>
      <c r="AV159" s="85">
        <v>43431</v>
      </c>
      <c r="AW159" s="123">
        <v>43434</v>
      </c>
      <c r="AX159" s="123">
        <v>43454</v>
      </c>
      <c r="AY159" s="132">
        <v>126720</v>
      </c>
      <c r="AZ159" s="132">
        <f>ROUNDDOWN(AY159+(AY159*MASTER!$A$2/100),0)</f>
        <v>136857</v>
      </c>
      <c r="BA159" s="84" t="s">
        <v>287</v>
      </c>
      <c r="BB159" s="88">
        <v>88000</v>
      </c>
      <c r="BC159" s="88">
        <v>95040</v>
      </c>
      <c r="BD159" s="84" t="s">
        <v>189</v>
      </c>
      <c r="BG159" s="88">
        <v>0</v>
      </c>
      <c r="BK159" s="88">
        <v>0</v>
      </c>
      <c r="BS159" s="88">
        <v>0</v>
      </c>
      <c r="BV159" s="89">
        <v>142560</v>
      </c>
      <c r="BW159" s="89">
        <v>95040</v>
      </c>
      <c r="BX159" s="89">
        <v>43399</v>
      </c>
      <c r="BY159" s="89">
        <v>47520</v>
      </c>
      <c r="BZ159" s="112">
        <v>33.333333333333329</v>
      </c>
    </row>
    <row r="160" spans="1:89" x14ac:dyDescent="0.15">
      <c r="A160" s="84">
        <v>2</v>
      </c>
      <c r="B160" s="85">
        <v>43451</v>
      </c>
      <c r="C160" s="85">
        <v>43461</v>
      </c>
      <c r="F160" s="85">
        <v>43467</v>
      </c>
      <c r="H160" s="85">
        <v>43463</v>
      </c>
      <c r="I160" s="84" t="s">
        <v>776</v>
      </c>
      <c r="J160" s="84">
        <v>2</v>
      </c>
      <c r="L160" s="84">
        <v>0</v>
      </c>
      <c r="M160" s="85">
        <v>43399</v>
      </c>
      <c r="N160" s="85" t="s">
        <v>265</v>
      </c>
      <c r="O160" s="86" t="s">
        <v>340</v>
      </c>
      <c r="P160" s="84" t="s">
        <v>38</v>
      </c>
      <c r="Q160" s="86" t="s">
        <v>107</v>
      </c>
      <c r="R160" s="86" t="s">
        <v>614</v>
      </c>
      <c r="S160" s="87" t="s">
        <v>608</v>
      </c>
      <c r="T160" s="87" t="s">
        <v>615</v>
      </c>
      <c r="U160" s="88">
        <v>1050000</v>
      </c>
      <c r="V160" s="88">
        <v>1134000</v>
      </c>
      <c r="W160" s="88">
        <v>1050000</v>
      </c>
      <c r="X160" s="88">
        <v>1134000</v>
      </c>
      <c r="Z160" s="88">
        <v>0</v>
      </c>
      <c r="AA160" s="85">
        <v>43460</v>
      </c>
      <c r="AB160" s="85">
        <v>43460</v>
      </c>
      <c r="AC160" s="85">
        <v>43460</v>
      </c>
      <c r="AD160" s="84">
        <v>0</v>
      </c>
      <c r="AG160" s="84">
        <v>0</v>
      </c>
      <c r="AJ160" s="84">
        <v>0</v>
      </c>
      <c r="AR160" s="85">
        <v>43445</v>
      </c>
      <c r="AS160" s="84">
        <v>6001628772</v>
      </c>
      <c r="AT160" s="85">
        <v>43447</v>
      </c>
      <c r="AU160" s="84" t="s">
        <v>1261</v>
      </c>
      <c r="AV160" s="85">
        <v>43461</v>
      </c>
      <c r="AW160" s="123">
        <v>43465</v>
      </c>
      <c r="AX160" s="123">
        <v>43485</v>
      </c>
      <c r="AY160" s="132">
        <v>1008000</v>
      </c>
      <c r="AZ160" s="132">
        <f>ROUNDDOWN(AY160+(AY160*MASTER!$A$2/100),0)</f>
        <v>1088640</v>
      </c>
      <c r="BA160" s="84" t="s">
        <v>287</v>
      </c>
      <c r="BB160" s="88">
        <v>226000</v>
      </c>
      <c r="BC160" s="88">
        <v>244080</v>
      </c>
      <c r="BD160" s="84" t="s">
        <v>1421</v>
      </c>
      <c r="BG160" s="88">
        <v>0</v>
      </c>
      <c r="BK160" s="88">
        <v>0</v>
      </c>
      <c r="BS160" s="88">
        <v>0</v>
      </c>
      <c r="BV160" s="89">
        <v>1134000</v>
      </c>
      <c r="BW160" s="89">
        <v>244080</v>
      </c>
      <c r="BX160" s="89">
        <v>43399</v>
      </c>
      <c r="BY160" s="89">
        <v>889920</v>
      </c>
      <c r="BZ160" s="112">
        <v>78.476190476190482</v>
      </c>
    </row>
    <row r="161" spans="1:89" x14ac:dyDescent="0.15">
      <c r="A161" s="84">
        <v>1</v>
      </c>
      <c r="B161" s="85">
        <v>43433</v>
      </c>
      <c r="C161" s="85">
        <v>43461</v>
      </c>
      <c r="F161" s="85" t="s">
        <v>338</v>
      </c>
      <c r="H161" s="85" t="s">
        <v>338</v>
      </c>
      <c r="J161" s="84">
        <v>2</v>
      </c>
      <c r="L161" s="84">
        <v>0</v>
      </c>
      <c r="M161" s="85">
        <v>43399</v>
      </c>
      <c r="N161" s="85" t="s">
        <v>265</v>
      </c>
      <c r="O161" s="86" t="s">
        <v>340</v>
      </c>
      <c r="P161" s="84" t="s">
        <v>271</v>
      </c>
      <c r="Q161" s="86" t="s">
        <v>107</v>
      </c>
      <c r="R161" s="86" t="s">
        <v>616</v>
      </c>
      <c r="S161" s="87" t="s">
        <v>608</v>
      </c>
      <c r="T161" s="87" t="s">
        <v>617</v>
      </c>
      <c r="U161" s="88">
        <v>600000</v>
      </c>
      <c r="V161" s="88">
        <v>648000</v>
      </c>
      <c r="W161" s="88">
        <v>600000</v>
      </c>
      <c r="X161" s="88">
        <v>648000</v>
      </c>
      <c r="Z161" s="88">
        <v>0</v>
      </c>
      <c r="AD161" s="84">
        <v>0</v>
      </c>
      <c r="AG161" s="84">
        <v>0</v>
      </c>
      <c r="AJ161" s="84">
        <v>0</v>
      </c>
      <c r="AR161" s="85">
        <v>43405</v>
      </c>
      <c r="AS161" s="84">
        <v>6001614418</v>
      </c>
      <c r="AT161" s="85">
        <v>43406</v>
      </c>
      <c r="AU161" s="84" t="s">
        <v>744</v>
      </c>
      <c r="AV161" s="85">
        <v>43461</v>
      </c>
      <c r="AW161" s="123">
        <v>43434</v>
      </c>
      <c r="AX161" s="123">
        <v>43454</v>
      </c>
      <c r="AY161" s="132">
        <v>576000</v>
      </c>
      <c r="AZ161" s="132">
        <f>ROUNDDOWN(AY161+(AY161*MASTER!$A$2/100),0)</f>
        <v>622080</v>
      </c>
      <c r="BA161" s="84" t="s">
        <v>778</v>
      </c>
      <c r="BC161" s="88">
        <v>0</v>
      </c>
      <c r="BG161" s="88">
        <v>0</v>
      </c>
      <c r="BK161" s="88">
        <v>0</v>
      </c>
      <c r="BS161" s="88">
        <v>0</v>
      </c>
      <c r="BV161" s="89">
        <v>648000</v>
      </c>
      <c r="BW161" s="89">
        <v>0</v>
      </c>
      <c r="BX161" s="89">
        <v>43399</v>
      </c>
      <c r="BY161" s="89">
        <v>648000</v>
      </c>
      <c r="BZ161" s="112">
        <v>100</v>
      </c>
      <c r="CK161" s="88">
        <v>600000</v>
      </c>
    </row>
    <row r="162" spans="1:89" x14ac:dyDescent="0.15">
      <c r="A162" s="84">
        <v>1</v>
      </c>
      <c r="B162" s="85">
        <v>43420</v>
      </c>
      <c r="C162" s="85">
        <v>43420</v>
      </c>
      <c r="F162" s="85" t="s">
        <v>338</v>
      </c>
      <c r="H162" s="85" t="s">
        <v>338</v>
      </c>
      <c r="J162" s="84">
        <v>2</v>
      </c>
      <c r="L162" s="84">
        <v>0</v>
      </c>
      <c r="M162" s="85">
        <v>43399</v>
      </c>
      <c r="N162" s="85" t="s">
        <v>265</v>
      </c>
      <c r="O162" s="86" t="s">
        <v>340</v>
      </c>
      <c r="P162" s="84" t="s">
        <v>74</v>
      </c>
      <c r="Q162" s="86" t="s">
        <v>107</v>
      </c>
      <c r="R162" s="86" t="s">
        <v>618</v>
      </c>
      <c r="S162" s="87" t="s">
        <v>619</v>
      </c>
      <c r="T162" s="87" t="s">
        <v>620</v>
      </c>
      <c r="U162" s="88">
        <v>453600</v>
      </c>
      <c r="V162" s="88">
        <v>489888</v>
      </c>
      <c r="W162" s="88">
        <v>453600</v>
      </c>
      <c r="X162" s="88">
        <v>489888</v>
      </c>
      <c r="Z162" s="88">
        <v>0</v>
      </c>
      <c r="AD162" s="84">
        <v>0</v>
      </c>
      <c r="AG162" s="84">
        <v>0</v>
      </c>
      <c r="AJ162" s="84">
        <v>0</v>
      </c>
      <c r="AR162" s="85">
        <v>43418</v>
      </c>
      <c r="AS162" s="84">
        <v>6001619467</v>
      </c>
      <c r="AT162" s="85">
        <v>43418</v>
      </c>
      <c r="AU162" s="84" t="s">
        <v>880</v>
      </c>
      <c r="AV162" s="85">
        <v>43420</v>
      </c>
      <c r="AW162" s="123">
        <v>43434</v>
      </c>
      <c r="AX162" s="123">
        <v>43454</v>
      </c>
      <c r="AY162" s="132">
        <v>435456</v>
      </c>
      <c r="AZ162" s="132">
        <f>ROUNDDOWN(AY162+(AY162*MASTER!$A$2/100),0)</f>
        <v>470292</v>
      </c>
      <c r="BC162" s="88">
        <v>0</v>
      </c>
      <c r="BG162" s="88">
        <v>0</v>
      </c>
      <c r="BK162" s="88">
        <v>0</v>
      </c>
      <c r="BS162" s="88">
        <v>0</v>
      </c>
      <c r="BV162" s="89">
        <v>489888</v>
      </c>
      <c r="BW162" s="89">
        <v>0</v>
      </c>
      <c r="BX162" s="89">
        <v>43399</v>
      </c>
      <c r="BY162" s="89">
        <v>489888</v>
      </c>
      <c r="BZ162" s="112">
        <v>100</v>
      </c>
      <c r="CD162" s="87" t="s">
        <v>621</v>
      </c>
    </row>
    <row r="163" spans="1:89" x14ac:dyDescent="0.15">
      <c r="A163" s="84">
        <v>2</v>
      </c>
      <c r="C163" s="85" t="s">
        <v>338</v>
      </c>
      <c r="F163" s="85" t="s">
        <v>338</v>
      </c>
      <c r="H163" s="85" t="s">
        <v>338</v>
      </c>
      <c r="I163" s="84" t="s">
        <v>547</v>
      </c>
      <c r="J163" s="84">
        <v>4</v>
      </c>
      <c r="L163" s="84">
        <v>0</v>
      </c>
      <c r="M163" s="85">
        <v>43399</v>
      </c>
      <c r="N163" s="85" t="s">
        <v>345</v>
      </c>
      <c r="O163" s="86" t="s">
        <v>343</v>
      </c>
      <c r="P163" s="84" t="s">
        <v>530</v>
      </c>
      <c r="Q163" s="86" t="s">
        <v>344</v>
      </c>
      <c r="R163" s="86" t="s">
        <v>622</v>
      </c>
      <c r="S163" s="87" t="s">
        <v>481</v>
      </c>
      <c r="T163" s="87" t="s">
        <v>623</v>
      </c>
      <c r="U163" s="88">
        <v>0</v>
      </c>
      <c r="V163" s="88">
        <v>0</v>
      </c>
      <c r="W163" s="88">
        <v>0</v>
      </c>
      <c r="X163" s="88">
        <v>0</v>
      </c>
      <c r="Y163" s="88">
        <v>0</v>
      </c>
      <c r="Z163" s="88">
        <v>0</v>
      </c>
      <c r="AA163" s="85">
        <v>43370</v>
      </c>
      <c r="AB163" s="85">
        <v>43370</v>
      </c>
      <c r="AD163" s="84">
        <v>0</v>
      </c>
      <c r="AG163" s="84">
        <v>0</v>
      </c>
      <c r="AJ163" s="84">
        <v>0</v>
      </c>
      <c r="AN163" s="84" t="s">
        <v>338</v>
      </c>
      <c r="AY163" s="132">
        <f>ROUNDDOWN((0.96*U163),0)</f>
        <v>0</v>
      </c>
      <c r="AZ163" s="132">
        <f>ROUNDDOWN(AY163+(AY163*MASTER!$A$2/100),0)</f>
        <v>0</v>
      </c>
      <c r="BA163" s="84" t="s">
        <v>624</v>
      </c>
      <c r="BB163" s="88">
        <v>28000</v>
      </c>
      <c r="BC163" s="88">
        <v>30240</v>
      </c>
      <c r="BD163" s="84" t="s">
        <v>430</v>
      </c>
      <c r="BG163" s="88">
        <v>0</v>
      </c>
      <c r="BK163" s="88">
        <v>0</v>
      </c>
      <c r="BS163" s="88">
        <v>0</v>
      </c>
      <c r="BV163" s="89">
        <v>0</v>
      </c>
      <c r="BW163" s="89">
        <v>30240</v>
      </c>
      <c r="BX163" s="89">
        <v>43399</v>
      </c>
      <c r="BY163" s="89">
        <v>-30240</v>
      </c>
      <c r="BZ163" s="112" t="s">
        <v>338</v>
      </c>
    </row>
    <row r="164" spans="1:89" s="151" customFormat="1" x14ac:dyDescent="0.15">
      <c r="A164" s="141">
        <v>3</v>
      </c>
      <c r="B164" s="142"/>
      <c r="C164" s="142" t="s">
        <v>338</v>
      </c>
      <c r="D164" s="142"/>
      <c r="E164" s="142"/>
      <c r="F164" s="142" t="s">
        <v>338</v>
      </c>
      <c r="G164" s="142"/>
      <c r="H164" s="142" t="s">
        <v>338</v>
      </c>
      <c r="I164" s="141"/>
      <c r="J164" s="141">
        <v>2</v>
      </c>
      <c r="K164" s="142"/>
      <c r="L164" s="141">
        <v>0</v>
      </c>
      <c r="M164" s="142">
        <v>43399</v>
      </c>
      <c r="N164" s="142" t="s">
        <v>265</v>
      </c>
      <c r="O164" s="143" t="s">
        <v>340</v>
      </c>
      <c r="P164" s="141" t="s">
        <v>272</v>
      </c>
      <c r="Q164" s="143" t="s">
        <v>107</v>
      </c>
      <c r="R164" s="143" t="s">
        <v>812</v>
      </c>
      <c r="S164" s="144" t="s">
        <v>562</v>
      </c>
      <c r="T164" s="144" t="s">
        <v>813</v>
      </c>
      <c r="U164" s="145">
        <v>100000</v>
      </c>
      <c r="V164" s="145">
        <v>108000</v>
      </c>
      <c r="W164" s="145">
        <v>100000</v>
      </c>
      <c r="X164" s="145">
        <v>108000</v>
      </c>
      <c r="Y164" s="145"/>
      <c r="Z164" s="145">
        <v>0</v>
      </c>
      <c r="AA164" s="142"/>
      <c r="AB164" s="142"/>
      <c r="AC164" s="142"/>
      <c r="AD164" s="141">
        <v>0</v>
      </c>
      <c r="AE164" s="141"/>
      <c r="AF164" s="141"/>
      <c r="AG164" s="141">
        <v>0</v>
      </c>
      <c r="AH164" s="141"/>
      <c r="AI164" s="141"/>
      <c r="AJ164" s="141">
        <v>0</v>
      </c>
      <c r="AK164" s="141"/>
      <c r="AL164" s="141"/>
      <c r="AM164" s="141"/>
      <c r="AN164" s="141"/>
      <c r="AO164" s="142"/>
      <c r="AP164" s="141"/>
      <c r="AQ164" s="141"/>
      <c r="AR164" s="142"/>
      <c r="AS164" s="141"/>
      <c r="AT164" s="142"/>
      <c r="AU164" s="141"/>
      <c r="AV164" s="142"/>
      <c r="AW164" s="146"/>
      <c r="AX164" s="146"/>
      <c r="AY164" s="147">
        <v>96000</v>
      </c>
      <c r="AZ164" s="132">
        <f>ROUNDDOWN(AY164+(AY164*MASTER!$A$2/100),0)</f>
        <v>103680</v>
      </c>
      <c r="BA164" s="141"/>
      <c r="BB164" s="145"/>
      <c r="BC164" s="145">
        <v>0</v>
      </c>
      <c r="BD164" s="141"/>
      <c r="BE164" s="141"/>
      <c r="BF164" s="145"/>
      <c r="BG164" s="145">
        <v>0</v>
      </c>
      <c r="BH164" s="141"/>
      <c r="BI164" s="141"/>
      <c r="BJ164" s="145"/>
      <c r="BK164" s="145">
        <v>0</v>
      </c>
      <c r="BL164" s="141"/>
      <c r="BM164" s="145"/>
      <c r="BN164" s="145"/>
      <c r="BO164" s="145"/>
      <c r="BP164" s="145"/>
      <c r="BQ164" s="145"/>
      <c r="BR164" s="145"/>
      <c r="BS164" s="145">
        <v>0</v>
      </c>
      <c r="BT164" s="148"/>
      <c r="BU164" s="148"/>
      <c r="BV164" s="149">
        <v>108000</v>
      </c>
      <c r="BW164" s="149">
        <v>0</v>
      </c>
      <c r="BX164" s="149">
        <v>43399</v>
      </c>
      <c r="BY164" s="149">
        <v>108000</v>
      </c>
      <c r="BZ164" s="150">
        <v>100</v>
      </c>
      <c r="CA164" s="141"/>
      <c r="CB164" s="141"/>
      <c r="CC164" s="141"/>
      <c r="CD164" s="144" t="s">
        <v>814</v>
      </c>
      <c r="CE164" s="142"/>
      <c r="CF164" s="142"/>
      <c r="CG164" s="142"/>
      <c r="CH164" s="142"/>
      <c r="CI164" s="142"/>
      <c r="CJ164" s="142"/>
      <c r="CK164" s="145"/>
    </row>
    <row r="165" spans="1:89" x14ac:dyDescent="0.15">
      <c r="A165" s="84">
        <v>1</v>
      </c>
      <c r="B165" s="85">
        <v>43416</v>
      </c>
      <c r="C165" s="85">
        <v>43419</v>
      </c>
      <c r="F165" s="85" t="s">
        <v>338</v>
      </c>
      <c r="H165" s="85" t="s">
        <v>338</v>
      </c>
      <c r="J165" s="84">
        <v>2</v>
      </c>
      <c r="L165" s="84">
        <v>0</v>
      </c>
      <c r="M165" s="85">
        <v>43399</v>
      </c>
      <c r="N165" s="85" t="s">
        <v>265</v>
      </c>
      <c r="O165" s="86" t="s">
        <v>340</v>
      </c>
      <c r="P165" s="84" t="s">
        <v>272</v>
      </c>
      <c r="Q165" s="86" t="s">
        <v>107</v>
      </c>
      <c r="R165" s="86" t="s">
        <v>688</v>
      </c>
      <c r="S165" s="87" t="s">
        <v>351</v>
      </c>
      <c r="T165" s="87" t="s">
        <v>689</v>
      </c>
      <c r="U165" s="88">
        <v>113000</v>
      </c>
      <c r="V165" s="88">
        <v>122040</v>
      </c>
      <c r="W165" s="88">
        <v>113000</v>
      </c>
      <c r="X165" s="88">
        <v>122040</v>
      </c>
      <c r="Z165" s="88">
        <v>0</v>
      </c>
      <c r="AD165" s="84">
        <v>0</v>
      </c>
      <c r="AG165" s="84">
        <v>0</v>
      </c>
      <c r="AJ165" s="84">
        <v>0</v>
      </c>
      <c r="AR165" s="85">
        <v>43404</v>
      </c>
      <c r="AS165" s="84">
        <v>6001614084</v>
      </c>
      <c r="AT165" s="85">
        <v>43405</v>
      </c>
      <c r="AU165" s="84" t="s">
        <v>728</v>
      </c>
      <c r="AV165" s="85">
        <v>43419</v>
      </c>
      <c r="AW165" s="123">
        <v>43434</v>
      </c>
      <c r="AX165" s="123">
        <v>43454</v>
      </c>
      <c r="AY165" s="132">
        <v>108480</v>
      </c>
      <c r="AZ165" s="132">
        <f>ROUNDDOWN(AY165+(AY165*MASTER!$A$2/100),0)</f>
        <v>117158</v>
      </c>
      <c r="BC165" s="88">
        <v>0</v>
      </c>
      <c r="BG165" s="88">
        <v>0</v>
      </c>
      <c r="BK165" s="88">
        <v>0</v>
      </c>
      <c r="BS165" s="88">
        <v>0</v>
      </c>
      <c r="BV165" s="89">
        <v>122040</v>
      </c>
      <c r="BW165" s="89">
        <v>0</v>
      </c>
      <c r="BX165" s="89">
        <v>43399</v>
      </c>
      <c r="BY165" s="89">
        <v>122040</v>
      </c>
      <c r="BZ165" s="112">
        <v>100</v>
      </c>
      <c r="CD165" s="87" t="s">
        <v>840</v>
      </c>
    </row>
    <row r="166" spans="1:89" x14ac:dyDescent="0.15">
      <c r="A166" s="84">
        <v>2</v>
      </c>
      <c r="B166" s="85">
        <v>43420</v>
      </c>
      <c r="C166" s="85">
        <v>43434</v>
      </c>
      <c r="D166" s="85">
        <v>43467</v>
      </c>
      <c r="F166" s="85">
        <v>43433</v>
      </c>
      <c r="G166" s="85">
        <v>43426</v>
      </c>
      <c r="H166" s="85">
        <v>43429</v>
      </c>
      <c r="I166" s="84" t="s">
        <v>401</v>
      </c>
      <c r="J166" s="84">
        <v>1</v>
      </c>
      <c r="L166" s="84">
        <v>0</v>
      </c>
      <c r="M166" s="85">
        <v>43399</v>
      </c>
      <c r="N166" s="85" t="s">
        <v>265</v>
      </c>
      <c r="O166" s="86" t="s">
        <v>340</v>
      </c>
      <c r="P166" s="84" t="s">
        <v>26</v>
      </c>
      <c r="Q166" s="86" t="s">
        <v>107</v>
      </c>
      <c r="R166" s="86" t="s">
        <v>642</v>
      </c>
      <c r="S166" s="87" t="s">
        <v>643</v>
      </c>
      <c r="T166" s="87" t="s">
        <v>644</v>
      </c>
      <c r="U166" s="88">
        <v>101300</v>
      </c>
      <c r="V166" s="88">
        <v>109404</v>
      </c>
      <c r="W166" s="88">
        <v>86300</v>
      </c>
      <c r="X166" s="88">
        <v>93204</v>
      </c>
      <c r="Y166" s="88">
        <v>15000</v>
      </c>
      <c r="Z166" s="88">
        <v>16200</v>
      </c>
      <c r="AA166" s="85">
        <v>43425</v>
      </c>
      <c r="AB166" s="85">
        <v>43426</v>
      </c>
      <c r="AC166" s="85">
        <v>43426</v>
      </c>
      <c r="AD166" s="84">
        <v>0</v>
      </c>
      <c r="AG166" s="84">
        <v>0</v>
      </c>
      <c r="AJ166" s="84">
        <v>0</v>
      </c>
      <c r="AR166" s="85">
        <v>43404</v>
      </c>
      <c r="AS166" s="84">
        <v>6001614081</v>
      </c>
      <c r="AT166" s="85">
        <v>43404</v>
      </c>
      <c r="AU166" s="84" t="s">
        <v>686</v>
      </c>
      <c r="AV166" s="85">
        <v>43434</v>
      </c>
      <c r="AW166" s="123">
        <v>43434</v>
      </c>
      <c r="AX166" s="123">
        <v>43454</v>
      </c>
      <c r="AY166" s="132">
        <v>97248</v>
      </c>
      <c r="AZ166" s="132">
        <f>ROUNDDOWN(AY166+(AY166*MASTER!$A$2/100),0)</f>
        <v>105027</v>
      </c>
      <c r="BA166" s="84" t="s">
        <v>286</v>
      </c>
      <c r="BB166" s="88">
        <v>44000</v>
      </c>
      <c r="BC166" s="88">
        <v>47520</v>
      </c>
      <c r="BD166" s="84" t="s">
        <v>190</v>
      </c>
      <c r="BG166" s="88">
        <v>0</v>
      </c>
      <c r="BI166" s="84" t="s">
        <v>434</v>
      </c>
      <c r="BJ166" s="88">
        <v>9750</v>
      </c>
      <c r="BK166" s="88">
        <v>10530</v>
      </c>
      <c r="BL166" s="84" t="s">
        <v>190</v>
      </c>
      <c r="BS166" s="88">
        <v>0</v>
      </c>
      <c r="BV166" s="89">
        <v>93204</v>
      </c>
      <c r="BW166" s="89">
        <v>58050</v>
      </c>
      <c r="BX166" s="89">
        <v>43399</v>
      </c>
      <c r="BY166" s="89">
        <v>35154</v>
      </c>
      <c r="BZ166" s="112">
        <v>37.717265353418306</v>
      </c>
      <c r="CK166" s="88">
        <v>6300</v>
      </c>
    </row>
    <row r="167" spans="1:89" x14ac:dyDescent="0.15">
      <c r="A167" s="84">
        <v>1</v>
      </c>
      <c r="B167" s="85">
        <v>43403</v>
      </c>
      <c r="C167" s="85">
        <v>43404</v>
      </c>
      <c r="F167" s="85" t="s">
        <v>338</v>
      </c>
      <c r="H167" s="85" t="s">
        <v>338</v>
      </c>
      <c r="J167" s="84">
        <v>2</v>
      </c>
      <c r="L167" s="84" t="s">
        <v>584</v>
      </c>
      <c r="M167" s="85">
        <v>43402</v>
      </c>
      <c r="N167" s="85" t="s">
        <v>265</v>
      </c>
      <c r="O167" s="86" t="s">
        <v>340</v>
      </c>
      <c r="P167" s="84" t="s">
        <v>26</v>
      </c>
      <c r="Q167" s="86" t="s">
        <v>107</v>
      </c>
      <c r="R167" s="86" t="s">
        <v>647</v>
      </c>
      <c r="S167" s="87" t="s">
        <v>351</v>
      </c>
      <c r="T167" s="87" t="s">
        <v>648</v>
      </c>
      <c r="U167" s="88">
        <v>39200</v>
      </c>
      <c r="V167" s="88">
        <v>42336</v>
      </c>
      <c r="W167" s="88">
        <v>39200</v>
      </c>
      <c r="X167" s="88">
        <v>42336</v>
      </c>
      <c r="Z167" s="88">
        <v>0</v>
      </c>
      <c r="AD167" s="84">
        <v>0</v>
      </c>
      <c r="AG167" s="84">
        <v>0</v>
      </c>
      <c r="AJ167" s="84">
        <v>0</v>
      </c>
      <c r="AR167" s="85">
        <v>43402</v>
      </c>
      <c r="AS167" s="84">
        <v>6001613182</v>
      </c>
      <c r="AT167" s="85">
        <v>43402</v>
      </c>
      <c r="AU167" s="84" t="s">
        <v>649</v>
      </c>
      <c r="AV167" s="85">
        <v>43404</v>
      </c>
      <c r="AW167" s="123">
        <v>43404</v>
      </c>
      <c r="AX167" s="123">
        <v>43424</v>
      </c>
      <c r="AY167" s="140">
        <v>39200</v>
      </c>
      <c r="AZ167" s="132">
        <f>ROUNDDOWN(AY167+(AY167*MASTER!$A$2/100),0)</f>
        <v>42336</v>
      </c>
      <c r="BC167" s="88">
        <v>0</v>
      </c>
      <c r="BG167" s="88">
        <v>0</v>
      </c>
      <c r="BK167" s="88">
        <v>0</v>
      </c>
      <c r="BS167" s="88">
        <v>0</v>
      </c>
      <c r="BV167" s="89">
        <v>42336</v>
      </c>
      <c r="BW167" s="89">
        <v>0</v>
      </c>
      <c r="BX167" s="89">
        <v>43402</v>
      </c>
      <c r="BY167" s="89">
        <v>42336</v>
      </c>
      <c r="BZ167" s="112">
        <v>100</v>
      </c>
      <c r="CK167" s="88">
        <v>0</v>
      </c>
    </row>
    <row r="168" spans="1:89" x14ac:dyDescent="0.15">
      <c r="A168" s="84">
        <v>2</v>
      </c>
      <c r="B168" s="85">
        <v>43409</v>
      </c>
      <c r="C168" s="85">
        <v>43409</v>
      </c>
      <c r="D168" s="85">
        <v>43404</v>
      </c>
      <c r="E168" s="85">
        <v>43404</v>
      </c>
      <c r="F168" s="85" t="s">
        <v>338</v>
      </c>
      <c r="G168" s="85">
        <v>43404</v>
      </c>
      <c r="H168" s="85" t="s">
        <v>338</v>
      </c>
      <c r="I168" s="84" t="s">
        <v>547</v>
      </c>
      <c r="J168" s="84">
        <v>2</v>
      </c>
      <c r="L168" s="84">
        <v>0</v>
      </c>
      <c r="M168" s="85">
        <v>43402</v>
      </c>
      <c r="N168" s="85" t="s">
        <v>265</v>
      </c>
      <c r="O168" s="86" t="s">
        <v>340</v>
      </c>
      <c r="P168" s="84" t="s">
        <v>6</v>
      </c>
      <c r="Q168" s="86" t="s">
        <v>107</v>
      </c>
      <c r="R168" s="86" t="s">
        <v>684</v>
      </c>
      <c r="S168" s="87" t="s">
        <v>685</v>
      </c>
      <c r="T168" s="87" t="s">
        <v>342</v>
      </c>
      <c r="U168" s="88">
        <v>35000</v>
      </c>
      <c r="V168" s="88">
        <v>37800</v>
      </c>
      <c r="W168" s="88">
        <v>35000</v>
      </c>
      <c r="X168" s="88">
        <v>37800</v>
      </c>
      <c r="Z168" s="88">
        <v>0</v>
      </c>
      <c r="AA168" s="85">
        <v>43403</v>
      </c>
      <c r="AB168" s="85">
        <v>43403</v>
      </c>
      <c r="AD168" s="84">
        <v>0</v>
      </c>
      <c r="AG168" s="84">
        <v>0</v>
      </c>
      <c r="AJ168" s="84">
        <v>0</v>
      </c>
      <c r="AN168" s="84" t="s">
        <v>338</v>
      </c>
      <c r="AR168" s="85">
        <v>43405</v>
      </c>
      <c r="AS168" s="84">
        <v>6001614418</v>
      </c>
      <c r="AT168" s="85">
        <v>43406</v>
      </c>
      <c r="AU168" s="84" t="s">
        <v>744</v>
      </c>
      <c r="AV168" s="85">
        <v>43409</v>
      </c>
      <c r="AW168" s="123">
        <v>43434</v>
      </c>
      <c r="AX168" s="123">
        <v>43454</v>
      </c>
      <c r="AY168" s="132">
        <v>33600</v>
      </c>
      <c r="AZ168" s="132">
        <f>ROUNDDOWN(AY168+(AY168*MASTER!$A$2/100),0)</f>
        <v>36288</v>
      </c>
      <c r="BA168" s="84" t="s">
        <v>834</v>
      </c>
      <c r="BB168" s="88">
        <v>38000</v>
      </c>
      <c r="BC168" s="88">
        <v>41040</v>
      </c>
      <c r="BD168" s="84" t="s">
        <v>677</v>
      </c>
      <c r="BG168" s="88">
        <v>0</v>
      </c>
      <c r="BK168" s="88">
        <v>0</v>
      </c>
      <c r="BS168" s="88">
        <v>0</v>
      </c>
      <c r="BV168" s="89">
        <v>37800</v>
      </c>
      <c r="BW168" s="89">
        <v>41040</v>
      </c>
      <c r="BX168" s="89">
        <v>43402</v>
      </c>
      <c r="BY168" s="89">
        <v>-3240</v>
      </c>
      <c r="BZ168" s="112">
        <v>-8.5714285714285712</v>
      </c>
      <c r="CK168" s="88">
        <v>0</v>
      </c>
    </row>
    <row r="169" spans="1:89" x14ac:dyDescent="0.15">
      <c r="A169" s="84">
        <v>2</v>
      </c>
      <c r="B169" s="85">
        <v>43409</v>
      </c>
      <c r="C169" s="85">
        <v>43413</v>
      </c>
      <c r="D169" s="85">
        <v>43406</v>
      </c>
      <c r="E169" s="85">
        <v>43406</v>
      </c>
      <c r="F169" s="85" t="s">
        <v>338</v>
      </c>
      <c r="G169" s="85">
        <v>43406</v>
      </c>
      <c r="H169" s="85" t="s">
        <v>338</v>
      </c>
      <c r="I169" s="84" t="s">
        <v>380</v>
      </c>
      <c r="J169" s="84">
        <v>2</v>
      </c>
      <c r="L169" s="84">
        <v>0</v>
      </c>
      <c r="M169" s="85">
        <v>43402</v>
      </c>
      <c r="N169" s="85" t="s">
        <v>265</v>
      </c>
      <c r="O169" s="86" t="s">
        <v>340</v>
      </c>
      <c r="P169" s="84" t="s">
        <v>6</v>
      </c>
      <c r="Q169" s="86" t="s">
        <v>107</v>
      </c>
      <c r="R169" s="86" t="s">
        <v>731</v>
      </c>
      <c r="S169" s="87" t="s">
        <v>552</v>
      </c>
      <c r="T169" s="87" t="s">
        <v>342</v>
      </c>
      <c r="U169" s="88">
        <v>35000</v>
      </c>
      <c r="V169" s="88">
        <v>37800</v>
      </c>
      <c r="W169" s="88">
        <v>35000</v>
      </c>
      <c r="X169" s="88">
        <v>37800</v>
      </c>
      <c r="Z169" s="88">
        <v>0</v>
      </c>
      <c r="AA169" s="85">
        <v>43405</v>
      </c>
      <c r="AB169" s="85">
        <v>43405</v>
      </c>
      <c r="AD169" s="84">
        <v>0</v>
      </c>
      <c r="AG169" s="84">
        <v>0</v>
      </c>
      <c r="AJ169" s="84">
        <v>0</v>
      </c>
      <c r="AN169" s="84" t="s">
        <v>338</v>
      </c>
      <c r="AR169" s="85">
        <v>43405</v>
      </c>
      <c r="AS169" s="84">
        <v>6001614418</v>
      </c>
      <c r="AT169" s="85">
        <v>43406</v>
      </c>
      <c r="AU169" s="84" t="s">
        <v>744</v>
      </c>
      <c r="AV169" s="85">
        <v>43413</v>
      </c>
      <c r="AW169" s="123">
        <v>43434</v>
      </c>
      <c r="AX169" s="123">
        <v>43454</v>
      </c>
      <c r="AY169" s="132">
        <v>33600</v>
      </c>
      <c r="AZ169" s="132">
        <f>ROUNDDOWN(AY169+(AY169*MASTER!$A$2/100),0)</f>
        <v>36288</v>
      </c>
      <c r="BA169" s="84" t="s">
        <v>400</v>
      </c>
      <c r="BB169" s="88">
        <v>34000</v>
      </c>
      <c r="BC169" s="88">
        <v>36720</v>
      </c>
      <c r="BD169" s="84" t="s">
        <v>189</v>
      </c>
      <c r="BG169" s="88">
        <v>0</v>
      </c>
      <c r="BK169" s="88">
        <v>0</v>
      </c>
      <c r="BS169" s="88">
        <v>0</v>
      </c>
      <c r="BV169" s="89">
        <v>37800</v>
      </c>
      <c r="BW169" s="89">
        <v>36720</v>
      </c>
      <c r="BX169" s="89">
        <v>43402</v>
      </c>
      <c r="BY169" s="89">
        <v>1080</v>
      </c>
      <c r="BZ169" s="112">
        <v>2.8571428571428572</v>
      </c>
      <c r="CK169" s="88">
        <v>0</v>
      </c>
    </row>
    <row r="170" spans="1:89" x14ac:dyDescent="0.15">
      <c r="A170" s="84">
        <v>2</v>
      </c>
      <c r="B170" s="85">
        <v>43430</v>
      </c>
      <c r="C170" s="85">
        <v>43444</v>
      </c>
      <c r="F170" s="85" t="s">
        <v>338</v>
      </c>
      <c r="G170" s="85">
        <v>43472</v>
      </c>
      <c r="H170" s="85" t="s">
        <v>338</v>
      </c>
      <c r="I170" s="84" t="s">
        <v>401</v>
      </c>
      <c r="J170" s="84">
        <v>1</v>
      </c>
      <c r="L170" s="84">
        <v>0</v>
      </c>
      <c r="M170" s="85">
        <v>43402</v>
      </c>
      <c r="N170" s="85" t="s">
        <v>265</v>
      </c>
      <c r="O170" s="86" t="s">
        <v>340</v>
      </c>
      <c r="P170" s="84" t="s">
        <v>170</v>
      </c>
      <c r="Q170" s="86" t="s">
        <v>107</v>
      </c>
      <c r="R170" s="86" t="s">
        <v>651</v>
      </c>
      <c r="S170" s="87" t="s">
        <v>639</v>
      </c>
      <c r="T170" s="87" t="s">
        <v>652</v>
      </c>
      <c r="U170" s="88">
        <v>2800370</v>
      </c>
      <c r="V170" s="88">
        <v>3024399.6</v>
      </c>
      <c r="W170" s="88">
        <v>2532870</v>
      </c>
      <c r="X170" s="88">
        <v>2735499.6</v>
      </c>
      <c r="Y170" s="88">
        <v>267500</v>
      </c>
      <c r="Z170" s="88">
        <v>288900</v>
      </c>
      <c r="AA170" s="85">
        <v>43430</v>
      </c>
      <c r="AB170" s="85">
        <v>43444</v>
      </c>
      <c r="AD170" s="84">
        <v>678</v>
      </c>
      <c r="AE170" s="84">
        <v>451</v>
      </c>
      <c r="AF170" s="84">
        <v>227</v>
      </c>
      <c r="AG170" s="84">
        <v>0</v>
      </c>
      <c r="AJ170" s="84">
        <v>0</v>
      </c>
      <c r="AR170" s="85">
        <v>43423</v>
      </c>
      <c r="AS170" s="84">
        <v>6001620861</v>
      </c>
      <c r="AT170" s="85">
        <v>43426</v>
      </c>
      <c r="AU170" s="84" t="s">
        <v>953</v>
      </c>
      <c r="AV170" s="85">
        <v>43444</v>
      </c>
      <c r="AW170" s="123">
        <v>43465</v>
      </c>
      <c r="AX170" s="123">
        <v>43485</v>
      </c>
      <c r="AY170" s="132">
        <v>2688355</v>
      </c>
      <c r="AZ170" s="132">
        <f>ROUNDDOWN(AY170+(AY170*MASTER!$A$2/100),0)</f>
        <v>2903423</v>
      </c>
      <c r="BA170" s="84" t="s">
        <v>666</v>
      </c>
      <c r="BB170" s="88">
        <v>1541450</v>
      </c>
      <c r="BC170" s="88">
        <v>1664766</v>
      </c>
      <c r="BD170" s="84" t="s">
        <v>190</v>
      </c>
      <c r="BG170" s="88">
        <v>0</v>
      </c>
      <c r="BI170" s="84" t="s">
        <v>434</v>
      </c>
      <c r="BJ170" s="88">
        <v>173875</v>
      </c>
      <c r="BK170" s="88">
        <v>187785</v>
      </c>
      <c r="BL170" s="84" t="s">
        <v>190</v>
      </c>
      <c r="BS170" s="88">
        <v>0</v>
      </c>
      <c r="BV170" s="89">
        <v>2735499.6</v>
      </c>
      <c r="BW170" s="89">
        <v>1852551</v>
      </c>
      <c r="BX170" s="89">
        <v>43402</v>
      </c>
      <c r="BY170" s="89">
        <v>882948.6</v>
      </c>
      <c r="BZ170" s="112">
        <v>32.277416527496477</v>
      </c>
      <c r="CK170" s="88">
        <v>0</v>
      </c>
    </row>
    <row r="171" spans="1:89" x14ac:dyDescent="0.15">
      <c r="A171" s="84">
        <v>1</v>
      </c>
      <c r="B171" s="85">
        <v>43430</v>
      </c>
      <c r="C171" s="85">
        <v>43444</v>
      </c>
      <c r="F171" s="85" t="s">
        <v>338</v>
      </c>
      <c r="H171" s="85" t="s">
        <v>338</v>
      </c>
      <c r="J171" s="84">
        <v>1</v>
      </c>
      <c r="L171" s="84">
        <v>0</v>
      </c>
      <c r="M171" s="85">
        <v>43402</v>
      </c>
      <c r="N171" s="85" t="s">
        <v>265</v>
      </c>
      <c r="O171" s="86" t="s">
        <v>340</v>
      </c>
      <c r="P171" s="84" t="s">
        <v>223</v>
      </c>
      <c r="Q171" s="86" t="s">
        <v>107</v>
      </c>
      <c r="R171" s="86" t="s">
        <v>653</v>
      </c>
      <c r="S171" s="87" t="s">
        <v>639</v>
      </c>
      <c r="T171" s="87" t="s">
        <v>654</v>
      </c>
      <c r="U171" s="88">
        <v>201000</v>
      </c>
      <c r="V171" s="88">
        <v>217080</v>
      </c>
      <c r="W171" s="88">
        <v>66000</v>
      </c>
      <c r="X171" s="88">
        <v>71280</v>
      </c>
      <c r="Y171" s="88">
        <v>135000</v>
      </c>
      <c r="Z171" s="88">
        <v>145800</v>
      </c>
      <c r="AA171" s="85">
        <v>43430</v>
      </c>
      <c r="AB171" s="85">
        <v>43444</v>
      </c>
      <c r="AD171" s="84">
        <v>678</v>
      </c>
      <c r="AE171" s="84">
        <v>451</v>
      </c>
      <c r="AF171" s="84">
        <v>227</v>
      </c>
      <c r="AG171" s="84">
        <v>0</v>
      </c>
      <c r="AJ171" s="84">
        <v>0</v>
      </c>
      <c r="AR171" s="85">
        <v>43423</v>
      </c>
      <c r="AS171" s="84">
        <v>6001620861</v>
      </c>
      <c r="AT171" s="85">
        <v>43426</v>
      </c>
      <c r="AU171" s="84" t="s">
        <v>953</v>
      </c>
      <c r="AV171" s="85">
        <v>43444</v>
      </c>
      <c r="AW171" s="123">
        <v>43465</v>
      </c>
      <c r="AX171" s="123">
        <v>43485</v>
      </c>
      <c r="AY171" s="132">
        <v>192960</v>
      </c>
      <c r="AZ171" s="132">
        <f>ROUNDDOWN(AY171+(AY171*MASTER!$A$2/100),0)</f>
        <v>208396</v>
      </c>
      <c r="BA171" s="84" t="s">
        <v>778</v>
      </c>
      <c r="BC171" s="88">
        <v>0</v>
      </c>
      <c r="BG171" s="88">
        <v>0</v>
      </c>
      <c r="BI171" s="84" t="s">
        <v>276</v>
      </c>
      <c r="BJ171" s="88">
        <v>87750</v>
      </c>
      <c r="BK171" s="88">
        <v>94770</v>
      </c>
      <c r="BL171" s="84" t="s">
        <v>863</v>
      </c>
      <c r="BS171" s="88">
        <v>0</v>
      </c>
      <c r="BV171" s="89">
        <v>71280</v>
      </c>
      <c r="BW171" s="89">
        <v>94770</v>
      </c>
      <c r="BX171" s="89">
        <v>43402</v>
      </c>
      <c r="BY171" s="89">
        <v>-23490</v>
      </c>
      <c r="BZ171" s="112">
        <v>-32.954545454545453</v>
      </c>
      <c r="CK171" s="88">
        <v>0</v>
      </c>
    </row>
    <row r="172" spans="1:89" x14ac:dyDescent="0.15">
      <c r="A172" s="84">
        <v>2</v>
      </c>
      <c r="B172" s="85">
        <v>43430</v>
      </c>
      <c r="C172" s="85">
        <v>43444</v>
      </c>
      <c r="F172" s="85" t="s">
        <v>338</v>
      </c>
      <c r="H172" s="85" t="s">
        <v>338</v>
      </c>
      <c r="I172" s="84" t="s">
        <v>401</v>
      </c>
      <c r="J172" s="84">
        <v>2</v>
      </c>
      <c r="L172" s="84">
        <v>0</v>
      </c>
      <c r="M172" s="85">
        <v>43402</v>
      </c>
      <c r="N172" s="85" t="s">
        <v>265</v>
      </c>
      <c r="O172" s="86" t="s">
        <v>340</v>
      </c>
      <c r="P172" s="84" t="s">
        <v>29</v>
      </c>
      <c r="Q172" s="86" t="s">
        <v>107</v>
      </c>
      <c r="R172" s="86" t="s">
        <v>655</v>
      </c>
      <c r="S172" s="87" t="s">
        <v>639</v>
      </c>
      <c r="T172" s="87" t="s">
        <v>613</v>
      </c>
      <c r="U172" s="88">
        <v>192000</v>
      </c>
      <c r="V172" s="88">
        <v>207360</v>
      </c>
      <c r="W172" s="88">
        <v>192000</v>
      </c>
      <c r="X172" s="88">
        <v>207360</v>
      </c>
      <c r="Z172" s="88">
        <v>0</v>
      </c>
      <c r="AA172" s="85">
        <v>43430</v>
      </c>
      <c r="AB172" s="85">
        <v>43444</v>
      </c>
      <c r="AD172" s="84">
        <v>678</v>
      </c>
      <c r="AE172" s="84">
        <v>451</v>
      </c>
      <c r="AF172" s="84">
        <v>227</v>
      </c>
      <c r="AG172" s="84">
        <v>0</v>
      </c>
      <c r="AJ172" s="84">
        <v>0</v>
      </c>
      <c r="AR172" s="85">
        <v>43423</v>
      </c>
      <c r="AS172" s="84">
        <v>6001620861</v>
      </c>
      <c r="AT172" s="85">
        <v>43426</v>
      </c>
      <c r="AU172" s="84" t="s">
        <v>953</v>
      </c>
      <c r="AV172" s="85">
        <v>43444</v>
      </c>
      <c r="AW172" s="123">
        <v>43465</v>
      </c>
      <c r="AX172" s="123">
        <v>43485</v>
      </c>
      <c r="AY172" s="132">
        <v>184320</v>
      </c>
      <c r="AZ172" s="132">
        <f>ROUNDDOWN(AY172+(AY172*MASTER!$A$2/100),0)</f>
        <v>199065</v>
      </c>
      <c r="BA172" s="84" t="s">
        <v>666</v>
      </c>
      <c r="BB172" s="88">
        <v>128000</v>
      </c>
      <c r="BC172" s="88">
        <v>138240</v>
      </c>
      <c r="BD172" s="84" t="s">
        <v>190</v>
      </c>
      <c r="BG172" s="88">
        <v>0</v>
      </c>
      <c r="BK172" s="88">
        <v>0</v>
      </c>
      <c r="BS172" s="88">
        <v>0</v>
      </c>
      <c r="BV172" s="89">
        <v>207360</v>
      </c>
      <c r="BW172" s="89">
        <v>138240</v>
      </c>
      <c r="BX172" s="89">
        <v>43402</v>
      </c>
      <c r="BY172" s="89">
        <v>69120</v>
      </c>
      <c r="BZ172" s="112">
        <v>33.333333333333329</v>
      </c>
      <c r="CK172" s="88">
        <v>0</v>
      </c>
    </row>
    <row r="173" spans="1:89" x14ac:dyDescent="0.15">
      <c r="A173" s="84">
        <v>2</v>
      </c>
      <c r="B173" s="85">
        <v>43451</v>
      </c>
      <c r="C173" s="85">
        <v>43461</v>
      </c>
      <c r="F173" s="85" t="s">
        <v>338</v>
      </c>
      <c r="H173" s="85" t="s">
        <v>338</v>
      </c>
      <c r="I173" s="84" t="s">
        <v>401</v>
      </c>
      <c r="J173" s="84">
        <v>2</v>
      </c>
      <c r="L173" s="84">
        <v>0</v>
      </c>
      <c r="M173" s="85">
        <v>43402</v>
      </c>
      <c r="N173" s="85" t="s">
        <v>265</v>
      </c>
      <c r="O173" s="86" t="s">
        <v>340</v>
      </c>
      <c r="P173" s="84" t="s">
        <v>38</v>
      </c>
      <c r="Q173" s="86" t="s">
        <v>107</v>
      </c>
      <c r="R173" s="86" t="s">
        <v>656</v>
      </c>
      <c r="S173" s="87" t="s">
        <v>639</v>
      </c>
      <c r="T173" s="87" t="s">
        <v>657</v>
      </c>
      <c r="U173" s="88">
        <v>1017000</v>
      </c>
      <c r="V173" s="88">
        <v>1098360</v>
      </c>
      <c r="W173" s="88">
        <v>1017000</v>
      </c>
      <c r="X173" s="88">
        <v>1098360</v>
      </c>
      <c r="Z173" s="88">
        <v>0</v>
      </c>
      <c r="AD173" s="84">
        <v>678</v>
      </c>
      <c r="AE173" s="84">
        <v>451</v>
      </c>
      <c r="AF173" s="84">
        <v>227</v>
      </c>
      <c r="AG173" s="84">
        <v>0</v>
      </c>
      <c r="AJ173" s="84">
        <v>0</v>
      </c>
      <c r="AR173" s="85">
        <v>43445</v>
      </c>
      <c r="AS173" s="84">
        <v>6001628772</v>
      </c>
      <c r="AT173" s="85">
        <v>43447</v>
      </c>
      <c r="AU173" s="84" t="s">
        <v>1261</v>
      </c>
      <c r="AV173" s="85">
        <v>43461</v>
      </c>
      <c r="AW173" s="123">
        <v>43465</v>
      </c>
      <c r="AX173" s="123">
        <v>43485</v>
      </c>
      <c r="AY173" s="132">
        <v>976320</v>
      </c>
      <c r="AZ173" s="132">
        <f>ROUNDDOWN(AY173+(AY173*MASTER!$A$2/100),0)</f>
        <v>1054425</v>
      </c>
      <c r="BA173" s="84" t="s">
        <v>666</v>
      </c>
      <c r="BB173" s="88">
        <v>189840</v>
      </c>
      <c r="BC173" s="88">
        <v>205027.20000000001</v>
      </c>
      <c r="BD173" s="84" t="s">
        <v>1138</v>
      </c>
      <c r="BG173" s="88">
        <v>0</v>
      </c>
      <c r="BK173" s="88">
        <v>0</v>
      </c>
      <c r="BS173" s="88">
        <v>0</v>
      </c>
      <c r="BV173" s="89">
        <v>1098360</v>
      </c>
      <c r="BW173" s="89">
        <v>205027.20000000001</v>
      </c>
      <c r="BX173" s="89">
        <v>43402</v>
      </c>
      <c r="BY173" s="89">
        <v>893332.8</v>
      </c>
      <c r="BZ173" s="112">
        <v>81.333333333333329</v>
      </c>
      <c r="CK173" s="88">
        <v>0</v>
      </c>
    </row>
    <row r="174" spans="1:89" x14ac:dyDescent="0.15">
      <c r="A174" s="84">
        <v>1</v>
      </c>
      <c r="B174" s="85">
        <v>43433</v>
      </c>
      <c r="C174" s="85">
        <v>43461</v>
      </c>
      <c r="F174" s="85" t="s">
        <v>338</v>
      </c>
      <c r="H174" s="85" t="s">
        <v>338</v>
      </c>
      <c r="I174" s="84" t="s">
        <v>401</v>
      </c>
      <c r="J174" s="84">
        <v>2</v>
      </c>
      <c r="L174" s="84">
        <v>0</v>
      </c>
      <c r="M174" s="85">
        <v>43402</v>
      </c>
      <c r="N174" s="85" t="s">
        <v>265</v>
      </c>
      <c r="O174" s="86" t="s">
        <v>340</v>
      </c>
      <c r="P174" s="84" t="s">
        <v>271</v>
      </c>
      <c r="Q174" s="86" t="s">
        <v>107</v>
      </c>
      <c r="R174" s="86" t="s">
        <v>658</v>
      </c>
      <c r="S174" s="87" t="s">
        <v>639</v>
      </c>
      <c r="T174" s="87" t="s">
        <v>617</v>
      </c>
      <c r="U174" s="88">
        <v>600000</v>
      </c>
      <c r="V174" s="88">
        <v>648000</v>
      </c>
      <c r="W174" s="88">
        <v>600000</v>
      </c>
      <c r="X174" s="88">
        <v>648000</v>
      </c>
      <c r="Z174" s="88">
        <v>0</v>
      </c>
      <c r="AD174" s="84">
        <v>678</v>
      </c>
      <c r="AE174" s="84">
        <v>451</v>
      </c>
      <c r="AF174" s="84">
        <v>227</v>
      </c>
      <c r="AG174" s="84">
        <v>0</v>
      </c>
      <c r="AJ174" s="84">
        <v>0</v>
      </c>
      <c r="AR174" s="85">
        <v>43423</v>
      </c>
      <c r="AS174" s="84">
        <v>6001620861</v>
      </c>
      <c r="AT174" s="85">
        <v>43426</v>
      </c>
      <c r="AU174" s="84" t="s">
        <v>953</v>
      </c>
      <c r="AV174" s="85">
        <v>43461</v>
      </c>
      <c r="AW174" s="123">
        <v>43465</v>
      </c>
      <c r="AX174" s="123">
        <v>43485</v>
      </c>
      <c r="AY174" s="132">
        <v>576000</v>
      </c>
      <c r="AZ174" s="132">
        <f>ROUNDDOWN(AY174+(AY174*MASTER!$A$2/100),0)</f>
        <v>622080</v>
      </c>
      <c r="BA174" s="84" t="s">
        <v>778</v>
      </c>
      <c r="BC174" s="88">
        <v>0</v>
      </c>
      <c r="BG174" s="88">
        <v>0</v>
      </c>
      <c r="BK174" s="88">
        <v>0</v>
      </c>
      <c r="BS174" s="88">
        <v>0</v>
      </c>
      <c r="BV174" s="89">
        <v>648000</v>
      </c>
      <c r="BW174" s="89">
        <v>0</v>
      </c>
      <c r="BX174" s="89">
        <v>43402</v>
      </c>
      <c r="BY174" s="89">
        <v>648000</v>
      </c>
      <c r="BZ174" s="112">
        <v>100</v>
      </c>
      <c r="CK174" s="88">
        <v>600000</v>
      </c>
    </row>
    <row r="175" spans="1:89" x14ac:dyDescent="0.15">
      <c r="A175" s="84">
        <v>2</v>
      </c>
      <c r="B175" s="85">
        <v>43409</v>
      </c>
      <c r="C175" s="85">
        <v>43412</v>
      </c>
      <c r="D175" s="85">
        <v>43410</v>
      </c>
      <c r="E175" s="85">
        <v>43410</v>
      </c>
      <c r="F175" s="85" t="s">
        <v>338</v>
      </c>
      <c r="G175" s="85">
        <v>43410</v>
      </c>
      <c r="H175" s="85" t="s">
        <v>338</v>
      </c>
      <c r="I175" s="84" t="s">
        <v>547</v>
      </c>
      <c r="J175" s="84">
        <v>2</v>
      </c>
      <c r="L175" s="84">
        <v>0</v>
      </c>
      <c r="M175" s="85">
        <v>43402</v>
      </c>
      <c r="N175" s="85" t="s">
        <v>265</v>
      </c>
      <c r="O175" s="86" t="s">
        <v>340</v>
      </c>
      <c r="P175" s="84" t="s">
        <v>6</v>
      </c>
      <c r="Q175" s="86" t="s">
        <v>107</v>
      </c>
      <c r="R175" s="86" t="s">
        <v>746</v>
      </c>
      <c r="S175" s="87" t="s">
        <v>747</v>
      </c>
      <c r="T175" s="87" t="s">
        <v>342</v>
      </c>
      <c r="U175" s="88">
        <v>35000</v>
      </c>
      <c r="V175" s="88">
        <v>37800</v>
      </c>
      <c r="W175" s="88">
        <v>35000</v>
      </c>
      <c r="X175" s="88">
        <v>37800</v>
      </c>
      <c r="Z175" s="88">
        <v>0</v>
      </c>
      <c r="AA175" s="85">
        <v>43409</v>
      </c>
      <c r="AB175" s="85">
        <v>43409</v>
      </c>
      <c r="AD175" s="84">
        <v>0</v>
      </c>
      <c r="AG175" s="84">
        <v>0</v>
      </c>
      <c r="AJ175" s="84">
        <v>0</v>
      </c>
      <c r="AN175" s="84" t="s">
        <v>338</v>
      </c>
      <c r="AR175" s="85">
        <v>43406</v>
      </c>
      <c r="AS175" s="84">
        <v>6001614856</v>
      </c>
      <c r="AT175" s="85">
        <v>43406</v>
      </c>
      <c r="AU175" s="84" t="s">
        <v>742</v>
      </c>
      <c r="AV175" s="85">
        <v>43412</v>
      </c>
      <c r="AW175" s="123">
        <v>43434</v>
      </c>
      <c r="AX175" s="123">
        <v>43454</v>
      </c>
      <c r="AY175" s="132">
        <v>33600</v>
      </c>
      <c r="AZ175" s="132">
        <f>ROUNDDOWN(AY175+(AY175*MASTER!$A$2/100),0)</f>
        <v>36288</v>
      </c>
      <c r="BA175" s="84" t="s">
        <v>833</v>
      </c>
      <c r="BB175" s="88">
        <v>32000</v>
      </c>
      <c r="BC175" s="88">
        <v>34560</v>
      </c>
      <c r="BD175" s="84" t="s">
        <v>677</v>
      </c>
      <c r="BG175" s="88">
        <v>0</v>
      </c>
      <c r="BK175" s="88">
        <v>0</v>
      </c>
      <c r="BS175" s="88">
        <v>0</v>
      </c>
      <c r="BV175" s="89">
        <v>37800</v>
      </c>
      <c r="BW175" s="89">
        <v>34560</v>
      </c>
      <c r="BX175" s="89">
        <v>43402</v>
      </c>
      <c r="BY175" s="89">
        <v>3240</v>
      </c>
      <c r="BZ175" s="112">
        <v>8.5714285714285712</v>
      </c>
      <c r="CK175" s="88">
        <v>0</v>
      </c>
    </row>
    <row r="176" spans="1:89" x14ac:dyDescent="0.15">
      <c r="A176" s="84">
        <v>1</v>
      </c>
      <c r="B176" s="85">
        <v>43412</v>
      </c>
      <c r="C176" s="85">
        <v>43426</v>
      </c>
      <c r="F176" s="85" t="s">
        <v>338</v>
      </c>
      <c r="G176" s="85">
        <v>43430</v>
      </c>
      <c r="H176" s="85" t="s">
        <v>338</v>
      </c>
      <c r="J176" s="84">
        <v>1</v>
      </c>
      <c r="L176" s="84">
        <v>0</v>
      </c>
      <c r="M176" s="85">
        <v>43403</v>
      </c>
      <c r="N176" s="85" t="s">
        <v>265</v>
      </c>
      <c r="O176" s="86" t="s">
        <v>340</v>
      </c>
      <c r="P176" s="84" t="s">
        <v>26</v>
      </c>
      <c r="Q176" s="86" t="s">
        <v>107</v>
      </c>
      <c r="R176" s="86" t="s">
        <v>823</v>
      </c>
      <c r="S176" s="87" t="s">
        <v>824</v>
      </c>
      <c r="T176" s="87" t="s">
        <v>825</v>
      </c>
      <c r="U176" s="88">
        <v>19700</v>
      </c>
      <c r="V176" s="88">
        <v>21276</v>
      </c>
      <c r="W176" s="88">
        <v>14700</v>
      </c>
      <c r="X176" s="88">
        <v>15876</v>
      </c>
      <c r="Y176" s="88">
        <v>5000</v>
      </c>
      <c r="Z176" s="88">
        <v>5400</v>
      </c>
      <c r="AA176" s="85">
        <v>43425</v>
      </c>
      <c r="AB176" s="85">
        <v>43426</v>
      </c>
      <c r="AD176" s="84">
        <v>0</v>
      </c>
      <c r="AG176" s="84">
        <v>0</v>
      </c>
      <c r="AJ176" s="84">
        <v>0</v>
      </c>
      <c r="AM176" s="84" t="s">
        <v>290</v>
      </c>
      <c r="AN176" s="84" t="s">
        <v>826</v>
      </c>
      <c r="AR176" s="85">
        <v>43411</v>
      </c>
      <c r="AS176" s="84">
        <v>6001616927</v>
      </c>
      <c r="AT176" s="85">
        <v>43411</v>
      </c>
      <c r="AU176" s="84" t="s">
        <v>782</v>
      </c>
      <c r="AV176" s="85">
        <v>43426</v>
      </c>
      <c r="AW176" s="123">
        <v>43434</v>
      </c>
      <c r="AX176" s="123">
        <v>43454</v>
      </c>
      <c r="AY176" s="132">
        <v>18912</v>
      </c>
      <c r="AZ176" s="132">
        <f>ROUNDDOWN(AY176+(AY176*MASTER!$A$2/100),0)</f>
        <v>20424</v>
      </c>
      <c r="BC176" s="88">
        <v>0</v>
      </c>
      <c r="BG176" s="88">
        <v>0</v>
      </c>
      <c r="BI176" s="84" t="s">
        <v>276</v>
      </c>
      <c r="BJ176" s="88">
        <v>3250</v>
      </c>
      <c r="BK176" s="88">
        <v>3510</v>
      </c>
      <c r="BL176" s="84" t="s">
        <v>863</v>
      </c>
      <c r="BS176" s="88">
        <v>0</v>
      </c>
      <c r="BV176" s="89">
        <v>15876</v>
      </c>
      <c r="BW176" s="89">
        <v>3510</v>
      </c>
      <c r="BX176" s="89">
        <v>43403</v>
      </c>
      <c r="BY176" s="89">
        <v>12366</v>
      </c>
      <c r="BZ176" s="112">
        <v>77.89115646258503</v>
      </c>
      <c r="CK176" s="88">
        <v>0</v>
      </c>
    </row>
    <row r="177" spans="1:89" x14ac:dyDescent="0.15">
      <c r="A177" s="84">
        <v>2</v>
      </c>
      <c r="B177" s="85">
        <v>43441</v>
      </c>
      <c r="C177" s="85">
        <v>43453</v>
      </c>
      <c r="D177" s="85" t="s">
        <v>374</v>
      </c>
      <c r="F177" s="85">
        <v>43460</v>
      </c>
      <c r="G177" s="85">
        <v>43455</v>
      </c>
      <c r="H177" s="85">
        <v>43456</v>
      </c>
      <c r="I177" s="84" t="s">
        <v>776</v>
      </c>
      <c r="J177" s="84">
        <v>1</v>
      </c>
      <c r="L177" s="84">
        <v>0</v>
      </c>
      <c r="M177" s="85">
        <v>43403</v>
      </c>
      <c r="N177" s="85" t="s">
        <v>265</v>
      </c>
      <c r="O177" s="86" t="s">
        <v>340</v>
      </c>
      <c r="P177" s="84" t="s">
        <v>26</v>
      </c>
      <c r="Q177" s="86" t="s">
        <v>107</v>
      </c>
      <c r="R177" s="86" t="s">
        <v>1098</v>
      </c>
      <c r="S177" s="87" t="s">
        <v>926</v>
      </c>
      <c r="T177" s="87" t="s">
        <v>794</v>
      </c>
      <c r="U177" s="88">
        <v>19700</v>
      </c>
      <c r="V177" s="88">
        <v>21276</v>
      </c>
      <c r="W177" s="88">
        <v>14700</v>
      </c>
      <c r="X177" s="88">
        <v>15876</v>
      </c>
      <c r="Y177" s="88">
        <v>5000</v>
      </c>
      <c r="Z177" s="88">
        <v>5400</v>
      </c>
      <c r="AA177" s="85">
        <v>43451</v>
      </c>
      <c r="AB177" s="85">
        <v>43453</v>
      </c>
      <c r="AC177" s="85">
        <v>43453</v>
      </c>
      <c r="AD177" s="84">
        <v>0</v>
      </c>
      <c r="AG177" s="84">
        <v>0</v>
      </c>
      <c r="AJ177" s="84">
        <v>0</v>
      </c>
      <c r="AM177" s="84" t="s">
        <v>290</v>
      </c>
      <c r="AN177" s="84" t="s">
        <v>1099</v>
      </c>
      <c r="AR177" s="85">
        <v>43416</v>
      </c>
      <c r="AS177" s="84">
        <v>6001618599</v>
      </c>
      <c r="AT177" s="85">
        <v>43416</v>
      </c>
      <c r="AU177" s="84" t="s">
        <v>839</v>
      </c>
      <c r="AV177" s="85">
        <v>43453</v>
      </c>
      <c r="AW177" s="123">
        <v>43465</v>
      </c>
      <c r="AX177" s="123">
        <v>43485</v>
      </c>
      <c r="AY177" s="132">
        <v>18912</v>
      </c>
      <c r="AZ177" s="132">
        <f>ROUNDDOWN(AY177+(AY177*MASTER!$A$2/100),0)</f>
        <v>20424</v>
      </c>
      <c r="BA177" s="84" t="s">
        <v>778</v>
      </c>
      <c r="BC177" s="88">
        <v>0</v>
      </c>
      <c r="BG177" s="88">
        <v>0</v>
      </c>
      <c r="BI177" s="84" t="s">
        <v>276</v>
      </c>
      <c r="BJ177" s="88">
        <v>3250</v>
      </c>
      <c r="BK177" s="88">
        <v>3510</v>
      </c>
      <c r="BL177" s="84" t="s">
        <v>863</v>
      </c>
      <c r="BS177" s="88">
        <v>0</v>
      </c>
      <c r="BV177" s="89">
        <v>15876</v>
      </c>
      <c r="BW177" s="89">
        <v>3510</v>
      </c>
      <c r="BX177" s="89">
        <v>43403</v>
      </c>
      <c r="BY177" s="89">
        <v>12366</v>
      </c>
      <c r="BZ177" s="112">
        <v>77.89115646258503</v>
      </c>
      <c r="CK177" s="88">
        <v>0</v>
      </c>
    </row>
    <row r="178" spans="1:89" x14ac:dyDescent="0.15">
      <c r="A178" s="84">
        <v>2</v>
      </c>
      <c r="B178" s="85">
        <v>43431</v>
      </c>
      <c r="C178" s="85">
        <v>43441</v>
      </c>
      <c r="D178" s="85">
        <v>43474</v>
      </c>
      <c r="F178" s="85">
        <v>43448</v>
      </c>
      <c r="G178" s="85">
        <v>43440</v>
      </c>
      <c r="H178" s="85">
        <v>43444</v>
      </c>
      <c r="I178" s="84" t="s">
        <v>401</v>
      </c>
      <c r="J178" s="84">
        <v>1</v>
      </c>
      <c r="L178" s="84">
        <v>0</v>
      </c>
      <c r="M178" s="85">
        <v>43403</v>
      </c>
      <c r="N178" s="85" t="s">
        <v>265</v>
      </c>
      <c r="O178" s="86" t="s">
        <v>340</v>
      </c>
      <c r="P178" s="84" t="s">
        <v>26</v>
      </c>
      <c r="Q178" s="86" t="s">
        <v>107</v>
      </c>
      <c r="R178" s="86" t="s">
        <v>899</v>
      </c>
      <c r="S178" s="87" t="s">
        <v>900</v>
      </c>
      <c r="T178" s="87" t="s">
        <v>865</v>
      </c>
      <c r="U178" s="88">
        <v>164800</v>
      </c>
      <c r="V178" s="88">
        <v>177984</v>
      </c>
      <c r="W178" s="88">
        <v>76300</v>
      </c>
      <c r="X178" s="88">
        <v>82404</v>
      </c>
      <c r="Y178" s="88">
        <v>88500</v>
      </c>
      <c r="Z178" s="88">
        <v>95580</v>
      </c>
      <c r="AA178" s="85">
        <v>43439</v>
      </c>
      <c r="AB178" s="85">
        <v>43441</v>
      </c>
      <c r="AC178" s="85">
        <v>43441</v>
      </c>
      <c r="AD178" s="84">
        <v>0</v>
      </c>
      <c r="AG178" s="84">
        <v>0</v>
      </c>
      <c r="AJ178" s="84">
        <v>0</v>
      </c>
      <c r="AM178" s="84" t="s">
        <v>290</v>
      </c>
      <c r="AN178" s="84" t="s">
        <v>901</v>
      </c>
      <c r="AR178" s="85">
        <v>43411</v>
      </c>
      <c r="AS178" s="84">
        <v>6001616927</v>
      </c>
      <c r="AT178" s="85">
        <v>43411</v>
      </c>
      <c r="AU178" s="84" t="s">
        <v>782</v>
      </c>
      <c r="AV178" s="85">
        <v>43441</v>
      </c>
      <c r="AW178" s="123">
        <v>43465</v>
      </c>
      <c r="AX178" s="123">
        <v>43485</v>
      </c>
      <c r="AY178" s="132">
        <v>158208</v>
      </c>
      <c r="AZ178" s="132">
        <f>ROUNDDOWN(AY178+(AY178*MASTER!$A$2/100),0)</f>
        <v>170864</v>
      </c>
      <c r="BA178" s="84" t="s">
        <v>477</v>
      </c>
      <c r="BB178" s="88">
        <v>40000</v>
      </c>
      <c r="BC178" s="88">
        <v>43200</v>
      </c>
      <c r="BD178" s="84" t="s">
        <v>190</v>
      </c>
      <c r="BG178" s="88">
        <v>0</v>
      </c>
      <c r="BI178" s="84" t="s">
        <v>434</v>
      </c>
      <c r="BJ178" s="88">
        <v>57525</v>
      </c>
      <c r="BK178" s="88">
        <v>62127</v>
      </c>
      <c r="BL178" s="84" t="s">
        <v>190</v>
      </c>
      <c r="BS178" s="88">
        <v>0</v>
      </c>
      <c r="BV178" s="89">
        <v>82404</v>
      </c>
      <c r="BW178" s="89">
        <v>105327</v>
      </c>
      <c r="BX178" s="89">
        <v>43403</v>
      </c>
      <c r="BY178" s="89">
        <v>-22923</v>
      </c>
      <c r="BZ178" s="112">
        <v>-27.817824377457406</v>
      </c>
      <c r="CK178" s="88">
        <v>6300</v>
      </c>
    </row>
    <row r="179" spans="1:89" x14ac:dyDescent="0.15">
      <c r="A179" s="84">
        <v>2</v>
      </c>
      <c r="B179" s="85">
        <v>43417</v>
      </c>
      <c r="C179" s="85">
        <v>43423</v>
      </c>
      <c r="D179" s="85">
        <v>43438</v>
      </c>
      <c r="F179" s="85" t="s">
        <v>338</v>
      </c>
      <c r="G179" s="85">
        <v>43423</v>
      </c>
      <c r="H179" s="85" t="s">
        <v>338</v>
      </c>
      <c r="I179" s="84" t="s">
        <v>776</v>
      </c>
      <c r="J179" s="84">
        <v>1</v>
      </c>
      <c r="L179" s="84">
        <v>0</v>
      </c>
      <c r="M179" s="85">
        <v>43403</v>
      </c>
      <c r="N179" s="85" t="s">
        <v>265</v>
      </c>
      <c r="O179" s="86" t="s">
        <v>340</v>
      </c>
      <c r="P179" s="84" t="s">
        <v>26</v>
      </c>
      <c r="Q179" s="86" t="s">
        <v>107</v>
      </c>
      <c r="R179" s="86" t="s">
        <v>694</v>
      </c>
      <c r="S179" s="87" t="s">
        <v>695</v>
      </c>
      <c r="T179" s="87" t="s">
        <v>696</v>
      </c>
      <c r="U179" s="88">
        <v>255800</v>
      </c>
      <c r="V179" s="88">
        <v>276264</v>
      </c>
      <c r="W179" s="88">
        <v>92300</v>
      </c>
      <c r="X179" s="88">
        <v>99684</v>
      </c>
      <c r="Y179" s="88">
        <v>163500</v>
      </c>
      <c r="Z179" s="88">
        <v>176580</v>
      </c>
      <c r="AA179" s="85">
        <v>43422</v>
      </c>
      <c r="AB179" s="85">
        <v>43423</v>
      </c>
      <c r="AD179" s="84">
        <v>0</v>
      </c>
      <c r="AG179" s="84">
        <v>0</v>
      </c>
      <c r="AJ179" s="84">
        <v>0</v>
      </c>
      <c r="AM179" s="84" t="s">
        <v>290</v>
      </c>
      <c r="AN179" s="84" t="s">
        <v>697</v>
      </c>
      <c r="AR179" s="85">
        <v>43416</v>
      </c>
      <c r="AS179" s="84">
        <v>6001618599</v>
      </c>
      <c r="AT179" s="85">
        <v>43416</v>
      </c>
      <c r="AU179" s="84" t="s">
        <v>839</v>
      </c>
      <c r="AV179" s="85">
        <v>43423</v>
      </c>
      <c r="AW179" s="123">
        <v>43434</v>
      </c>
      <c r="AX179" s="123">
        <v>43454</v>
      </c>
      <c r="AY179" s="132">
        <v>245568</v>
      </c>
      <c r="AZ179" s="132">
        <f>ROUNDDOWN(AY179+(AY179*MASTER!$A$2/100),0)</f>
        <v>265213</v>
      </c>
      <c r="BA179" s="84" t="s">
        <v>287</v>
      </c>
      <c r="BB179" s="88">
        <v>35000</v>
      </c>
      <c r="BC179" s="88">
        <v>37800</v>
      </c>
      <c r="BD179" s="84" t="s">
        <v>189</v>
      </c>
      <c r="BG179" s="88">
        <v>0</v>
      </c>
      <c r="BI179" s="84" t="s">
        <v>434</v>
      </c>
      <c r="BJ179" s="88">
        <v>106275</v>
      </c>
      <c r="BK179" s="88">
        <v>114777</v>
      </c>
      <c r="BL179" s="84" t="s">
        <v>189</v>
      </c>
      <c r="BS179" s="88">
        <v>0</v>
      </c>
      <c r="BV179" s="89">
        <v>99684</v>
      </c>
      <c r="BW179" s="89">
        <v>152577</v>
      </c>
      <c r="BX179" s="89">
        <v>43403</v>
      </c>
      <c r="BY179" s="89">
        <v>-52893</v>
      </c>
      <c r="BZ179" s="112">
        <v>-53.060671722643548</v>
      </c>
      <c r="CK179" s="88">
        <v>6300</v>
      </c>
    </row>
    <row r="180" spans="1:89" x14ac:dyDescent="0.15">
      <c r="A180" s="84">
        <v>2</v>
      </c>
      <c r="B180" s="85">
        <v>43412</v>
      </c>
      <c r="C180" s="85">
        <v>43433</v>
      </c>
      <c r="D180" s="85">
        <v>43440</v>
      </c>
      <c r="F180" s="85">
        <v>43440</v>
      </c>
      <c r="G180" s="85">
        <v>43433</v>
      </c>
      <c r="H180" s="85">
        <v>43436</v>
      </c>
      <c r="I180" s="84" t="s">
        <v>401</v>
      </c>
      <c r="J180" s="84">
        <v>1</v>
      </c>
      <c r="L180" s="84">
        <v>0</v>
      </c>
      <c r="M180" s="85">
        <v>43403</v>
      </c>
      <c r="N180" s="85" t="s">
        <v>265</v>
      </c>
      <c r="O180" s="86" t="s">
        <v>340</v>
      </c>
      <c r="P180" s="84" t="s">
        <v>26</v>
      </c>
      <c r="Q180" s="86" t="s">
        <v>107</v>
      </c>
      <c r="R180" s="86" t="s">
        <v>829</v>
      </c>
      <c r="S180" s="87" t="s">
        <v>830</v>
      </c>
      <c r="T180" s="87" t="s">
        <v>831</v>
      </c>
      <c r="U180" s="88">
        <v>164800</v>
      </c>
      <c r="V180" s="88">
        <v>177984</v>
      </c>
      <c r="W180" s="88">
        <v>76300</v>
      </c>
      <c r="X180" s="88">
        <v>82404</v>
      </c>
      <c r="Y180" s="88">
        <v>88500</v>
      </c>
      <c r="Z180" s="88">
        <v>95580</v>
      </c>
      <c r="AA180" s="85">
        <v>43432</v>
      </c>
      <c r="AB180" s="85">
        <v>43433</v>
      </c>
      <c r="AC180" s="85">
        <v>43433</v>
      </c>
      <c r="AD180" s="84">
        <v>0</v>
      </c>
      <c r="AG180" s="84">
        <v>0</v>
      </c>
      <c r="AJ180" s="84">
        <v>0</v>
      </c>
      <c r="AM180" s="84" t="s">
        <v>290</v>
      </c>
      <c r="AN180" s="84" t="s">
        <v>832</v>
      </c>
      <c r="AR180" s="85">
        <v>43411</v>
      </c>
      <c r="AS180" s="84">
        <v>6001616927</v>
      </c>
      <c r="AT180" s="85">
        <v>43411</v>
      </c>
      <c r="AU180" s="84" t="s">
        <v>782</v>
      </c>
      <c r="AV180" s="85">
        <v>43433</v>
      </c>
      <c r="AW180" s="123">
        <v>43434</v>
      </c>
      <c r="AX180" s="123">
        <v>43454</v>
      </c>
      <c r="AY180" s="132">
        <v>158208</v>
      </c>
      <c r="AZ180" s="132">
        <f>ROUNDDOWN(AY180+(AY180*MASTER!$A$2/100),0)</f>
        <v>170864</v>
      </c>
      <c r="BA180" s="84" t="s">
        <v>745</v>
      </c>
      <c r="BB180" s="88">
        <v>28000</v>
      </c>
      <c r="BC180" s="88">
        <v>30240</v>
      </c>
      <c r="BD180" s="84" t="s">
        <v>189</v>
      </c>
      <c r="BG180" s="88">
        <v>0</v>
      </c>
      <c r="BI180" s="84" t="s">
        <v>276</v>
      </c>
      <c r="BJ180" s="88">
        <v>57525</v>
      </c>
      <c r="BK180" s="88">
        <v>62127</v>
      </c>
      <c r="BL180" s="84" t="s">
        <v>863</v>
      </c>
      <c r="BS180" s="88">
        <v>0</v>
      </c>
      <c r="BV180" s="89">
        <v>82404</v>
      </c>
      <c r="BW180" s="89">
        <v>92367</v>
      </c>
      <c r="BX180" s="89">
        <v>43403</v>
      </c>
      <c r="BY180" s="89">
        <v>-9963</v>
      </c>
      <c r="BZ180" s="112">
        <v>-12.09043250327654</v>
      </c>
      <c r="CK180" s="88">
        <v>6300</v>
      </c>
    </row>
    <row r="181" spans="1:89" x14ac:dyDescent="0.15">
      <c r="A181" s="84">
        <v>2</v>
      </c>
      <c r="B181" s="85">
        <v>43483</v>
      </c>
      <c r="C181" s="85">
        <v>43487</v>
      </c>
      <c r="D181" s="85">
        <v>43534</v>
      </c>
      <c r="F181" s="85">
        <v>43494</v>
      </c>
      <c r="G181" s="85">
        <v>43487</v>
      </c>
      <c r="H181" s="85">
        <v>43490</v>
      </c>
      <c r="I181" s="84" t="s">
        <v>401</v>
      </c>
      <c r="J181" s="84">
        <v>1</v>
      </c>
      <c r="K181" s="85">
        <v>43447</v>
      </c>
      <c r="L181" s="84" t="s">
        <v>818</v>
      </c>
      <c r="M181" s="85">
        <v>43403</v>
      </c>
      <c r="N181" s="85" t="s">
        <v>265</v>
      </c>
      <c r="O181" s="86" t="s">
        <v>340</v>
      </c>
      <c r="P181" s="84" t="s">
        <v>26</v>
      </c>
      <c r="Q181" s="86" t="s">
        <v>107</v>
      </c>
      <c r="R181" s="86" t="s">
        <v>1239</v>
      </c>
      <c r="S181" s="87" t="s">
        <v>1240</v>
      </c>
      <c r="T181" s="87" t="s">
        <v>1241</v>
      </c>
      <c r="U181" s="88">
        <v>48000</v>
      </c>
      <c r="V181" s="88">
        <v>51840</v>
      </c>
      <c r="W181" s="88">
        <v>39000</v>
      </c>
      <c r="X181" s="88">
        <v>42120</v>
      </c>
      <c r="Y181" s="88">
        <v>9000</v>
      </c>
      <c r="Z181" s="88">
        <v>9720</v>
      </c>
      <c r="AA181" s="85">
        <v>43486</v>
      </c>
      <c r="AB181" s="85">
        <v>43487</v>
      </c>
      <c r="AC181" s="85">
        <v>43487</v>
      </c>
      <c r="AD181" s="84">
        <v>0</v>
      </c>
      <c r="AG181" s="84">
        <v>0</v>
      </c>
      <c r="AJ181" s="84">
        <v>0</v>
      </c>
      <c r="AM181" s="84" t="s">
        <v>290</v>
      </c>
      <c r="AN181" s="84" t="s">
        <v>1242</v>
      </c>
      <c r="AR181" s="85">
        <v>43482</v>
      </c>
      <c r="AS181" s="84">
        <v>6001638017</v>
      </c>
      <c r="AT181" s="85">
        <v>43482</v>
      </c>
      <c r="AU181" s="84" t="s">
        <v>1553</v>
      </c>
      <c r="AV181" s="85">
        <v>43487</v>
      </c>
      <c r="AW181" s="123">
        <v>43496</v>
      </c>
      <c r="AX181" s="123">
        <v>43516</v>
      </c>
      <c r="AY181" s="132">
        <v>46080</v>
      </c>
      <c r="AZ181" s="132">
        <f>ROUNDDOWN(AY181+(AY181*MASTER!$A$2/100),0)</f>
        <v>49766</v>
      </c>
      <c r="BA181" s="84" t="s">
        <v>400</v>
      </c>
      <c r="BB181" s="88">
        <v>21000</v>
      </c>
      <c r="BC181" s="88">
        <v>22680</v>
      </c>
      <c r="BD181" s="84" t="s">
        <v>1233</v>
      </c>
      <c r="BG181" s="88">
        <v>0</v>
      </c>
      <c r="BK181" s="88">
        <v>0</v>
      </c>
      <c r="BS181" s="88">
        <v>0</v>
      </c>
      <c r="BV181" s="89">
        <v>42120</v>
      </c>
      <c r="BW181" s="89">
        <v>22680</v>
      </c>
      <c r="BX181" s="89">
        <v>0</v>
      </c>
      <c r="BY181" s="89">
        <v>43447</v>
      </c>
      <c r="BZ181" s="112">
        <v>46.153846153846153</v>
      </c>
      <c r="CK181" s="88">
        <v>0</v>
      </c>
    </row>
    <row r="182" spans="1:89" x14ac:dyDescent="0.15">
      <c r="A182" s="84">
        <v>2</v>
      </c>
      <c r="B182" s="85">
        <v>43441</v>
      </c>
      <c r="C182" s="85">
        <v>43456</v>
      </c>
      <c r="D182" s="85">
        <v>43487</v>
      </c>
      <c r="F182" s="85">
        <v>43462</v>
      </c>
      <c r="G182" s="85">
        <v>43455</v>
      </c>
      <c r="H182" s="85">
        <v>43458</v>
      </c>
      <c r="I182" s="84" t="s">
        <v>401</v>
      </c>
      <c r="J182" s="84">
        <v>1</v>
      </c>
      <c r="L182" s="84">
        <v>0</v>
      </c>
      <c r="M182" s="85">
        <v>43403</v>
      </c>
      <c r="N182" s="85" t="s">
        <v>265</v>
      </c>
      <c r="O182" s="86" t="s">
        <v>340</v>
      </c>
      <c r="P182" s="84" t="s">
        <v>26</v>
      </c>
      <c r="Q182" s="86" t="s">
        <v>107</v>
      </c>
      <c r="R182" s="86" t="s">
        <v>864</v>
      </c>
      <c r="S182" s="87" t="s">
        <v>442</v>
      </c>
      <c r="T182" s="87" t="s">
        <v>865</v>
      </c>
      <c r="U182" s="88">
        <v>164800</v>
      </c>
      <c r="V182" s="88">
        <v>177984</v>
      </c>
      <c r="W182" s="88">
        <v>76300</v>
      </c>
      <c r="X182" s="88">
        <v>82404</v>
      </c>
      <c r="Y182" s="88">
        <v>88500</v>
      </c>
      <c r="Z182" s="88">
        <v>95580</v>
      </c>
      <c r="AA182" s="85">
        <v>43454</v>
      </c>
      <c r="AB182" s="85">
        <v>43455</v>
      </c>
      <c r="AC182" s="85">
        <v>43455</v>
      </c>
      <c r="AD182" s="84">
        <v>0</v>
      </c>
      <c r="AG182" s="84">
        <v>0</v>
      </c>
      <c r="AJ182" s="84">
        <v>0</v>
      </c>
      <c r="AM182" s="84" t="s">
        <v>290</v>
      </c>
      <c r="AN182" s="84" t="s">
        <v>866</v>
      </c>
      <c r="AR182" s="85">
        <v>43425</v>
      </c>
      <c r="AS182" s="84">
        <v>6001622000</v>
      </c>
      <c r="AT182" s="85">
        <v>43425</v>
      </c>
      <c r="AU182" s="84" t="s">
        <v>950</v>
      </c>
      <c r="AV182" s="85">
        <v>43456</v>
      </c>
      <c r="AW182" s="123">
        <v>43465</v>
      </c>
      <c r="AX182" s="123">
        <v>43485</v>
      </c>
      <c r="AY182" s="132">
        <v>158208</v>
      </c>
      <c r="AZ182" s="132">
        <f>ROUNDDOWN(AY182+(AY182*MASTER!$A$2/100),0)</f>
        <v>170864</v>
      </c>
      <c r="BA182" s="84" t="s">
        <v>745</v>
      </c>
      <c r="BB182" s="88">
        <v>32000</v>
      </c>
      <c r="BC182" s="88">
        <v>34560</v>
      </c>
      <c r="BD182" s="84" t="s">
        <v>190</v>
      </c>
      <c r="BG182" s="88">
        <v>0</v>
      </c>
      <c r="BI182" s="84" t="s">
        <v>276</v>
      </c>
      <c r="BJ182" s="88">
        <v>57525</v>
      </c>
      <c r="BK182" s="88">
        <v>62127</v>
      </c>
      <c r="BL182" s="84" t="s">
        <v>1421</v>
      </c>
      <c r="BS182" s="88">
        <v>0</v>
      </c>
      <c r="BV182" s="89">
        <v>82404</v>
      </c>
      <c r="BW182" s="89">
        <v>96687</v>
      </c>
      <c r="BX182" s="89">
        <v>43403</v>
      </c>
      <c r="BY182" s="89">
        <v>-14283</v>
      </c>
      <c r="BZ182" s="112">
        <v>-17.332896461336826</v>
      </c>
      <c r="CK182" s="88">
        <v>6300</v>
      </c>
    </row>
    <row r="183" spans="1:89" x14ac:dyDescent="0.15">
      <c r="A183" s="84">
        <v>2</v>
      </c>
      <c r="B183" s="85">
        <v>43441</v>
      </c>
      <c r="C183" s="85">
        <v>43454</v>
      </c>
      <c r="D183" s="85">
        <v>43470</v>
      </c>
      <c r="F183" s="85">
        <v>43461</v>
      </c>
      <c r="G183" s="85">
        <v>43455</v>
      </c>
      <c r="H183" s="85">
        <v>43457</v>
      </c>
      <c r="I183" s="84" t="s">
        <v>776</v>
      </c>
      <c r="J183" s="84">
        <v>1</v>
      </c>
      <c r="L183" s="84">
        <v>0</v>
      </c>
      <c r="M183" s="85">
        <v>43403</v>
      </c>
      <c r="N183" s="85" t="s">
        <v>265</v>
      </c>
      <c r="O183" s="86" t="s">
        <v>340</v>
      </c>
      <c r="P183" s="84" t="s">
        <v>26</v>
      </c>
      <c r="Q183" s="86" t="s">
        <v>107</v>
      </c>
      <c r="R183" s="86" t="s">
        <v>1170</v>
      </c>
      <c r="S183" s="87" t="s">
        <v>1171</v>
      </c>
      <c r="T183" s="87" t="s">
        <v>1172</v>
      </c>
      <c r="U183" s="88">
        <v>73200</v>
      </c>
      <c r="V183" s="88">
        <v>79056</v>
      </c>
      <c r="W183" s="88">
        <v>55000</v>
      </c>
      <c r="X183" s="88">
        <v>59400</v>
      </c>
      <c r="Y183" s="88">
        <v>18200</v>
      </c>
      <c r="Z183" s="88">
        <v>19656</v>
      </c>
      <c r="AA183" s="85">
        <v>43452</v>
      </c>
      <c r="AB183" s="85">
        <v>43454</v>
      </c>
      <c r="AC183" s="85">
        <v>43454</v>
      </c>
      <c r="AD183" s="84">
        <v>0</v>
      </c>
      <c r="AG183" s="84">
        <v>0</v>
      </c>
      <c r="AJ183" s="84">
        <v>0</v>
      </c>
      <c r="AM183" s="84" t="s">
        <v>290</v>
      </c>
      <c r="AN183" s="84" t="s">
        <v>1173</v>
      </c>
      <c r="AR183" s="85">
        <v>43438</v>
      </c>
      <c r="AS183" s="84">
        <v>6001625953</v>
      </c>
      <c r="AT183" s="85">
        <v>43439</v>
      </c>
      <c r="AU183" s="84" t="s">
        <v>1130</v>
      </c>
      <c r="AV183" s="85">
        <v>43454</v>
      </c>
      <c r="AW183" s="123">
        <v>43465</v>
      </c>
      <c r="AX183" s="123">
        <v>43485</v>
      </c>
      <c r="AY183" s="132">
        <v>70272</v>
      </c>
      <c r="AZ183" s="132">
        <f>ROUNDDOWN(AY183+(AY183*MASTER!$A$2/100),0)</f>
        <v>75893</v>
      </c>
      <c r="BA183" s="84" t="s">
        <v>287</v>
      </c>
      <c r="BB183" s="88">
        <v>42000</v>
      </c>
      <c r="BC183" s="88">
        <v>45360</v>
      </c>
      <c r="BD183" s="84" t="s">
        <v>190</v>
      </c>
      <c r="BG183" s="88">
        <v>0</v>
      </c>
      <c r="BI183" s="84" t="s">
        <v>434</v>
      </c>
      <c r="BJ183" s="88">
        <v>11830</v>
      </c>
      <c r="BK183" s="88">
        <v>12776.4</v>
      </c>
      <c r="BL183" s="84" t="s">
        <v>190</v>
      </c>
      <c r="BS183" s="88">
        <v>0</v>
      </c>
      <c r="BV183" s="89">
        <v>59400</v>
      </c>
      <c r="BW183" s="89">
        <v>58136.4</v>
      </c>
      <c r="BX183" s="89">
        <v>43403</v>
      </c>
      <c r="BY183" s="89">
        <v>1263.5999999999999</v>
      </c>
      <c r="BZ183" s="112">
        <v>2.1272727272727248</v>
      </c>
      <c r="CK183" s="88">
        <v>0</v>
      </c>
    </row>
    <row r="184" spans="1:89" x14ac:dyDescent="0.15">
      <c r="A184" s="84">
        <v>1</v>
      </c>
      <c r="B184" s="85">
        <v>43405</v>
      </c>
      <c r="C184" s="85">
        <v>43410</v>
      </c>
      <c r="F184" s="85" t="s">
        <v>338</v>
      </c>
      <c r="H184" s="85" t="s">
        <v>338</v>
      </c>
      <c r="J184" s="84">
        <v>2</v>
      </c>
      <c r="L184" s="84">
        <v>0</v>
      </c>
      <c r="M184" s="85">
        <v>43403</v>
      </c>
      <c r="N184" s="85" t="s">
        <v>265</v>
      </c>
      <c r="O184" s="86" t="s">
        <v>340</v>
      </c>
      <c r="P184" s="84" t="s">
        <v>26</v>
      </c>
      <c r="Q184" s="86" t="s">
        <v>107</v>
      </c>
      <c r="R184" s="86" t="s">
        <v>733</v>
      </c>
      <c r="S184" s="87" t="s">
        <v>351</v>
      </c>
      <c r="T184" s="87" t="s">
        <v>734</v>
      </c>
      <c r="U184" s="88">
        <v>10000</v>
      </c>
      <c r="V184" s="88">
        <v>10800</v>
      </c>
      <c r="W184" s="88">
        <v>10000</v>
      </c>
      <c r="X184" s="88">
        <v>10800</v>
      </c>
      <c r="Z184" s="88">
        <v>0</v>
      </c>
      <c r="AA184" s="85">
        <v>43389</v>
      </c>
      <c r="AB184" s="85">
        <v>43389</v>
      </c>
      <c r="AD184" s="84">
        <v>0</v>
      </c>
      <c r="AG184" s="84">
        <v>0</v>
      </c>
      <c r="AJ184" s="84">
        <v>0</v>
      </c>
      <c r="AN184" s="84" t="s">
        <v>338</v>
      </c>
      <c r="AR184" s="85">
        <v>43404</v>
      </c>
      <c r="AS184" s="84">
        <v>6001614082</v>
      </c>
      <c r="AT184" s="85">
        <v>43404</v>
      </c>
      <c r="AU184" s="84" t="s">
        <v>687</v>
      </c>
      <c r="AV184" s="85">
        <v>43410</v>
      </c>
      <c r="AW184" s="123">
        <v>43434</v>
      </c>
      <c r="AX184" s="123">
        <v>43454</v>
      </c>
      <c r="AY184" s="140">
        <v>10000</v>
      </c>
      <c r="AZ184" s="132">
        <f>ROUNDDOWN(AY184+(AY184*MASTER!$A$2/100),0)</f>
        <v>10800</v>
      </c>
      <c r="BC184" s="88">
        <v>0</v>
      </c>
      <c r="BG184" s="88">
        <v>0</v>
      </c>
      <c r="BK184" s="88">
        <v>0</v>
      </c>
      <c r="BS184" s="88">
        <v>0</v>
      </c>
      <c r="BV184" s="89">
        <v>10800</v>
      </c>
      <c r="BW184" s="89">
        <v>0</v>
      </c>
      <c r="BX184" s="89">
        <v>43403</v>
      </c>
      <c r="BY184" s="89">
        <v>10800</v>
      </c>
      <c r="BZ184" s="112">
        <v>100</v>
      </c>
      <c r="CK184" s="88">
        <v>0</v>
      </c>
    </row>
    <row r="185" spans="1:89" x14ac:dyDescent="0.15">
      <c r="A185" s="84">
        <v>1</v>
      </c>
      <c r="B185" s="85">
        <v>43405</v>
      </c>
      <c r="C185" s="85">
        <v>43410</v>
      </c>
      <c r="F185" s="85" t="s">
        <v>338</v>
      </c>
      <c r="H185" s="85" t="s">
        <v>338</v>
      </c>
      <c r="J185" s="84">
        <v>2</v>
      </c>
      <c r="L185" s="84">
        <v>0</v>
      </c>
      <c r="M185" s="85">
        <v>43403</v>
      </c>
      <c r="N185" s="85" t="s">
        <v>265</v>
      </c>
      <c r="O185" s="86" t="s">
        <v>340</v>
      </c>
      <c r="P185" s="84" t="s">
        <v>26</v>
      </c>
      <c r="Q185" s="86" t="s">
        <v>107</v>
      </c>
      <c r="R185" s="86" t="s">
        <v>735</v>
      </c>
      <c r="S185" s="87" t="s">
        <v>351</v>
      </c>
      <c r="T185" s="87" t="s">
        <v>736</v>
      </c>
      <c r="U185" s="88">
        <v>2500</v>
      </c>
      <c r="V185" s="88">
        <v>2700</v>
      </c>
      <c r="W185" s="88">
        <v>2500</v>
      </c>
      <c r="X185" s="88">
        <v>2700</v>
      </c>
      <c r="Z185" s="88">
        <v>0</v>
      </c>
      <c r="AA185" s="85">
        <v>43389</v>
      </c>
      <c r="AB185" s="85">
        <v>43389</v>
      </c>
      <c r="AD185" s="84">
        <v>0</v>
      </c>
      <c r="AG185" s="84">
        <v>0</v>
      </c>
      <c r="AJ185" s="84">
        <v>0</v>
      </c>
      <c r="AN185" s="84" t="s">
        <v>338</v>
      </c>
      <c r="AR185" s="85">
        <v>43404</v>
      </c>
      <c r="AS185" s="84">
        <v>6001614082</v>
      </c>
      <c r="AT185" s="85">
        <v>43404</v>
      </c>
      <c r="AU185" s="84" t="s">
        <v>687</v>
      </c>
      <c r="AV185" s="85">
        <v>43410</v>
      </c>
      <c r="AW185" s="123">
        <v>43434</v>
      </c>
      <c r="AX185" s="123">
        <v>43454</v>
      </c>
      <c r="AY185" s="140">
        <v>2500</v>
      </c>
      <c r="AZ185" s="132">
        <f>ROUNDDOWN(AY185+(AY185*MASTER!$A$2/100),0)</f>
        <v>2700</v>
      </c>
      <c r="BC185" s="88">
        <v>0</v>
      </c>
      <c r="BG185" s="88">
        <v>0</v>
      </c>
      <c r="BK185" s="88">
        <v>0</v>
      </c>
      <c r="BS185" s="88">
        <v>0</v>
      </c>
      <c r="BV185" s="89">
        <v>2700</v>
      </c>
      <c r="BW185" s="89">
        <v>0</v>
      </c>
      <c r="BX185" s="89">
        <v>43403</v>
      </c>
      <c r="BY185" s="89">
        <v>2700</v>
      </c>
      <c r="BZ185" s="112">
        <v>100</v>
      </c>
      <c r="CK185" s="88">
        <v>0</v>
      </c>
    </row>
    <row r="186" spans="1:89" x14ac:dyDescent="0.15">
      <c r="A186" s="84">
        <v>1</v>
      </c>
      <c r="B186" s="85">
        <v>43405</v>
      </c>
      <c r="C186" s="85">
        <v>43410</v>
      </c>
      <c r="F186" s="85" t="s">
        <v>338</v>
      </c>
      <c r="H186" s="85" t="s">
        <v>338</v>
      </c>
      <c r="J186" s="84">
        <v>2</v>
      </c>
      <c r="L186" s="84">
        <v>0</v>
      </c>
      <c r="M186" s="85">
        <v>43403</v>
      </c>
      <c r="N186" s="85" t="s">
        <v>265</v>
      </c>
      <c r="O186" s="86" t="s">
        <v>340</v>
      </c>
      <c r="P186" s="84" t="s">
        <v>26</v>
      </c>
      <c r="Q186" s="86" t="s">
        <v>107</v>
      </c>
      <c r="R186" s="86" t="s">
        <v>732</v>
      </c>
      <c r="S186" s="87" t="s">
        <v>351</v>
      </c>
      <c r="T186" s="87" t="s">
        <v>548</v>
      </c>
      <c r="U186" s="88">
        <v>42500</v>
      </c>
      <c r="V186" s="88">
        <v>45900</v>
      </c>
      <c r="W186" s="88">
        <v>42500</v>
      </c>
      <c r="X186" s="88">
        <v>45900</v>
      </c>
      <c r="Z186" s="88">
        <v>0</v>
      </c>
      <c r="AA186" s="85">
        <v>43389</v>
      </c>
      <c r="AB186" s="85">
        <v>43391</v>
      </c>
      <c r="AD186" s="84">
        <v>0</v>
      </c>
      <c r="AG186" s="84">
        <v>0</v>
      </c>
      <c r="AJ186" s="84">
        <v>0</v>
      </c>
      <c r="AN186" s="84" t="s">
        <v>338</v>
      </c>
      <c r="AR186" s="85">
        <v>43404</v>
      </c>
      <c r="AS186" s="84">
        <v>6001614082</v>
      </c>
      <c r="AT186" s="85">
        <v>43404</v>
      </c>
      <c r="AU186" s="84" t="s">
        <v>687</v>
      </c>
      <c r="AV186" s="85">
        <v>43410</v>
      </c>
      <c r="AW186" s="123">
        <v>43434</v>
      </c>
      <c r="AX186" s="123">
        <v>43454</v>
      </c>
      <c r="AY186" s="140">
        <v>42500</v>
      </c>
      <c r="AZ186" s="132">
        <f>ROUNDDOWN(AY186+(AY186*MASTER!$A$2/100),0)</f>
        <v>45900</v>
      </c>
      <c r="BC186" s="88">
        <v>0</v>
      </c>
      <c r="BG186" s="88">
        <v>0</v>
      </c>
      <c r="BK186" s="88">
        <v>0</v>
      </c>
      <c r="BS186" s="88">
        <v>0</v>
      </c>
      <c r="BV186" s="89">
        <v>45900</v>
      </c>
      <c r="BW186" s="89">
        <v>0</v>
      </c>
      <c r="BX186" s="89">
        <v>43403</v>
      </c>
      <c r="BY186" s="89">
        <v>45900</v>
      </c>
      <c r="BZ186" s="112">
        <v>100</v>
      </c>
      <c r="CK186" s="88">
        <v>0</v>
      </c>
    </row>
    <row r="187" spans="1:89" x14ac:dyDescent="0.15">
      <c r="A187" s="84">
        <v>1</v>
      </c>
      <c r="B187" s="85">
        <v>43405</v>
      </c>
      <c r="C187" s="85">
        <v>43410</v>
      </c>
      <c r="F187" s="85" t="s">
        <v>338</v>
      </c>
      <c r="H187" s="85" t="s">
        <v>338</v>
      </c>
      <c r="J187" s="84">
        <v>2</v>
      </c>
      <c r="L187" s="84">
        <v>0</v>
      </c>
      <c r="M187" s="85">
        <v>43403</v>
      </c>
      <c r="N187" s="85" t="s">
        <v>265</v>
      </c>
      <c r="O187" s="86" t="s">
        <v>340</v>
      </c>
      <c r="P187" s="84" t="s">
        <v>26</v>
      </c>
      <c r="Q187" s="86" t="s">
        <v>107</v>
      </c>
      <c r="R187" s="86" t="s">
        <v>662</v>
      </c>
      <c r="S187" s="87" t="s">
        <v>351</v>
      </c>
      <c r="T187" s="87" t="s">
        <v>663</v>
      </c>
      <c r="U187" s="88">
        <v>2500</v>
      </c>
      <c r="V187" s="88">
        <v>2700</v>
      </c>
      <c r="W187" s="88">
        <v>2500</v>
      </c>
      <c r="X187" s="88">
        <v>2700</v>
      </c>
      <c r="Z187" s="88">
        <v>0</v>
      </c>
      <c r="AA187" s="85">
        <v>43391</v>
      </c>
      <c r="AB187" s="85">
        <v>43391</v>
      </c>
      <c r="AD187" s="84">
        <v>0</v>
      </c>
      <c r="AG187" s="84">
        <v>0</v>
      </c>
      <c r="AJ187" s="84">
        <v>0</v>
      </c>
      <c r="AN187" s="84" t="s">
        <v>338</v>
      </c>
      <c r="AR187" s="85">
        <v>43404</v>
      </c>
      <c r="AS187" s="84">
        <v>6001614082</v>
      </c>
      <c r="AT187" s="85">
        <v>43404</v>
      </c>
      <c r="AU187" s="84" t="s">
        <v>687</v>
      </c>
      <c r="AV187" s="85">
        <v>43410</v>
      </c>
      <c r="AW187" s="123">
        <v>43434</v>
      </c>
      <c r="AX187" s="123">
        <v>43454</v>
      </c>
      <c r="AY187" s="140">
        <v>2500</v>
      </c>
      <c r="AZ187" s="132">
        <f>ROUNDDOWN(AY187+(AY187*MASTER!$A$2/100),0)</f>
        <v>2700</v>
      </c>
      <c r="BC187" s="88">
        <v>0</v>
      </c>
      <c r="BG187" s="88">
        <v>0</v>
      </c>
      <c r="BK187" s="88">
        <v>0</v>
      </c>
      <c r="BS187" s="88">
        <v>0</v>
      </c>
      <c r="BV187" s="89">
        <v>2700</v>
      </c>
      <c r="BW187" s="89">
        <v>0</v>
      </c>
      <c r="BX187" s="89">
        <v>43403</v>
      </c>
      <c r="BY187" s="89">
        <v>2700</v>
      </c>
      <c r="BZ187" s="112">
        <v>100</v>
      </c>
      <c r="CK187" s="88">
        <v>0</v>
      </c>
    </row>
    <row r="188" spans="1:89" s="151" customFormat="1" x14ac:dyDescent="0.15">
      <c r="A188" s="141">
        <v>3</v>
      </c>
      <c r="B188" s="142"/>
      <c r="C188" s="142" t="s">
        <v>338</v>
      </c>
      <c r="D188" s="142"/>
      <c r="E188" s="142"/>
      <c r="F188" s="142" t="s">
        <v>338</v>
      </c>
      <c r="G188" s="142"/>
      <c r="H188" s="142" t="s">
        <v>338</v>
      </c>
      <c r="I188" s="141"/>
      <c r="J188" s="141">
        <v>2</v>
      </c>
      <c r="K188" s="142"/>
      <c r="L188" s="141">
        <v>0</v>
      </c>
      <c r="M188" s="142">
        <v>43403</v>
      </c>
      <c r="N188" s="142" t="s">
        <v>265</v>
      </c>
      <c r="O188" s="143" t="s">
        <v>340</v>
      </c>
      <c r="P188" s="141" t="s">
        <v>6</v>
      </c>
      <c r="Q188" s="143" t="s">
        <v>107</v>
      </c>
      <c r="R188" s="143" t="s">
        <v>675</v>
      </c>
      <c r="S188" s="144" t="s">
        <v>676</v>
      </c>
      <c r="T188" s="144" t="s">
        <v>342</v>
      </c>
      <c r="U188" s="145">
        <v>35000</v>
      </c>
      <c r="V188" s="145">
        <v>37800</v>
      </c>
      <c r="W188" s="145">
        <v>35000</v>
      </c>
      <c r="X188" s="145">
        <v>37800</v>
      </c>
      <c r="Y188" s="145"/>
      <c r="Z188" s="145">
        <v>0</v>
      </c>
      <c r="AA188" s="142"/>
      <c r="AB188" s="142"/>
      <c r="AC188" s="142"/>
      <c r="AD188" s="141">
        <v>0</v>
      </c>
      <c r="AE188" s="141"/>
      <c r="AF188" s="141"/>
      <c r="AG188" s="141">
        <v>0</v>
      </c>
      <c r="AH188" s="141"/>
      <c r="AI188" s="141"/>
      <c r="AJ188" s="141">
        <v>0</v>
      </c>
      <c r="AK188" s="141"/>
      <c r="AL188" s="141"/>
      <c r="AM188" s="141"/>
      <c r="AN188" s="141" t="s">
        <v>338</v>
      </c>
      <c r="AO188" s="142"/>
      <c r="AP188" s="141"/>
      <c r="AQ188" s="141"/>
      <c r="AR188" s="142"/>
      <c r="AS188" s="141"/>
      <c r="AT188" s="142"/>
      <c r="AU188" s="141"/>
      <c r="AV188" s="142"/>
      <c r="AW188" s="146"/>
      <c r="AX188" s="146"/>
      <c r="AY188" s="147">
        <v>33600</v>
      </c>
      <c r="AZ188" s="132">
        <f>ROUNDDOWN(AY188+(AY188*MASTER!$A$2/100),0)</f>
        <v>36288</v>
      </c>
      <c r="BA188" s="141"/>
      <c r="BB188" s="145"/>
      <c r="BC188" s="145">
        <v>0</v>
      </c>
      <c r="BD188" s="141"/>
      <c r="BE188" s="141"/>
      <c r="BF188" s="145"/>
      <c r="BG188" s="145">
        <v>0</v>
      </c>
      <c r="BH188" s="141"/>
      <c r="BI188" s="141"/>
      <c r="BJ188" s="145"/>
      <c r="BK188" s="145">
        <v>0</v>
      </c>
      <c r="BL188" s="141"/>
      <c r="BM188" s="145"/>
      <c r="BN188" s="145"/>
      <c r="BO188" s="145"/>
      <c r="BP188" s="145"/>
      <c r="BQ188" s="145"/>
      <c r="BR188" s="145"/>
      <c r="BS188" s="145">
        <v>0</v>
      </c>
      <c r="BT188" s="148"/>
      <c r="BU188" s="148"/>
      <c r="BV188" s="149">
        <v>37800</v>
      </c>
      <c r="BW188" s="149">
        <v>0</v>
      </c>
      <c r="BX188" s="149">
        <v>43403</v>
      </c>
      <c r="BY188" s="149">
        <v>37800</v>
      </c>
      <c r="BZ188" s="150">
        <v>100</v>
      </c>
      <c r="CA188" s="141"/>
      <c r="CB188" s="141"/>
      <c r="CC188" s="141"/>
      <c r="CD188" s="144"/>
      <c r="CE188" s="142"/>
      <c r="CF188" s="142"/>
      <c r="CG188" s="142"/>
      <c r="CH188" s="142"/>
      <c r="CI188" s="142"/>
      <c r="CJ188" s="142"/>
      <c r="CK188" s="145">
        <v>0</v>
      </c>
    </row>
    <row r="189" spans="1:89" x14ac:dyDescent="0.15">
      <c r="A189" s="84">
        <v>2</v>
      </c>
      <c r="B189" s="85">
        <v>43454</v>
      </c>
      <c r="C189" s="85">
        <v>43476</v>
      </c>
      <c r="D189" s="85">
        <v>43512</v>
      </c>
      <c r="F189" s="85">
        <v>43483</v>
      </c>
      <c r="G189" s="85">
        <v>43476</v>
      </c>
      <c r="H189" s="85">
        <v>43479</v>
      </c>
      <c r="I189" s="84" t="s">
        <v>1191</v>
      </c>
      <c r="J189" s="84">
        <v>1</v>
      </c>
      <c r="L189" s="84">
        <v>0</v>
      </c>
      <c r="M189" s="85">
        <v>43403</v>
      </c>
      <c r="N189" s="85" t="s">
        <v>265</v>
      </c>
      <c r="O189" s="86" t="s">
        <v>340</v>
      </c>
      <c r="P189" s="84" t="s">
        <v>26</v>
      </c>
      <c r="Q189" s="86" t="s">
        <v>107</v>
      </c>
      <c r="R189" s="86" t="s">
        <v>1369</v>
      </c>
      <c r="S189" s="87" t="s">
        <v>1370</v>
      </c>
      <c r="T189" s="87" t="s">
        <v>1371</v>
      </c>
      <c r="U189" s="88">
        <v>59000</v>
      </c>
      <c r="V189" s="88">
        <v>63720</v>
      </c>
      <c r="W189" s="88">
        <v>47000</v>
      </c>
      <c r="X189" s="88">
        <v>50760</v>
      </c>
      <c r="Y189" s="88">
        <v>12000</v>
      </c>
      <c r="Z189" s="88">
        <v>12960</v>
      </c>
      <c r="AA189" s="85">
        <v>43475</v>
      </c>
      <c r="AB189" s="85">
        <v>43476</v>
      </c>
      <c r="AC189" s="85">
        <v>43476</v>
      </c>
      <c r="AD189" s="84">
        <v>0</v>
      </c>
      <c r="AG189" s="84">
        <v>0</v>
      </c>
      <c r="AJ189" s="84">
        <v>0</v>
      </c>
      <c r="AM189" s="84" t="s">
        <v>290</v>
      </c>
      <c r="AN189" s="84" t="s">
        <v>1372</v>
      </c>
      <c r="AR189" s="85">
        <v>43424</v>
      </c>
      <c r="AS189" s="84">
        <v>6001621818</v>
      </c>
      <c r="AT189" s="85">
        <v>43425</v>
      </c>
      <c r="AU189" s="84" t="s">
        <v>949</v>
      </c>
      <c r="AV189" s="85">
        <v>43476</v>
      </c>
      <c r="AW189" s="123">
        <v>43496</v>
      </c>
      <c r="AX189" s="123">
        <v>43516</v>
      </c>
      <c r="AY189" s="132">
        <v>56640</v>
      </c>
      <c r="AZ189" s="132">
        <f>ROUNDDOWN(AY189+(AY189*MASTER!$A$2/100),0)</f>
        <v>61171</v>
      </c>
      <c r="BA189" s="84" t="s">
        <v>287</v>
      </c>
      <c r="BB189" s="88">
        <v>28000</v>
      </c>
      <c r="BC189" s="88">
        <v>30240</v>
      </c>
      <c r="BD189" s="84" t="s">
        <v>1138</v>
      </c>
      <c r="BG189" s="88">
        <v>0</v>
      </c>
      <c r="BI189" s="84" t="s">
        <v>434</v>
      </c>
      <c r="BJ189" s="88">
        <v>7800</v>
      </c>
      <c r="BK189" s="88">
        <v>8424</v>
      </c>
      <c r="BL189" s="84" t="s">
        <v>1138</v>
      </c>
      <c r="BS189" s="88">
        <v>0</v>
      </c>
      <c r="BV189" s="89">
        <v>50760</v>
      </c>
      <c r="BW189" s="89">
        <v>38664</v>
      </c>
      <c r="BX189" s="89">
        <v>43403</v>
      </c>
      <c r="BY189" s="89">
        <v>12096</v>
      </c>
      <c r="BZ189" s="112">
        <v>23.829787234042556</v>
      </c>
      <c r="CK189" s="88">
        <v>0</v>
      </c>
    </row>
    <row r="190" spans="1:89" x14ac:dyDescent="0.15">
      <c r="A190" s="84">
        <v>2</v>
      </c>
      <c r="B190" s="85">
        <v>43483</v>
      </c>
      <c r="C190" s="85">
        <v>43490</v>
      </c>
      <c r="D190" s="85">
        <v>43524</v>
      </c>
      <c r="F190" s="85">
        <v>43497</v>
      </c>
      <c r="G190" s="85">
        <v>43489</v>
      </c>
      <c r="H190" s="85">
        <v>43493</v>
      </c>
      <c r="I190" s="84" t="s">
        <v>1191</v>
      </c>
      <c r="J190" s="84">
        <v>1</v>
      </c>
      <c r="L190" s="84">
        <v>0</v>
      </c>
      <c r="M190" s="85">
        <v>43403</v>
      </c>
      <c r="N190" s="85" t="s">
        <v>265</v>
      </c>
      <c r="O190" s="86" t="s">
        <v>340</v>
      </c>
      <c r="P190" s="84" t="s">
        <v>26</v>
      </c>
      <c r="Q190" s="86" t="s">
        <v>107</v>
      </c>
      <c r="R190" s="86" t="s">
        <v>1554</v>
      </c>
      <c r="S190" s="87" t="s">
        <v>1555</v>
      </c>
      <c r="T190" s="87" t="s">
        <v>1556</v>
      </c>
      <c r="U190" s="88">
        <v>59000</v>
      </c>
      <c r="V190" s="88">
        <v>63720</v>
      </c>
      <c r="W190" s="88">
        <v>47000</v>
      </c>
      <c r="X190" s="88">
        <v>50760</v>
      </c>
      <c r="Y190" s="88">
        <v>12000</v>
      </c>
      <c r="Z190" s="88">
        <v>12960</v>
      </c>
      <c r="AA190" s="85">
        <v>43487</v>
      </c>
      <c r="AB190" s="85">
        <v>43490</v>
      </c>
      <c r="AC190" s="85">
        <v>43490</v>
      </c>
      <c r="AD190" s="84">
        <v>0</v>
      </c>
      <c r="AG190" s="84">
        <v>0</v>
      </c>
      <c r="AJ190" s="84">
        <v>0</v>
      </c>
      <c r="AM190" s="84" t="s">
        <v>290</v>
      </c>
      <c r="AN190" s="84" t="s">
        <v>1557</v>
      </c>
      <c r="AR190" s="85">
        <v>43451</v>
      </c>
      <c r="AS190" s="84">
        <v>6001630849</v>
      </c>
      <c r="AT190" s="85">
        <v>43451</v>
      </c>
      <c r="AU190" s="84" t="s">
        <v>1314</v>
      </c>
      <c r="AV190" s="85">
        <v>43490</v>
      </c>
      <c r="AW190" s="123">
        <v>43496</v>
      </c>
      <c r="AX190" s="123">
        <v>43516</v>
      </c>
      <c r="AY190" s="132">
        <v>56640</v>
      </c>
      <c r="AZ190" s="132">
        <f>ROUNDDOWN(AY190+(AY190*MASTER!$A$2/100),0)</f>
        <v>61171</v>
      </c>
      <c r="BA190" s="84" t="s">
        <v>287</v>
      </c>
      <c r="BB190" s="88">
        <v>28000</v>
      </c>
      <c r="BC190" s="88">
        <v>30240</v>
      </c>
      <c r="BD190" s="84" t="s">
        <v>1233</v>
      </c>
      <c r="BG190" s="88">
        <v>0</v>
      </c>
      <c r="BK190" s="88">
        <v>0</v>
      </c>
      <c r="BS190" s="88">
        <v>0</v>
      </c>
      <c r="BV190" s="89">
        <v>50760</v>
      </c>
      <c r="BW190" s="89">
        <v>30240</v>
      </c>
      <c r="BX190" s="89">
        <v>43403</v>
      </c>
      <c r="BY190" s="89">
        <v>20520</v>
      </c>
      <c r="BZ190" s="112">
        <v>40.425531914893611</v>
      </c>
      <c r="CD190" s="87" t="s">
        <v>1558</v>
      </c>
      <c r="CK190" s="88">
        <v>0</v>
      </c>
    </row>
    <row r="191" spans="1:89" x14ac:dyDescent="0.15">
      <c r="A191" s="84">
        <v>2</v>
      </c>
      <c r="B191" s="85">
        <v>43451</v>
      </c>
      <c r="C191" s="85">
        <v>43460</v>
      </c>
      <c r="D191" s="85">
        <v>43512</v>
      </c>
      <c r="F191" s="85">
        <v>43467</v>
      </c>
      <c r="G191" s="85">
        <v>43460</v>
      </c>
      <c r="H191" s="85">
        <v>43463</v>
      </c>
      <c r="I191" s="84" t="s">
        <v>776</v>
      </c>
      <c r="J191" s="84">
        <v>1</v>
      </c>
      <c r="L191" s="84">
        <v>0</v>
      </c>
      <c r="M191" s="85">
        <v>43403</v>
      </c>
      <c r="N191" s="85" t="s">
        <v>265</v>
      </c>
      <c r="O191" s="86" t="s">
        <v>340</v>
      </c>
      <c r="P191" s="84" t="s">
        <v>26</v>
      </c>
      <c r="Q191" s="86" t="s">
        <v>107</v>
      </c>
      <c r="R191" s="86" t="s">
        <v>1273</v>
      </c>
      <c r="S191" s="87" t="s">
        <v>1274</v>
      </c>
      <c r="T191" s="87" t="s">
        <v>1275</v>
      </c>
      <c r="U191" s="88">
        <v>50000</v>
      </c>
      <c r="V191" s="88">
        <v>54000</v>
      </c>
      <c r="W191" s="88">
        <v>47000</v>
      </c>
      <c r="X191" s="88">
        <v>50760</v>
      </c>
      <c r="Y191" s="88">
        <v>3000</v>
      </c>
      <c r="Z191" s="88">
        <v>3240</v>
      </c>
      <c r="AA191" s="85">
        <v>43458</v>
      </c>
      <c r="AB191" s="85">
        <v>43460</v>
      </c>
      <c r="AC191" s="85">
        <v>43460</v>
      </c>
      <c r="AD191" s="84">
        <v>0</v>
      </c>
      <c r="AG191" s="84">
        <v>0</v>
      </c>
      <c r="AJ191" s="84">
        <v>0</v>
      </c>
      <c r="AM191" s="84" t="s">
        <v>290</v>
      </c>
      <c r="AN191" s="84" t="s">
        <v>1276</v>
      </c>
      <c r="AR191" s="85">
        <v>43416</v>
      </c>
      <c r="AS191" s="84">
        <v>6001618599</v>
      </c>
      <c r="AT191" s="85">
        <v>43416</v>
      </c>
      <c r="AU191" s="84" t="s">
        <v>839</v>
      </c>
      <c r="AV191" s="85">
        <v>43460</v>
      </c>
      <c r="AW191" s="123">
        <v>43465</v>
      </c>
      <c r="AX191" s="123">
        <v>43485</v>
      </c>
      <c r="AY191" s="132">
        <v>48000</v>
      </c>
      <c r="AZ191" s="132">
        <f>ROUNDDOWN(AY191+(AY191*MASTER!$A$2/100),0)</f>
        <v>51840</v>
      </c>
      <c r="BA191" s="84" t="s">
        <v>287</v>
      </c>
      <c r="BB191" s="88">
        <v>33000</v>
      </c>
      <c r="BC191" s="88">
        <v>35640</v>
      </c>
      <c r="BD191" s="84" t="s">
        <v>1138</v>
      </c>
      <c r="BG191" s="88">
        <v>0</v>
      </c>
      <c r="BI191" s="84" t="s">
        <v>434</v>
      </c>
      <c r="BJ191" s="88">
        <v>1950</v>
      </c>
      <c r="BK191" s="88">
        <v>2106</v>
      </c>
      <c r="BL191" s="84" t="s">
        <v>1138</v>
      </c>
      <c r="BS191" s="88">
        <v>0</v>
      </c>
      <c r="BV191" s="89">
        <v>50760</v>
      </c>
      <c r="BW191" s="89">
        <v>37746</v>
      </c>
      <c r="BX191" s="89">
        <v>43403</v>
      </c>
      <c r="BY191" s="89">
        <v>13014</v>
      </c>
      <c r="BZ191" s="112">
        <v>25.638297872340427</v>
      </c>
      <c r="CK191" s="88">
        <v>0</v>
      </c>
    </row>
    <row r="192" spans="1:89" x14ac:dyDescent="0.15">
      <c r="A192" s="84">
        <v>2</v>
      </c>
      <c r="B192" s="85">
        <v>43441</v>
      </c>
      <c r="C192" s="85">
        <v>43451</v>
      </c>
      <c r="D192" s="85">
        <v>43467</v>
      </c>
      <c r="F192" s="85">
        <v>43458</v>
      </c>
      <c r="G192" s="85">
        <v>43451</v>
      </c>
      <c r="H192" s="85">
        <v>43454</v>
      </c>
      <c r="I192" s="84" t="s">
        <v>401</v>
      </c>
      <c r="J192" s="84">
        <v>1</v>
      </c>
      <c r="L192" s="84">
        <v>0</v>
      </c>
      <c r="M192" s="85">
        <v>43403</v>
      </c>
      <c r="N192" s="85" t="s">
        <v>265</v>
      </c>
      <c r="O192" s="86" t="s">
        <v>340</v>
      </c>
      <c r="P192" s="84" t="s">
        <v>26</v>
      </c>
      <c r="Q192" s="86" t="s">
        <v>107</v>
      </c>
      <c r="R192" s="86" t="s">
        <v>876</v>
      </c>
      <c r="S192" s="87" t="s">
        <v>877</v>
      </c>
      <c r="T192" s="87" t="s">
        <v>878</v>
      </c>
      <c r="U192" s="88">
        <v>59200</v>
      </c>
      <c r="V192" s="88">
        <v>63936</v>
      </c>
      <c r="W192" s="88">
        <v>47000</v>
      </c>
      <c r="X192" s="88">
        <v>50760</v>
      </c>
      <c r="Y192" s="88">
        <v>12200</v>
      </c>
      <c r="Z192" s="88">
        <v>13176</v>
      </c>
      <c r="AA192" s="85">
        <v>43450</v>
      </c>
      <c r="AB192" s="85">
        <v>43451</v>
      </c>
      <c r="AC192" s="85">
        <v>43451</v>
      </c>
      <c r="AD192" s="84">
        <v>0</v>
      </c>
      <c r="AG192" s="84">
        <v>0</v>
      </c>
      <c r="AJ192" s="84">
        <v>0</v>
      </c>
      <c r="AM192" s="84" t="s">
        <v>290</v>
      </c>
      <c r="AN192" s="84" t="s">
        <v>879</v>
      </c>
      <c r="AR192" s="85">
        <v>43419</v>
      </c>
      <c r="AS192" s="84">
        <v>6001619965</v>
      </c>
      <c r="AT192" s="85">
        <v>43420</v>
      </c>
      <c r="AU192" s="84" t="s">
        <v>892</v>
      </c>
      <c r="AV192" s="85">
        <v>43451</v>
      </c>
      <c r="AW192" s="123">
        <v>43465</v>
      </c>
      <c r="AX192" s="123">
        <v>43485</v>
      </c>
      <c r="AY192" s="132">
        <v>56832</v>
      </c>
      <c r="AZ192" s="132">
        <f>ROUNDDOWN(AY192+(AY192*MASTER!$A$2/100),0)</f>
        <v>61378</v>
      </c>
      <c r="BA192" s="84" t="s">
        <v>543</v>
      </c>
      <c r="BB192" s="88">
        <v>32000</v>
      </c>
      <c r="BC192" s="88">
        <v>34560</v>
      </c>
      <c r="BD192" s="84" t="s">
        <v>190</v>
      </c>
      <c r="BG192" s="88">
        <v>0</v>
      </c>
      <c r="BI192" s="84" t="s">
        <v>434</v>
      </c>
      <c r="BJ192" s="88">
        <v>7930</v>
      </c>
      <c r="BK192" s="88">
        <v>8564.4</v>
      </c>
      <c r="BL192" s="84" t="s">
        <v>190</v>
      </c>
      <c r="BS192" s="88">
        <v>0</v>
      </c>
      <c r="BV192" s="89">
        <v>50760</v>
      </c>
      <c r="BW192" s="89">
        <v>43124.4</v>
      </c>
      <c r="BX192" s="89">
        <v>43403</v>
      </c>
      <c r="BY192" s="89">
        <v>7635.6</v>
      </c>
      <c r="BZ192" s="112">
        <v>15.042553191489358</v>
      </c>
      <c r="CK192" s="88">
        <v>0</v>
      </c>
    </row>
    <row r="193" spans="1:89" x14ac:dyDescent="0.15">
      <c r="A193" s="84">
        <v>2</v>
      </c>
      <c r="B193" s="85">
        <v>43451</v>
      </c>
      <c r="C193" s="85">
        <v>43460</v>
      </c>
      <c r="F193" s="85">
        <v>43467</v>
      </c>
      <c r="G193" s="85">
        <v>43461</v>
      </c>
      <c r="H193" s="85">
        <v>43463</v>
      </c>
      <c r="I193" s="84" t="s">
        <v>776</v>
      </c>
      <c r="J193" s="84">
        <v>1</v>
      </c>
      <c r="K193" s="85">
        <v>43431</v>
      </c>
      <c r="L193" s="84" t="s">
        <v>1210</v>
      </c>
      <c r="M193" s="85">
        <v>43403</v>
      </c>
      <c r="N193" s="85" t="s">
        <v>265</v>
      </c>
      <c r="O193" s="86" t="s">
        <v>340</v>
      </c>
      <c r="P193" s="84" t="s">
        <v>26</v>
      </c>
      <c r="Q193" s="86" t="s">
        <v>107</v>
      </c>
      <c r="R193" s="86" t="s">
        <v>1026</v>
      </c>
      <c r="S193" s="87" t="s">
        <v>913</v>
      </c>
      <c r="T193" s="87" t="s">
        <v>1027</v>
      </c>
      <c r="U193" s="88">
        <v>23900</v>
      </c>
      <c r="V193" s="88">
        <v>25812</v>
      </c>
      <c r="W193" s="88">
        <v>14700</v>
      </c>
      <c r="X193" s="88">
        <v>15876</v>
      </c>
      <c r="Y193" s="88">
        <v>9200</v>
      </c>
      <c r="Z193" s="88">
        <v>9936</v>
      </c>
      <c r="AA193" s="85">
        <v>43458</v>
      </c>
      <c r="AB193" s="85">
        <v>43460</v>
      </c>
      <c r="AC193" s="85">
        <v>43460</v>
      </c>
      <c r="AD193" s="84">
        <v>0</v>
      </c>
      <c r="AG193" s="84">
        <v>0</v>
      </c>
      <c r="AJ193" s="84">
        <v>0</v>
      </c>
      <c r="AM193" s="84" t="s">
        <v>290</v>
      </c>
      <c r="AN193" s="84" t="s">
        <v>1028</v>
      </c>
      <c r="AR193" s="85">
        <v>43438</v>
      </c>
      <c r="AS193" s="84">
        <v>6001625953</v>
      </c>
      <c r="AT193" s="85">
        <v>43439</v>
      </c>
      <c r="AU193" s="84" t="s">
        <v>1130</v>
      </c>
      <c r="AV193" s="85">
        <v>43460</v>
      </c>
      <c r="AW193" s="123">
        <v>43465</v>
      </c>
      <c r="AX193" s="123">
        <v>43485</v>
      </c>
      <c r="AY193" s="132">
        <v>22944</v>
      </c>
      <c r="AZ193" s="132">
        <f>ROUNDDOWN(AY193+(AY193*MASTER!$A$2/100),0)</f>
        <v>24779</v>
      </c>
      <c r="BA193" s="84" t="s">
        <v>778</v>
      </c>
      <c r="BC193" s="88">
        <v>0</v>
      </c>
      <c r="BG193" s="88">
        <v>0</v>
      </c>
      <c r="BI193" s="84" t="s">
        <v>276</v>
      </c>
      <c r="BJ193" s="88">
        <v>5980</v>
      </c>
      <c r="BK193" s="88">
        <v>6458.4</v>
      </c>
      <c r="BL193" s="84" t="s">
        <v>1421</v>
      </c>
      <c r="BS193" s="88">
        <v>0</v>
      </c>
      <c r="BV193" s="89">
        <v>15876</v>
      </c>
      <c r="BW193" s="89">
        <v>6458.4</v>
      </c>
      <c r="BX193" s="89">
        <v>0</v>
      </c>
      <c r="BY193" s="89">
        <v>43431</v>
      </c>
      <c r="BZ193" s="112">
        <v>59.319727891156461</v>
      </c>
      <c r="CK193" s="88">
        <v>0</v>
      </c>
    </row>
    <row r="194" spans="1:89" x14ac:dyDescent="0.15">
      <c r="A194" s="84">
        <v>2</v>
      </c>
      <c r="B194" s="85">
        <v>43431</v>
      </c>
      <c r="C194" s="85">
        <v>43441</v>
      </c>
      <c r="D194" s="85" t="s">
        <v>374</v>
      </c>
      <c r="F194" s="85">
        <v>43448</v>
      </c>
      <c r="G194" s="85">
        <v>43448</v>
      </c>
      <c r="H194" s="85">
        <v>43444</v>
      </c>
      <c r="I194" s="84" t="s">
        <v>401</v>
      </c>
      <c r="J194" s="84">
        <v>1</v>
      </c>
      <c r="L194" s="84">
        <v>0</v>
      </c>
      <c r="M194" s="85">
        <v>43403</v>
      </c>
      <c r="N194" s="85" t="s">
        <v>265</v>
      </c>
      <c r="O194" s="86" t="s">
        <v>340</v>
      </c>
      <c r="P194" s="84" t="s">
        <v>26</v>
      </c>
      <c r="Q194" s="86" t="s">
        <v>107</v>
      </c>
      <c r="R194" s="86" t="s">
        <v>1012</v>
      </c>
      <c r="S194" s="87" t="s">
        <v>1013</v>
      </c>
      <c r="T194" s="87" t="s">
        <v>794</v>
      </c>
      <c r="U194" s="88">
        <v>23900</v>
      </c>
      <c r="V194" s="88">
        <v>25812</v>
      </c>
      <c r="W194" s="88">
        <v>14700</v>
      </c>
      <c r="X194" s="88">
        <v>15876</v>
      </c>
      <c r="Y194" s="88">
        <v>9200</v>
      </c>
      <c r="Z194" s="88">
        <v>9936</v>
      </c>
      <c r="AA194" s="85">
        <v>43440</v>
      </c>
      <c r="AB194" s="85">
        <v>43441</v>
      </c>
      <c r="AC194" s="85">
        <v>43441</v>
      </c>
      <c r="AD194" s="84">
        <v>0</v>
      </c>
      <c r="AG194" s="84">
        <v>0</v>
      </c>
      <c r="AJ194" s="84">
        <v>0</v>
      </c>
      <c r="AM194" s="84" t="s">
        <v>290</v>
      </c>
      <c r="AN194" s="84" t="s">
        <v>1014</v>
      </c>
      <c r="AR194" s="85">
        <v>43419</v>
      </c>
      <c r="AS194" s="84">
        <v>6001619965</v>
      </c>
      <c r="AT194" s="85">
        <v>43420</v>
      </c>
      <c r="AU194" s="84" t="s">
        <v>892</v>
      </c>
      <c r="AV194" s="85">
        <v>43441</v>
      </c>
      <c r="AW194" s="123">
        <v>43465</v>
      </c>
      <c r="AX194" s="123">
        <v>43485</v>
      </c>
      <c r="AY194" s="132">
        <v>22944</v>
      </c>
      <c r="AZ194" s="132">
        <f>ROUNDDOWN(AY194+(AY194*MASTER!$A$2/100),0)</f>
        <v>24779</v>
      </c>
      <c r="BA194" s="84" t="s">
        <v>778</v>
      </c>
      <c r="BC194" s="88">
        <v>0</v>
      </c>
      <c r="BG194" s="88">
        <v>0</v>
      </c>
      <c r="BI194" s="84" t="s">
        <v>276</v>
      </c>
      <c r="BJ194" s="88">
        <v>3250</v>
      </c>
      <c r="BK194" s="88">
        <v>3510</v>
      </c>
      <c r="BL194" s="84" t="s">
        <v>863</v>
      </c>
      <c r="BS194" s="88">
        <v>0</v>
      </c>
      <c r="BV194" s="89">
        <v>15876</v>
      </c>
      <c r="BW194" s="89">
        <v>3510</v>
      </c>
      <c r="BX194" s="89">
        <v>43403</v>
      </c>
      <c r="BY194" s="89">
        <v>12366</v>
      </c>
      <c r="BZ194" s="112">
        <v>77.89115646258503</v>
      </c>
      <c r="CK194" s="88">
        <v>0</v>
      </c>
    </row>
    <row r="195" spans="1:89" x14ac:dyDescent="0.15">
      <c r="A195" s="84">
        <v>2</v>
      </c>
      <c r="B195" s="85">
        <v>43431</v>
      </c>
      <c r="C195" s="85">
        <v>43452</v>
      </c>
      <c r="D195" s="85">
        <v>43467</v>
      </c>
      <c r="F195" s="85">
        <v>43459</v>
      </c>
      <c r="G195" s="85">
        <v>43453</v>
      </c>
      <c r="H195" s="85">
        <v>43455</v>
      </c>
      <c r="I195" s="84" t="s">
        <v>401</v>
      </c>
      <c r="J195" s="84">
        <v>1</v>
      </c>
      <c r="L195" s="84">
        <v>0</v>
      </c>
      <c r="M195" s="85">
        <v>43404</v>
      </c>
      <c r="N195" s="85" t="s">
        <v>265</v>
      </c>
      <c r="O195" s="86" t="s">
        <v>340</v>
      </c>
      <c r="P195" s="84" t="s">
        <v>26</v>
      </c>
      <c r="Q195" s="86" t="s">
        <v>107</v>
      </c>
      <c r="R195" s="86" t="s">
        <v>708</v>
      </c>
      <c r="S195" s="87" t="s">
        <v>709</v>
      </c>
      <c r="T195" s="87" t="s">
        <v>710</v>
      </c>
      <c r="U195" s="88">
        <v>541200</v>
      </c>
      <c r="V195" s="88">
        <v>584496</v>
      </c>
      <c r="W195" s="88">
        <v>392500</v>
      </c>
      <c r="X195" s="88">
        <v>423900</v>
      </c>
      <c r="Y195" s="88">
        <v>148700</v>
      </c>
      <c r="Z195" s="88">
        <v>160596</v>
      </c>
      <c r="AA195" s="85">
        <v>43444</v>
      </c>
      <c r="AB195" s="85">
        <v>43452</v>
      </c>
      <c r="AC195" s="85">
        <v>43452</v>
      </c>
      <c r="AD195" s="84">
        <v>0</v>
      </c>
      <c r="AG195" s="84">
        <v>0</v>
      </c>
      <c r="AJ195" s="84">
        <v>0</v>
      </c>
      <c r="AM195" s="84" t="s">
        <v>290</v>
      </c>
      <c r="AN195" s="84" t="s">
        <v>1020</v>
      </c>
      <c r="AR195" s="85">
        <v>43430</v>
      </c>
      <c r="AS195" s="84">
        <v>6001623402</v>
      </c>
      <c r="AT195" s="85">
        <v>43430</v>
      </c>
      <c r="AU195" s="84" t="s">
        <v>980</v>
      </c>
      <c r="AV195" s="85">
        <v>43452</v>
      </c>
      <c r="AW195" s="123">
        <v>43465</v>
      </c>
      <c r="AX195" s="123">
        <v>43485</v>
      </c>
      <c r="AY195" s="132">
        <v>519552</v>
      </c>
      <c r="AZ195" s="132">
        <f>ROUNDDOWN(AY195+(AY195*MASTER!$A$2/100),0)</f>
        <v>561116</v>
      </c>
      <c r="BA195" s="84" t="s">
        <v>543</v>
      </c>
      <c r="BB195" s="88">
        <v>166000</v>
      </c>
      <c r="BC195" s="88">
        <v>179280</v>
      </c>
      <c r="BD195" s="84" t="s">
        <v>190</v>
      </c>
      <c r="BG195" s="88">
        <v>0</v>
      </c>
      <c r="BI195" s="84" t="s">
        <v>434</v>
      </c>
      <c r="BJ195" s="88">
        <v>96655</v>
      </c>
      <c r="BK195" s="88">
        <v>104387.4</v>
      </c>
      <c r="BL195" s="84" t="s">
        <v>190</v>
      </c>
      <c r="BS195" s="88">
        <v>0</v>
      </c>
      <c r="BV195" s="89">
        <v>423900</v>
      </c>
      <c r="BW195" s="89">
        <v>283667.40000000002</v>
      </c>
      <c r="BX195" s="89">
        <v>43404</v>
      </c>
      <c r="BY195" s="89">
        <v>140232.6</v>
      </c>
      <c r="BZ195" s="112">
        <v>33.081528662420382</v>
      </c>
      <c r="CK195" s="88">
        <v>31500</v>
      </c>
    </row>
    <row r="196" spans="1:89" x14ac:dyDescent="0.15">
      <c r="A196" s="84">
        <v>2</v>
      </c>
      <c r="B196" s="85">
        <v>43431</v>
      </c>
      <c r="C196" s="85">
        <v>43449</v>
      </c>
      <c r="D196" s="85">
        <v>43476</v>
      </c>
      <c r="F196" s="85">
        <v>43456</v>
      </c>
      <c r="G196" s="85">
        <v>43455</v>
      </c>
      <c r="H196" s="85">
        <v>43452</v>
      </c>
      <c r="I196" s="84" t="s">
        <v>776</v>
      </c>
      <c r="J196" s="84">
        <v>1</v>
      </c>
      <c r="L196" s="84">
        <v>0</v>
      </c>
      <c r="M196" s="85">
        <v>43405</v>
      </c>
      <c r="N196" s="85" t="s">
        <v>265</v>
      </c>
      <c r="O196" s="86" t="s">
        <v>340</v>
      </c>
      <c r="P196" s="84" t="s">
        <v>26</v>
      </c>
      <c r="Q196" s="86" t="s">
        <v>122</v>
      </c>
      <c r="R196" s="86" t="s">
        <v>1016</v>
      </c>
      <c r="S196" s="87" t="s">
        <v>1017</v>
      </c>
      <c r="T196" s="87" t="s">
        <v>1018</v>
      </c>
      <c r="U196" s="88">
        <v>1761500</v>
      </c>
      <c r="V196" s="88">
        <v>1902420</v>
      </c>
      <c r="W196" s="88">
        <v>1673000</v>
      </c>
      <c r="X196" s="88">
        <v>1806840</v>
      </c>
      <c r="Y196" s="88">
        <v>88500</v>
      </c>
      <c r="Z196" s="88">
        <v>95580</v>
      </c>
      <c r="AA196" s="85">
        <v>43443</v>
      </c>
      <c r="AB196" s="85">
        <v>43449</v>
      </c>
      <c r="AC196" s="85">
        <v>43449</v>
      </c>
      <c r="AD196" s="84">
        <v>0</v>
      </c>
      <c r="AG196" s="84">
        <v>0</v>
      </c>
      <c r="AJ196" s="84">
        <v>0</v>
      </c>
      <c r="AM196" s="84" t="s">
        <v>290</v>
      </c>
      <c r="AN196" s="84" t="s">
        <v>1019</v>
      </c>
      <c r="AR196" s="85">
        <v>43425</v>
      </c>
      <c r="AS196" s="84">
        <v>6001622000</v>
      </c>
      <c r="AT196" s="85">
        <v>43425</v>
      </c>
      <c r="AU196" s="84" t="s">
        <v>950</v>
      </c>
      <c r="AV196" s="85">
        <v>43449</v>
      </c>
      <c r="AW196" s="123">
        <v>43465</v>
      </c>
      <c r="AX196" s="123">
        <v>43485</v>
      </c>
      <c r="AY196" s="132">
        <v>1691040</v>
      </c>
      <c r="AZ196" s="132">
        <f>ROUNDDOWN(AY196+(AY196*MASTER!$A$2/100),0)</f>
        <v>1826323</v>
      </c>
      <c r="BA196" s="84" t="s">
        <v>14</v>
      </c>
      <c r="BB196" s="88">
        <v>920600</v>
      </c>
      <c r="BC196" s="88">
        <v>994248</v>
      </c>
      <c r="BD196" s="84" t="s">
        <v>190</v>
      </c>
      <c r="BG196" s="88">
        <v>0</v>
      </c>
      <c r="BI196" s="84" t="s">
        <v>434</v>
      </c>
      <c r="BJ196" s="88">
        <v>57525</v>
      </c>
      <c r="BK196" s="88">
        <v>62127</v>
      </c>
      <c r="BL196" s="84" t="s">
        <v>190</v>
      </c>
      <c r="BS196" s="88">
        <v>0</v>
      </c>
      <c r="BV196" s="89">
        <v>1806840</v>
      </c>
      <c r="BW196" s="89">
        <v>1056375</v>
      </c>
      <c r="BX196" s="89">
        <v>43405</v>
      </c>
      <c r="BY196" s="89">
        <v>750465</v>
      </c>
      <c r="BZ196" s="112">
        <v>41.534668260609678</v>
      </c>
      <c r="CK196" s="88">
        <v>105000</v>
      </c>
    </row>
    <row r="197" spans="1:89" x14ac:dyDescent="0.15">
      <c r="A197" s="84">
        <v>2</v>
      </c>
      <c r="B197" s="85">
        <v>43431</v>
      </c>
      <c r="C197" s="85">
        <v>43439</v>
      </c>
      <c r="D197" s="85">
        <v>43446</v>
      </c>
      <c r="F197" s="85">
        <v>43446</v>
      </c>
      <c r="G197" s="85">
        <v>43439</v>
      </c>
      <c r="H197" s="85">
        <v>43442</v>
      </c>
      <c r="I197" s="84" t="s">
        <v>776</v>
      </c>
      <c r="J197" s="84">
        <v>1</v>
      </c>
      <c r="L197" s="84">
        <v>0</v>
      </c>
      <c r="M197" s="85">
        <v>43405</v>
      </c>
      <c r="N197" s="85" t="s">
        <v>265</v>
      </c>
      <c r="O197" s="86" t="s">
        <v>340</v>
      </c>
      <c r="P197" s="84" t="s">
        <v>26</v>
      </c>
      <c r="Q197" s="86" t="s">
        <v>122</v>
      </c>
      <c r="R197" s="86" t="s">
        <v>1004</v>
      </c>
      <c r="S197" s="87" t="s">
        <v>1005</v>
      </c>
      <c r="T197" s="87" t="s">
        <v>1006</v>
      </c>
      <c r="U197" s="88">
        <v>195000</v>
      </c>
      <c r="V197" s="88">
        <v>210600</v>
      </c>
      <c r="W197" s="88">
        <v>100300</v>
      </c>
      <c r="X197" s="88">
        <v>108324</v>
      </c>
      <c r="Y197" s="88">
        <v>94700</v>
      </c>
      <c r="Z197" s="88">
        <v>102276</v>
      </c>
      <c r="AA197" s="85">
        <v>43437</v>
      </c>
      <c r="AB197" s="85">
        <v>43439</v>
      </c>
      <c r="AC197" s="85">
        <v>43439</v>
      </c>
      <c r="AD197" s="84">
        <v>0</v>
      </c>
      <c r="AG197" s="84">
        <v>0</v>
      </c>
      <c r="AJ197" s="84">
        <v>0</v>
      </c>
      <c r="AM197" s="84" t="s">
        <v>290</v>
      </c>
      <c r="AN197" s="84" t="s">
        <v>1007</v>
      </c>
      <c r="AR197" s="85">
        <v>43424</v>
      </c>
      <c r="AS197" s="84">
        <v>6001621818</v>
      </c>
      <c r="AT197" s="85">
        <v>43425</v>
      </c>
      <c r="AU197" s="84" t="s">
        <v>949</v>
      </c>
      <c r="AV197" s="85">
        <v>43439</v>
      </c>
      <c r="AW197" s="123">
        <v>43465</v>
      </c>
      <c r="AX197" s="123">
        <v>43485</v>
      </c>
      <c r="AY197" s="132">
        <v>187200</v>
      </c>
      <c r="AZ197" s="132">
        <f>ROUNDDOWN(AY197+(AY197*MASTER!$A$2/100),0)</f>
        <v>202176</v>
      </c>
      <c r="BA197" s="84" t="s">
        <v>14</v>
      </c>
      <c r="BB197" s="88">
        <v>35000</v>
      </c>
      <c r="BC197" s="88">
        <v>37800</v>
      </c>
      <c r="BD197" s="84" t="s">
        <v>190</v>
      </c>
      <c r="BG197" s="88">
        <v>0</v>
      </c>
      <c r="BI197" s="84" t="s">
        <v>434</v>
      </c>
      <c r="BJ197" s="88">
        <v>61555</v>
      </c>
      <c r="BK197" s="88">
        <v>66479.399999999994</v>
      </c>
      <c r="BL197" s="84" t="s">
        <v>190</v>
      </c>
      <c r="BS197" s="88">
        <v>0</v>
      </c>
      <c r="BV197" s="89">
        <v>108324</v>
      </c>
      <c r="BW197" s="89">
        <v>104279.4</v>
      </c>
      <c r="BX197" s="89">
        <v>43405</v>
      </c>
      <c r="BY197" s="89">
        <v>4044.6</v>
      </c>
      <c r="BZ197" s="112">
        <v>3.7337986041874429</v>
      </c>
      <c r="CK197" s="88">
        <v>6300</v>
      </c>
    </row>
    <row r="198" spans="1:89" x14ac:dyDescent="0.15">
      <c r="A198" s="84">
        <v>2</v>
      </c>
      <c r="B198" s="85">
        <v>43441</v>
      </c>
      <c r="C198" s="85">
        <v>43453</v>
      </c>
      <c r="D198" s="85">
        <v>43467</v>
      </c>
      <c r="F198" s="85">
        <v>43460</v>
      </c>
      <c r="G198" s="85">
        <v>43452</v>
      </c>
      <c r="H198" s="85">
        <v>43456</v>
      </c>
      <c r="I198" s="84" t="s">
        <v>401</v>
      </c>
      <c r="J198" s="84">
        <v>1</v>
      </c>
      <c r="L198" s="84">
        <v>0</v>
      </c>
      <c r="M198" s="85">
        <v>43405</v>
      </c>
      <c r="N198" s="85" t="s">
        <v>265</v>
      </c>
      <c r="O198" s="86" t="s">
        <v>340</v>
      </c>
      <c r="P198" s="84" t="s">
        <v>26</v>
      </c>
      <c r="Q198" s="86" t="s">
        <v>122</v>
      </c>
      <c r="R198" s="86" t="s">
        <v>1160</v>
      </c>
      <c r="S198" s="87" t="s">
        <v>600</v>
      </c>
      <c r="T198" s="87" t="s">
        <v>669</v>
      </c>
      <c r="U198" s="88">
        <v>172800</v>
      </c>
      <c r="V198" s="88">
        <v>186624</v>
      </c>
      <c r="W198" s="88">
        <v>84300</v>
      </c>
      <c r="X198" s="88">
        <v>91044</v>
      </c>
      <c r="Y198" s="88">
        <v>88500</v>
      </c>
      <c r="Z198" s="88">
        <v>95580</v>
      </c>
      <c r="AA198" s="85">
        <v>43451</v>
      </c>
      <c r="AB198" s="85">
        <v>43453</v>
      </c>
      <c r="AC198" s="85">
        <v>43453</v>
      </c>
      <c r="AD198" s="84">
        <v>0</v>
      </c>
      <c r="AG198" s="84">
        <v>0</v>
      </c>
      <c r="AJ198" s="84">
        <v>0</v>
      </c>
      <c r="AM198" s="84" t="s">
        <v>290</v>
      </c>
      <c r="AN198" s="84" t="s">
        <v>1161</v>
      </c>
      <c r="AR198" s="85">
        <v>43424</v>
      </c>
      <c r="AS198" s="84">
        <v>6001621818</v>
      </c>
      <c r="AT198" s="85">
        <v>43425</v>
      </c>
      <c r="AU198" s="84" t="s">
        <v>949</v>
      </c>
      <c r="AV198" s="85">
        <v>43453</v>
      </c>
      <c r="AW198" s="123">
        <v>43465</v>
      </c>
      <c r="AX198" s="123">
        <v>43485</v>
      </c>
      <c r="AY198" s="132">
        <v>165888</v>
      </c>
      <c r="AZ198" s="132">
        <f>ROUNDDOWN(AY198+(AY198*MASTER!$A$2/100),0)</f>
        <v>179159</v>
      </c>
      <c r="BA198" s="84" t="s">
        <v>543</v>
      </c>
      <c r="BB198" s="88">
        <v>30000</v>
      </c>
      <c r="BC198" s="88">
        <v>32400</v>
      </c>
      <c r="BD198" s="84" t="s">
        <v>190</v>
      </c>
      <c r="BG198" s="88">
        <v>0</v>
      </c>
      <c r="BI198" s="84" t="s">
        <v>434</v>
      </c>
      <c r="BJ198" s="88">
        <v>57525</v>
      </c>
      <c r="BK198" s="88">
        <v>62127</v>
      </c>
      <c r="BL198" s="84" t="s">
        <v>190</v>
      </c>
      <c r="BS198" s="88">
        <v>0</v>
      </c>
      <c r="BV198" s="89">
        <v>91044</v>
      </c>
      <c r="BW198" s="89">
        <v>94527</v>
      </c>
      <c r="BX198" s="89">
        <v>43405</v>
      </c>
      <c r="BY198" s="89">
        <v>-3483</v>
      </c>
      <c r="BZ198" s="112">
        <v>-3.8256227758007118</v>
      </c>
      <c r="CK198" s="88">
        <v>6300</v>
      </c>
    </row>
    <row r="199" spans="1:89" x14ac:dyDescent="0.15">
      <c r="A199" s="84">
        <v>2</v>
      </c>
      <c r="B199" s="85">
        <v>43451</v>
      </c>
      <c r="C199" s="85">
        <v>43461</v>
      </c>
      <c r="D199" s="85">
        <v>43512</v>
      </c>
      <c r="F199" s="85">
        <v>43468</v>
      </c>
      <c r="G199" s="85">
        <v>43460</v>
      </c>
      <c r="H199" s="85">
        <v>43464</v>
      </c>
      <c r="I199" s="84" t="s">
        <v>776</v>
      </c>
      <c r="J199" s="84">
        <v>1</v>
      </c>
      <c r="L199" s="84">
        <v>0</v>
      </c>
      <c r="M199" s="85">
        <v>43405</v>
      </c>
      <c r="N199" s="85" t="s">
        <v>265</v>
      </c>
      <c r="O199" s="86" t="s">
        <v>340</v>
      </c>
      <c r="P199" s="84" t="s">
        <v>26</v>
      </c>
      <c r="Q199" s="86" t="s">
        <v>122</v>
      </c>
      <c r="R199" s="86" t="s">
        <v>1293</v>
      </c>
      <c r="S199" s="87" t="s">
        <v>1024</v>
      </c>
      <c r="T199" s="87" t="s">
        <v>1294</v>
      </c>
      <c r="U199" s="88">
        <v>188300</v>
      </c>
      <c r="V199" s="88">
        <v>203364</v>
      </c>
      <c r="W199" s="88">
        <v>92300</v>
      </c>
      <c r="X199" s="88">
        <v>99684</v>
      </c>
      <c r="Y199" s="88">
        <v>96000</v>
      </c>
      <c r="Z199" s="88">
        <v>103680</v>
      </c>
      <c r="AA199" s="85">
        <v>43459</v>
      </c>
      <c r="AB199" s="85">
        <v>43461</v>
      </c>
      <c r="AC199" s="85">
        <v>43461</v>
      </c>
      <c r="AD199" s="84">
        <v>0</v>
      </c>
      <c r="AG199" s="84">
        <v>0</v>
      </c>
      <c r="AJ199" s="84">
        <v>0</v>
      </c>
      <c r="AM199" s="84" t="s">
        <v>290</v>
      </c>
      <c r="AN199" s="84" t="s">
        <v>1295</v>
      </c>
      <c r="AR199" s="85">
        <v>43438</v>
      </c>
      <c r="AS199" s="84">
        <v>6001625953</v>
      </c>
      <c r="AT199" s="85">
        <v>43439</v>
      </c>
      <c r="AU199" s="84" t="s">
        <v>1130</v>
      </c>
      <c r="AV199" s="85">
        <v>43461</v>
      </c>
      <c r="AW199" s="123">
        <v>43465</v>
      </c>
      <c r="AX199" s="123">
        <v>43485</v>
      </c>
      <c r="AY199" s="132">
        <v>180768</v>
      </c>
      <c r="AZ199" s="132">
        <f>ROUNDDOWN(AY199+(AY199*MASTER!$A$2/100),0)</f>
        <v>195229</v>
      </c>
      <c r="BA199" s="84" t="s">
        <v>287</v>
      </c>
      <c r="BB199" s="88">
        <v>41000</v>
      </c>
      <c r="BC199" s="88">
        <v>44280</v>
      </c>
      <c r="BD199" s="84" t="s">
        <v>1138</v>
      </c>
      <c r="BG199" s="88">
        <v>0</v>
      </c>
      <c r="BI199" s="84" t="s">
        <v>434</v>
      </c>
      <c r="BJ199" s="88">
        <v>62400</v>
      </c>
      <c r="BK199" s="88">
        <v>67392</v>
      </c>
      <c r="BL199" s="84" t="s">
        <v>1138</v>
      </c>
      <c r="BS199" s="88">
        <v>0</v>
      </c>
      <c r="BV199" s="89">
        <v>99684</v>
      </c>
      <c r="BW199" s="89">
        <v>111672</v>
      </c>
      <c r="BX199" s="89">
        <v>43405</v>
      </c>
      <c r="BY199" s="89">
        <v>-11988</v>
      </c>
      <c r="BZ199" s="112">
        <v>-12.026002166847237</v>
      </c>
      <c r="CK199" s="88">
        <v>6300</v>
      </c>
    </row>
    <row r="200" spans="1:89" x14ac:dyDescent="0.15">
      <c r="A200" s="84">
        <v>2</v>
      </c>
      <c r="B200" s="85">
        <v>43441</v>
      </c>
      <c r="C200" s="85">
        <v>43451</v>
      </c>
      <c r="D200" s="85">
        <v>43467</v>
      </c>
      <c r="F200" s="85">
        <v>43458</v>
      </c>
      <c r="G200" s="85">
        <v>43451</v>
      </c>
      <c r="H200" s="85">
        <v>43454</v>
      </c>
      <c r="I200" s="84" t="s">
        <v>401</v>
      </c>
      <c r="J200" s="84">
        <v>1</v>
      </c>
      <c r="L200" s="84">
        <v>0</v>
      </c>
      <c r="M200" s="85">
        <v>43405</v>
      </c>
      <c r="N200" s="85" t="s">
        <v>265</v>
      </c>
      <c r="O200" s="86" t="s">
        <v>340</v>
      </c>
      <c r="P200" s="84" t="s">
        <v>26</v>
      </c>
      <c r="Q200" s="86" t="s">
        <v>122</v>
      </c>
      <c r="R200" s="86" t="s">
        <v>1102</v>
      </c>
      <c r="S200" s="87" t="s">
        <v>1103</v>
      </c>
      <c r="T200" s="87" t="s">
        <v>1104</v>
      </c>
      <c r="U200" s="88">
        <v>59200</v>
      </c>
      <c r="V200" s="88">
        <v>63936</v>
      </c>
      <c r="W200" s="88">
        <v>47000</v>
      </c>
      <c r="X200" s="88">
        <v>50760</v>
      </c>
      <c r="Y200" s="88">
        <v>12200</v>
      </c>
      <c r="Z200" s="88">
        <v>13176</v>
      </c>
      <c r="AA200" s="85">
        <v>43450</v>
      </c>
      <c r="AB200" s="85">
        <v>43451</v>
      </c>
      <c r="AC200" s="85">
        <v>43451</v>
      </c>
      <c r="AD200" s="84">
        <v>0</v>
      </c>
      <c r="AG200" s="84">
        <v>0</v>
      </c>
      <c r="AJ200" s="84">
        <v>0</v>
      </c>
      <c r="AM200" s="84" t="s">
        <v>290</v>
      </c>
      <c r="AN200" s="84" t="s">
        <v>1105</v>
      </c>
      <c r="AR200" s="85">
        <v>43424</v>
      </c>
      <c r="AS200" s="84">
        <v>6001621818</v>
      </c>
      <c r="AT200" s="85">
        <v>43425</v>
      </c>
      <c r="AU200" s="84" t="s">
        <v>949</v>
      </c>
      <c r="AV200" s="85">
        <v>43451</v>
      </c>
      <c r="AW200" s="123">
        <v>43465</v>
      </c>
      <c r="AX200" s="123">
        <v>43485</v>
      </c>
      <c r="AY200" s="132">
        <v>56832</v>
      </c>
      <c r="AZ200" s="132">
        <f>ROUNDDOWN(AY200+(AY200*MASTER!$A$2/100),0)</f>
        <v>61378</v>
      </c>
      <c r="BA200" s="84" t="s">
        <v>543</v>
      </c>
      <c r="BB200" s="88">
        <v>26000</v>
      </c>
      <c r="BC200" s="88">
        <v>28080</v>
      </c>
      <c r="BD200" s="84" t="s">
        <v>190</v>
      </c>
      <c r="BG200" s="88">
        <v>0</v>
      </c>
      <c r="BI200" s="84" t="s">
        <v>434</v>
      </c>
      <c r="BJ200" s="88">
        <v>7930</v>
      </c>
      <c r="BK200" s="88">
        <v>8564.4</v>
      </c>
      <c r="BL200" s="84" t="s">
        <v>190</v>
      </c>
      <c r="BS200" s="88">
        <v>0</v>
      </c>
      <c r="BV200" s="89">
        <v>50760</v>
      </c>
      <c r="BW200" s="89">
        <v>36644.400000000001</v>
      </c>
      <c r="BX200" s="89">
        <v>43405</v>
      </c>
      <c r="BY200" s="89">
        <v>14115.6</v>
      </c>
      <c r="BZ200" s="112">
        <v>27.808510638297868</v>
      </c>
      <c r="CK200" s="88">
        <v>0</v>
      </c>
    </row>
    <row r="201" spans="1:89" x14ac:dyDescent="0.15">
      <c r="A201" s="84">
        <v>2</v>
      </c>
      <c r="B201" s="85">
        <v>43441</v>
      </c>
      <c r="C201" s="85">
        <v>43452</v>
      </c>
      <c r="D201" s="85">
        <v>43470</v>
      </c>
      <c r="F201" s="85">
        <v>43459</v>
      </c>
      <c r="G201" s="85">
        <v>43455</v>
      </c>
      <c r="H201" s="85">
        <v>43455</v>
      </c>
      <c r="I201" s="84" t="s">
        <v>776</v>
      </c>
      <c r="J201" s="84">
        <v>1</v>
      </c>
      <c r="L201" s="84">
        <v>0</v>
      </c>
      <c r="M201" s="85">
        <v>43405</v>
      </c>
      <c r="N201" s="85" t="s">
        <v>265</v>
      </c>
      <c r="O201" s="86" t="s">
        <v>340</v>
      </c>
      <c r="P201" s="84" t="s">
        <v>26</v>
      </c>
      <c r="Q201" s="86" t="s">
        <v>122</v>
      </c>
      <c r="R201" s="86" t="s">
        <v>1107</v>
      </c>
      <c r="S201" s="87" t="s">
        <v>1108</v>
      </c>
      <c r="T201" s="87" t="s">
        <v>636</v>
      </c>
      <c r="U201" s="88">
        <v>50000</v>
      </c>
      <c r="V201" s="88">
        <v>54000</v>
      </c>
      <c r="W201" s="88">
        <v>47000</v>
      </c>
      <c r="X201" s="88">
        <v>50760</v>
      </c>
      <c r="Y201" s="88">
        <v>3000</v>
      </c>
      <c r="Z201" s="88">
        <v>3240</v>
      </c>
      <c r="AA201" s="85">
        <v>43451</v>
      </c>
      <c r="AB201" s="85">
        <v>43452</v>
      </c>
      <c r="AC201" s="85">
        <v>43452</v>
      </c>
      <c r="AD201" s="84">
        <v>0</v>
      </c>
      <c r="AG201" s="84">
        <v>0</v>
      </c>
      <c r="AJ201" s="84">
        <v>0</v>
      </c>
      <c r="AM201" s="84" t="s">
        <v>290</v>
      </c>
      <c r="AN201" s="84" t="s">
        <v>1109</v>
      </c>
      <c r="AR201" s="85">
        <v>43424</v>
      </c>
      <c r="AS201" s="84">
        <v>6001621818</v>
      </c>
      <c r="AT201" s="85">
        <v>43425</v>
      </c>
      <c r="AU201" s="84" t="s">
        <v>949</v>
      </c>
      <c r="AV201" s="85">
        <v>43452</v>
      </c>
      <c r="AW201" s="123">
        <v>43465</v>
      </c>
      <c r="AX201" s="123">
        <v>43485</v>
      </c>
      <c r="AY201" s="132">
        <v>48000</v>
      </c>
      <c r="AZ201" s="132">
        <f>ROUNDDOWN(AY201+(AY201*MASTER!$A$2/100),0)</f>
        <v>51840</v>
      </c>
      <c r="BA201" s="84" t="s">
        <v>287</v>
      </c>
      <c r="BB201" s="88">
        <v>21000</v>
      </c>
      <c r="BC201" s="88">
        <v>22680</v>
      </c>
      <c r="BD201" s="84" t="s">
        <v>190</v>
      </c>
      <c r="BG201" s="88">
        <v>0</v>
      </c>
      <c r="BI201" s="84" t="s">
        <v>434</v>
      </c>
      <c r="BJ201" s="88">
        <v>1950</v>
      </c>
      <c r="BK201" s="88">
        <v>2106</v>
      </c>
      <c r="BL201" s="84" t="s">
        <v>190</v>
      </c>
      <c r="BS201" s="88">
        <v>0</v>
      </c>
      <c r="BV201" s="89">
        <v>50760</v>
      </c>
      <c r="BW201" s="89">
        <v>24786</v>
      </c>
      <c r="BX201" s="89">
        <v>43405</v>
      </c>
      <c r="BY201" s="89">
        <v>25974</v>
      </c>
      <c r="BZ201" s="112">
        <v>51.170212765957444</v>
      </c>
      <c r="CK201" s="88">
        <v>0</v>
      </c>
    </row>
    <row r="202" spans="1:89" x14ac:dyDescent="0.15">
      <c r="A202" s="84">
        <v>2</v>
      </c>
      <c r="B202" s="85">
        <v>43441</v>
      </c>
      <c r="C202" s="85">
        <v>43453</v>
      </c>
      <c r="D202" s="85">
        <v>43470</v>
      </c>
      <c r="F202" s="85">
        <v>43460</v>
      </c>
      <c r="G202" s="85">
        <v>43454</v>
      </c>
      <c r="H202" s="85">
        <v>43456</v>
      </c>
      <c r="I202" s="84" t="s">
        <v>401</v>
      </c>
      <c r="J202" s="84">
        <v>1</v>
      </c>
      <c r="L202" s="84">
        <v>0</v>
      </c>
      <c r="M202" s="85">
        <v>43405</v>
      </c>
      <c r="N202" s="85" t="s">
        <v>265</v>
      </c>
      <c r="O202" s="86" t="s">
        <v>340</v>
      </c>
      <c r="P202" s="84" t="s">
        <v>26</v>
      </c>
      <c r="Q202" s="86" t="s">
        <v>122</v>
      </c>
      <c r="R202" s="86" t="s">
        <v>855</v>
      </c>
      <c r="S202" s="87" t="s">
        <v>685</v>
      </c>
      <c r="T202" s="87" t="s">
        <v>856</v>
      </c>
      <c r="U202" s="88">
        <v>197800</v>
      </c>
      <c r="V202" s="88">
        <v>213624</v>
      </c>
      <c r="W202" s="88">
        <v>84300</v>
      </c>
      <c r="X202" s="88">
        <v>91044</v>
      </c>
      <c r="Y202" s="88">
        <v>113500</v>
      </c>
      <c r="Z202" s="88">
        <v>122580</v>
      </c>
      <c r="AA202" s="85">
        <v>43451</v>
      </c>
      <c r="AB202" s="85">
        <v>43453</v>
      </c>
      <c r="AC202" s="85">
        <v>43453</v>
      </c>
      <c r="AD202" s="84">
        <v>0</v>
      </c>
      <c r="AG202" s="84">
        <v>0</v>
      </c>
      <c r="AJ202" s="84">
        <v>0</v>
      </c>
      <c r="AM202" s="84" t="s">
        <v>290</v>
      </c>
      <c r="AN202" s="84" t="s">
        <v>857</v>
      </c>
      <c r="AR202" s="85">
        <v>43419</v>
      </c>
      <c r="AS202" s="84">
        <v>6001619965</v>
      </c>
      <c r="AT202" s="85">
        <v>43420</v>
      </c>
      <c r="AU202" s="84" t="s">
        <v>892</v>
      </c>
      <c r="AV202" s="85">
        <v>43453</v>
      </c>
      <c r="AW202" s="123">
        <v>43465</v>
      </c>
      <c r="AX202" s="123">
        <v>43485</v>
      </c>
      <c r="AY202" s="132">
        <v>189888</v>
      </c>
      <c r="AZ202" s="132">
        <f>ROUNDDOWN(AY202+(AY202*MASTER!$A$2/100),0)</f>
        <v>205079</v>
      </c>
      <c r="BA202" s="84" t="s">
        <v>400</v>
      </c>
      <c r="BB202" s="88">
        <v>44000</v>
      </c>
      <c r="BC202" s="88">
        <v>47520</v>
      </c>
      <c r="BD202" s="84" t="s">
        <v>190</v>
      </c>
      <c r="BG202" s="88">
        <v>0</v>
      </c>
      <c r="BI202" s="84" t="s">
        <v>434</v>
      </c>
      <c r="BJ202" s="88">
        <v>73775</v>
      </c>
      <c r="BK202" s="88">
        <v>79677</v>
      </c>
      <c r="BL202" s="84" t="s">
        <v>190</v>
      </c>
      <c r="BS202" s="88">
        <v>0</v>
      </c>
      <c r="BV202" s="89">
        <v>91044</v>
      </c>
      <c r="BW202" s="89">
        <v>127197</v>
      </c>
      <c r="BX202" s="89">
        <v>43405</v>
      </c>
      <c r="BY202" s="89">
        <v>-36153</v>
      </c>
      <c r="BZ202" s="112">
        <v>-39.70937129300119</v>
      </c>
      <c r="CK202" s="88">
        <v>6300</v>
      </c>
    </row>
    <row r="203" spans="1:89" x14ac:dyDescent="0.15">
      <c r="A203" s="84">
        <v>2</v>
      </c>
      <c r="B203" s="85">
        <v>43441</v>
      </c>
      <c r="C203" s="85">
        <v>43454</v>
      </c>
      <c r="D203" s="85">
        <v>43476</v>
      </c>
      <c r="F203" s="85">
        <v>43461</v>
      </c>
      <c r="G203" s="85">
        <v>43455</v>
      </c>
      <c r="H203" s="85">
        <v>43457</v>
      </c>
      <c r="I203" s="84" t="s">
        <v>776</v>
      </c>
      <c r="J203" s="84">
        <v>1</v>
      </c>
      <c r="L203" s="84">
        <v>0</v>
      </c>
      <c r="M203" s="85">
        <v>43405</v>
      </c>
      <c r="N203" s="85" t="s">
        <v>265</v>
      </c>
      <c r="O203" s="86" t="s">
        <v>340</v>
      </c>
      <c r="P203" s="84" t="s">
        <v>26</v>
      </c>
      <c r="Q203" s="86" t="s">
        <v>122</v>
      </c>
      <c r="R203" s="86" t="s">
        <v>1032</v>
      </c>
      <c r="S203" s="87" t="s">
        <v>1033</v>
      </c>
      <c r="T203" s="87" t="s">
        <v>1034</v>
      </c>
      <c r="U203" s="88">
        <v>601000</v>
      </c>
      <c r="V203" s="88">
        <v>649080</v>
      </c>
      <c r="W203" s="88">
        <v>508500</v>
      </c>
      <c r="X203" s="88">
        <v>549180</v>
      </c>
      <c r="Y203" s="88">
        <v>92500</v>
      </c>
      <c r="Z203" s="88">
        <v>99900</v>
      </c>
      <c r="AA203" s="85">
        <v>43451</v>
      </c>
      <c r="AB203" s="85">
        <v>43454</v>
      </c>
      <c r="AC203" s="85">
        <v>43454</v>
      </c>
      <c r="AD203" s="84">
        <v>0</v>
      </c>
      <c r="AG203" s="84">
        <v>0</v>
      </c>
      <c r="AJ203" s="84">
        <v>0</v>
      </c>
      <c r="AM203" s="84" t="s">
        <v>290</v>
      </c>
      <c r="AN203" s="84" t="s">
        <v>1035</v>
      </c>
      <c r="AR203" s="85">
        <v>43439</v>
      </c>
      <c r="AS203" s="84">
        <v>6001626565</v>
      </c>
      <c r="AT203" s="85">
        <v>43439</v>
      </c>
      <c r="AU203" s="84" t="s">
        <v>1132</v>
      </c>
      <c r="AV203" s="85">
        <v>43454</v>
      </c>
      <c r="AW203" s="123">
        <v>43465</v>
      </c>
      <c r="AX203" s="123">
        <v>43485</v>
      </c>
      <c r="AY203" s="132">
        <v>576960</v>
      </c>
      <c r="AZ203" s="132">
        <f>ROUNDDOWN(AY203+(AY203*MASTER!$A$2/100),0)</f>
        <v>623116</v>
      </c>
      <c r="BA203" s="84" t="s">
        <v>14</v>
      </c>
      <c r="BB203" s="88">
        <v>204700</v>
      </c>
      <c r="BC203" s="88">
        <v>221076</v>
      </c>
      <c r="BD203" s="84" t="s">
        <v>190</v>
      </c>
      <c r="BG203" s="88">
        <v>0</v>
      </c>
      <c r="BI203" s="84" t="s">
        <v>434</v>
      </c>
      <c r="BJ203" s="88">
        <v>60125</v>
      </c>
      <c r="BK203" s="88">
        <v>64935</v>
      </c>
      <c r="BL203" s="84" t="s">
        <v>190</v>
      </c>
      <c r="BS203" s="88">
        <v>0</v>
      </c>
      <c r="BV203" s="89">
        <v>549180</v>
      </c>
      <c r="BW203" s="89">
        <v>286011</v>
      </c>
      <c r="BX203" s="89">
        <v>43405</v>
      </c>
      <c r="BY203" s="89">
        <v>263169</v>
      </c>
      <c r="BZ203" s="112">
        <v>47.920353982300881</v>
      </c>
      <c r="CK203" s="88">
        <v>31500</v>
      </c>
    </row>
    <row r="204" spans="1:89" x14ac:dyDescent="0.15">
      <c r="A204" s="84">
        <v>1</v>
      </c>
      <c r="B204" s="85">
        <v>43411</v>
      </c>
      <c r="C204" s="85">
        <v>43419</v>
      </c>
      <c r="F204" s="85" t="s">
        <v>338</v>
      </c>
      <c r="H204" s="85" t="s">
        <v>338</v>
      </c>
      <c r="J204" s="84">
        <v>2</v>
      </c>
      <c r="L204" s="84">
        <v>0</v>
      </c>
      <c r="M204" s="85">
        <v>43405</v>
      </c>
      <c r="N204" s="85" t="s">
        <v>265</v>
      </c>
      <c r="O204" s="86" t="s">
        <v>340</v>
      </c>
      <c r="P204" s="84" t="s">
        <v>78</v>
      </c>
      <c r="Q204" s="86" t="s">
        <v>122</v>
      </c>
      <c r="R204" s="86" t="s">
        <v>712</v>
      </c>
      <c r="S204" s="87" t="s">
        <v>407</v>
      </c>
      <c r="T204" s="87" t="s">
        <v>408</v>
      </c>
      <c r="U204" s="88">
        <v>83000</v>
      </c>
      <c r="V204" s="88">
        <v>89640</v>
      </c>
      <c r="W204" s="88">
        <v>83000</v>
      </c>
      <c r="X204" s="88">
        <v>89640</v>
      </c>
      <c r="Z204" s="88">
        <v>0</v>
      </c>
      <c r="AD204" s="84">
        <v>0</v>
      </c>
      <c r="AG204" s="84">
        <v>0</v>
      </c>
      <c r="AJ204" s="84">
        <v>0</v>
      </c>
      <c r="AR204" s="85">
        <v>43405</v>
      </c>
      <c r="AS204" s="84">
        <v>6001614392</v>
      </c>
      <c r="AT204" s="85">
        <v>43406</v>
      </c>
      <c r="AU204" s="84" t="s">
        <v>743</v>
      </c>
      <c r="AV204" s="85">
        <v>43419</v>
      </c>
      <c r="AW204" s="123">
        <v>43434</v>
      </c>
      <c r="AX204" s="123">
        <v>43454</v>
      </c>
      <c r="AY204" s="132">
        <v>79680</v>
      </c>
      <c r="AZ204" s="132">
        <f>ROUNDDOWN(AY204+(AY204*MASTER!$A$2/100),0)</f>
        <v>86054</v>
      </c>
      <c r="BC204" s="88">
        <v>0</v>
      </c>
      <c r="BG204" s="88">
        <v>0</v>
      </c>
      <c r="BK204" s="88">
        <v>0</v>
      </c>
      <c r="BS204" s="88">
        <v>0</v>
      </c>
      <c r="BV204" s="89">
        <v>89640</v>
      </c>
      <c r="BW204" s="89">
        <v>0</v>
      </c>
      <c r="BX204" s="89">
        <v>43405</v>
      </c>
      <c r="BY204" s="89">
        <v>89640</v>
      </c>
      <c r="BZ204" s="112">
        <v>100</v>
      </c>
      <c r="CD204" s="87" t="s">
        <v>775</v>
      </c>
      <c r="CK204" s="88">
        <v>0</v>
      </c>
    </row>
    <row r="205" spans="1:89" x14ac:dyDescent="0.15">
      <c r="A205" s="84">
        <v>1</v>
      </c>
      <c r="B205" s="85">
        <v>43411</v>
      </c>
      <c r="C205" s="85">
        <v>43419</v>
      </c>
      <c r="F205" s="85" t="s">
        <v>338</v>
      </c>
      <c r="H205" s="85" t="s">
        <v>338</v>
      </c>
      <c r="J205" s="84">
        <v>2</v>
      </c>
      <c r="L205" s="84">
        <v>0</v>
      </c>
      <c r="M205" s="85">
        <v>43405</v>
      </c>
      <c r="N205" s="85" t="s">
        <v>265</v>
      </c>
      <c r="O205" s="86" t="s">
        <v>340</v>
      </c>
      <c r="P205" s="84" t="s">
        <v>78</v>
      </c>
      <c r="Q205" s="86" t="s">
        <v>122</v>
      </c>
      <c r="R205" s="86" t="s">
        <v>713</v>
      </c>
      <c r="S205" s="87" t="s">
        <v>407</v>
      </c>
      <c r="T205" s="87" t="s">
        <v>582</v>
      </c>
      <c r="U205" s="88">
        <v>5150</v>
      </c>
      <c r="V205" s="88">
        <v>5562</v>
      </c>
      <c r="W205" s="88">
        <v>5150</v>
      </c>
      <c r="X205" s="88">
        <v>5562</v>
      </c>
      <c r="Z205" s="88">
        <v>0</v>
      </c>
      <c r="AD205" s="84">
        <v>0</v>
      </c>
      <c r="AG205" s="84">
        <v>0</v>
      </c>
      <c r="AJ205" s="84">
        <v>0</v>
      </c>
      <c r="AR205" s="85">
        <v>43405</v>
      </c>
      <c r="AS205" s="84">
        <v>6001614392</v>
      </c>
      <c r="AT205" s="85">
        <v>43406</v>
      </c>
      <c r="AU205" s="84" t="s">
        <v>743</v>
      </c>
      <c r="AV205" s="85">
        <v>43419</v>
      </c>
      <c r="AW205" s="123">
        <v>43434</v>
      </c>
      <c r="AX205" s="123">
        <v>43454</v>
      </c>
      <c r="AY205" s="132">
        <v>4944</v>
      </c>
      <c r="AZ205" s="132">
        <f>ROUNDDOWN(AY205+(AY205*MASTER!$A$2/100),0)</f>
        <v>5339</v>
      </c>
      <c r="BC205" s="88">
        <v>0</v>
      </c>
      <c r="BG205" s="88">
        <v>0</v>
      </c>
      <c r="BK205" s="88">
        <v>0</v>
      </c>
      <c r="BS205" s="88">
        <v>0</v>
      </c>
      <c r="BV205" s="89">
        <v>5562</v>
      </c>
      <c r="BW205" s="89">
        <v>0</v>
      </c>
      <c r="BX205" s="89">
        <v>43405</v>
      </c>
      <c r="BY205" s="89">
        <v>5562</v>
      </c>
      <c r="BZ205" s="112">
        <v>100</v>
      </c>
      <c r="CK205" s="88">
        <v>0</v>
      </c>
    </row>
    <row r="206" spans="1:89" x14ac:dyDescent="0.15">
      <c r="A206" s="84">
        <v>2</v>
      </c>
      <c r="B206" s="85">
        <v>43454</v>
      </c>
      <c r="C206" s="85">
        <v>43477</v>
      </c>
      <c r="D206" s="85">
        <v>43483</v>
      </c>
      <c r="F206" s="85">
        <v>43484</v>
      </c>
      <c r="G206" s="85">
        <v>43483</v>
      </c>
      <c r="H206" s="85">
        <v>43480</v>
      </c>
      <c r="I206" s="84" t="s">
        <v>401</v>
      </c>
      <c r="J206" s="84">
        <v>1</v>
      </c>
      <c r="L206" s="84">
        <v>0</v>
      </c>
      <c r="M206" s="85">
        <v>43405</v>
      </c>
      <c r="N206" s="85" t="s">
        <v>265</v>
      </c>
      <c r="O206" s="86" t="s">
        <v>340</v>
      </c>
      <c r="P206" s="84" t="s">
        <v>26</v>
      </c>
      <c r="Q206" s="86" t="s">
        <v>122</v>
      </c>
      <c r="R206" s="86" t="s">
        <v>954</v>
      </c>
      <c r="S206" s="87" t="s">
        <v>955</v>
      </c>
      <c r="T206" s="87" t="s">
        <v>956</v>
      </c>
      <c r="U206" s="88">
        <v>4123340</v>
      </c>
      <c r="V206" s="88">
        <v>4453207.2</v>
      </c>
      <c r="W206" s="88">
        <v>4054340</v>
      </c>
      <c r="X206" s="88">
        <v>4378687.2</v>
      </c>
      <c r="Y206" s="88">
        <v>69000</v>
      </c>
      <c r="Z206" s="88">
        <v>74520</v>
      </c>
      <c r="AA206" s="85">
        <v>43472</v>
      </c>
      <c r="AB206" s="85">
        <v>43477</v>
      </c>
      <c r="AC206" s="85">
        <v>43477</v>
      </c>
      <c r="AD206" s="84">
        <v>0</v>
      </c>
      <c r="AG206" s="84">
        <v>0</v>
      </c>
      <c r="AJ206" s="84">
        <v>0</v>
      </c>
      <c r="AM206" s="84" t="s">
        <v>290</v>
      </c>
      <c r="AN206" s="84" t="s">
        <v>957</v>
      </c>
      <c r="AR206" s="85">
        <v>43424</v>
      </c>
      <c r="AS206" s="84">
        <v>6001621819</v>
      </c>
      <c r="AT206" s="85">
        <v>43426</v>
      </c>
      <c r="AU206" s="84" t="s">
        <v>1378</v>
      </c>
      <c r="AV206" s="85">
        <v>43477</v>
      </c>
      <c r="AW206" s="123">
        <v>43496</v>
      </c>
      <c r="AX206" s="123">
        <v>43516</v>
      </c>
      <c r="AY206" s="132">
        <v>3958406</v>
      </c>
      <c r="AZ206" s="132">
        <f>ROUNDDOWN(AY206+(AY206*MASTER!$A$2/100),0)</f>
        <v>4275078</v>
      </c>
      <c r="BA206" s="84" t="s">
        <v>400</v>
      </c>
      <c r="BB206" s="88">
        <v>2072700</v>
      </c>
      <c r="BC206" s="88">
        <v>2238516</v>
      </c>
      <c r="BD206" s="84" t="s">
        <v>1138</v>
      </c>
      <c r="BG206" s="88">
        <v>0</v>
      </c>
      <c r="BI206" s="84" t="s">
        <v>434</v>
      </c>
      <c r="BJ206" s="88">
        <v>44850</v>
      </c>
      <c r="BK206" s="88">
        <v>48438</v>
      </c>
      <c r="BL206" s="84" t="s">
        <v>1138</v>
      </c>
      <c r="BS206" s="88">
        <v>0</v>
      </c>
      <c r="BV206" s="89">
        <v>4378687.2</v>
      </c>
      <c r="BW206" s="89">
        <v>2286954</v>
      </c>
      <c r="BX206" s="89">
        <v>43405</v>
      </c>
      <c r="BY206" s="89">
        <v>2091733.2</v>
      </c>
      <c r="BZ206" s="112">
        <v>47.770783900708871</v>
      </c>
      <c r="CK206" s="88">
        <v>300000</v>
      </c>
    </row>
    <row r="207" spans="1:89" x14ac:dyDescent="0.15">
      <c r="A207" s="84">
        <v>1</v>
      </c>
      <c r="C207" s="85" t="s">
        <v>338</v>
      </c>
      <c r="F207" s="85" t="s">
        <v>338</v>
      </c>
      <c r="H207" s="85" t="s">
        <v>338</v>
      </c>
      <c r="J207" s="84">
        <v>2</v>
      </c>
      <c r="L207" s="84">
        <v>0</v>
      </c>
      <c r="M207" s="85">
        <v>43405</v>
      </c>
      <c r="N207" s="85" t="s">
        <v>264</v>
      </c>
      <c r="O207" s="86" t="s">
        <v>340</v>
      </c>
      <c r="P207" s="84" t="s">
        <v>272</v>
      </c>
      <c r="Q207" s="86" t="s">
        <v>122</v>
      </c>
      <c r="R207" s="86" t="s">
        <v>729</v>
      </c>
      <c r="S207" s="87" t="s">
        <v>387</v>
      </c>
      <c r="T207" s="87" t="s">
        <v>730</v>
      </c>
      <c r="U207" s="88">
        <v>654000</v>
      </c>
      <c r="V207" s="88">
        <v>706320</v>
      </c>
      <c r="W207" s="88">
        <v>654000</v>
      </c>
      <c r="X207" s="88">
        <v>706320</v>
      </c>
      <c r="Z207" s="88">
        <v>0</v>
      </c>
      <c r="AD207" s="84">
        <v>0</v>
      </c>
      <c r="AG207" s="84">
        <v>0</v>
      </c>
      <c r="AJ207" s="84">
        <v>0</v>
      </c>
      <c r="AR207" s="85">
        <v>43411</v>
      </c>
      <c r="AS207" s="84">
        <v>6001616929</v>
      </c>
      <c r="AT207" s="85">
        <v>43411</v>
      </c>
      <c r="AU207" s="84" t="s">
        <v>784</v>
      </c>
      <c r="AV207" s="85">
        <v>43434</v>
      </c>
      <c r="AW207" s="123">
        <v>43434</v>
      </c>
      <c r="AX207" s="123">
        <v>43454</v>
      </c>
      <c r="AY207" s="140">
        <v>654000</v>
      </c>
      <c r="AZ207" s="132">
        <f>ROUNDDOWN(AY207+(AY207*MASTER!$A$2/100),0)</f>
        <v>706320</v>
      </c>
      <c r="BC207" s="88">
        <v>0</v>
      </c>
      <c r="BG207" s="88">
        <v>0</v>
      </c>
      <c r="BK207" s="88">
        <v>0</v>
      </c>
      <c r="BS207" s="88">
        <v>0</v>
      </c>
      <c r="BV207" s="89">
        <v>706320</v>
      </c>
      <c r="BW207" s="89">
        <v>0</v>
      </c>
      <c r="BX207" s="89">
        <v>43405</v>
      </c>
      <c r="BY207" s="89">
        <v>706320</v>
      </c>
      <c r="BZ207" s="112">
        <v>100</v>
      </c>
    </row>
    <row r="208" spans="1:89" x14ac:dyDescent="0.15">
      <c r="A208" s="84">
        <v>1</v>
      </c>
      <c r="B208" s="85">
        <v>43423</v>
      </c>
      <c r="C208" s="85">
        <v>43423</v>
      </c>
      <c r="F208" s="85" t="s">
        <v>338</v>
      </c>
      <c r="H208" s="85" t="s">
        <v>338</v>
      </c>
      <c r="J208" s="84">
        <v>2</v>
      </c>
      <c r="L208" s="84">
        <v>0</v>
      </c>
      <c r="M208" s="85">
        <v>43406</v>
      </c>
      <c r="N208" s="85" t="s">
        <v>265</v>
      </c>
      <c r="O208" s="86" t="s">
        <v>340</v>
      </c>
      <c r="P208" s="84" t="s">
        <v>272</v>
      </c>
      <c r="Q208" s="86" t="s">
        <v>122</v>
      </c>
      <c r="R208" s="86" t="s">
        <v>737</v>
      </c>
      <c r="S208" s="87" t="s">
        <v>417</v>
      </c>
      <c r="T208" s="87" t="s">
        <v>738</v>
      </c>
      <c r="U208" s="88">
        <v>3000</v>
      </c>
      <c r="V208" s="88">
        <v>3240</v>
      </c>
      <c r="W208" s="88">
        <v>3000</v>
      </c>
      <c r="X208" s="88">
        <v>3240</v>
      </c>
      <c r="Z208" s="88">
        <v>0</v>
      </c>
      <c r="AA208" s="85">
        <v>43405</v>
      </c>
      <c r="AD208" s="84">
        <v>0</v>
      </c>
      <c r="AG208" s="84">
        <v>0</v>
      </c>
      <c r="AJ208" s="84">
        <v>0</v>
      </c>
      <c r="AR208" s="85">
        <v>43419</v>
      </c>
      <c r="AS208" s="84">
        <v>6001619965</v>
      </c>
      <c r="AT208" s="85">
        <v>43420</v>
      </c>
      <c r="AU208" s="84" t="s">
        <v>892</v>
      </c>
      <c r="AV208" s="85">
        <v>43423</v>
      </c>
      <c r="AW208" s="123">
        <v>43434</v>
      </c>
      <c r="AX208" s="123">
        <v>43454</v>
      </c>
      <c r="AY208" s="132">
        <v>2880</v>
      </c>
      <c r="AZ208" s="132">
        <f>ROUNDDOWN(AY208+(AY208*MASTER!$A$2/100),0)</f>
        <v>3110</v>
      </c>
      <c r="BC208" s="88">
        <v>0</v>
      </c>
      <c r="BG208" s="88">
        <v>0</v>
      </c>
      <c r="BK208" s="88">
        <v>0</v>
      </c>
      <c r="BS208" s="88">
        <v>0</v>
      </c>
      <c r="BV208" s="89">
        <v>3240</v>
      </c>
      <c r="BW208" s="89">
        <v>0</v>
      </c>
      <c r="BX208" s="89">
        <v>43406</v>
      </c>
      <c r="BY208" s="89">
        <v>3240</v>
      </c>
      <c r="BZ208" s="112">
        <v>100</v>
      </c>
    </row>
    <row r="209" spans="1:89" x14ac:dyDescent="0.15">
      <c r="A209" s="84">
        <v>2</v>
      </c>
      <c r="B209" s="85">
        <v>43440</v>
      </c>
      <c r="C209" s="85">
        <v>43454</v>
      </c>
      <c r="D209" s="85">
        <v>43438</v>
      </c>
      <c r="E209" s="85">
        <v>43438</v>
      </c>
      <c r="F209" s="85" t="s">
        <v>338</v>
      </c>
      <c r="G209" s="85">
        <v>43438</v>
      </c>
      <c r="H209" s="85" t="s">
        <v>338</v>
      </c>
      <c r="I209" s="84" t="s">
        <v>380</v>
      </c>
      <c r="J209" s="84">
        <v>2</v>
      </c>
      <c r="L209" s="84">
        <v>0</v>
      </c>
      <c r="M209" s="85">
        <v>43406</v>
      </c>
      <c r="N209" s="85" t="s">
        <v>265</v>
      </c>
      <c r="O209" s="86" t="s">
        <v>340</v>
      </c>
      <c r="P209" s="84" t="s">
        <v>6</v>
      </c>
      <c r="Q209" s="86" t="s">
        <v>122</v>
      </c>
      <c r="R209" s="86" t="s">
        <v>1023</v>
      </c>
      <c r="S209" s="87" t="s">
        <v>1024</v>
      </c>
      <c r="T209" s="87" t="s">
        <v>342</v>
      </c>
      <c r="U209" s="88">
        <v>35000</v>
      </c>
      <c r="V209" s="88">
        <v>37800</v>
      </c>
      <c r="W209" s="88">
        <v>35000</v>
      </c>
      <c r="X209" s="88">
        <v>37800</v>
      </c>
      <c r="Z209" s="88">
        <v>0</v>
      </c>
      <c r="AA209" s="85">
        <v>43406</v>
      </c>
      <c r="AB209" s="85">
        <v>43433</v>
      </c>
      <c r="AD209" s="84">
        <v>0</v>
      </c>
      <c r="AG209" s="84">
        <v>0</v>
      </c>
      <c r="AJ209" s="84">
        <v>0</v>
      </c>
      <c r="AN209" s="84" t="s">
        <v>338</v>
      </c>
      <c r="AR209" s="85">
        <v>43411</v>
      </c>
      <c r="AS209" s="84">
        <v>6001616927</v>
      </c>
      <c r="AT209" s="85">
        <v>43411</v>
      </c>
      <c r="AU209" s="84" t="s">
        <v>782</v>
      </c>
      <c r="AV209" s="85">
        <v>43454</v>
      </c>
      <c r="AW209" s="123">
        <v>43465</v>
      </c>
      <c r="AX209" s="123">
        <v>43485</v>
      </c>
      <c r="AY209" s="132">
        <v>33600</v>
      </c>
      <c r="AZ209" s="132">
        <f>ROUNDDOWN(AY209+(AY209*MASTER!$A$2/100),0)</f>
        <v>36288</v>
      </c>
      <c r="BA209" s="84" t="s">
        <v>287</v>
      </c>
      <c r="BB209" s="88">
        <v>21000</v>
      </c>
      <c r="BC209" s="88">
        <v>22680</v>
      </c>
      <c r="BD209" s="84" t="s">
        <v>863</v>
      </c>
      <c r="BG209" s="88">
        <v>0</v>
      </c>
      <c r="BK209" s="88">
        <v>0</v>
      </c>
      <c r="BS209" s="88">
        <v>0</v>
      </c>
      <c r="BV209" s="89">
        <v>37800</v>
      </c>
      <c r="BW209" s="89">
        <v>22680</v>
      </c>
      <c r="BX209" s="89">
        <v>43406</v>
      </c>
      <c r="BY209" s="89">
        <v>15120</v>
      </c>
      <c r="BZ209" s="112">
        <v>40</v>
      </c>
      <c r="CK209" s="88">
        <v>0</v>
      </c>
    </row>
    <row r="210" spans="1:89" x14ac:dyDescent="0.15">
      <c r="A210" s="84">
        <v>1</v>
      </c>
      <c r="B210" s="85">
        <v>43412</v>
      </c>
      <c r="C210" s="85">
        <v>43423</v>
      </c>
      <c r="F210" s="85" t="s">
        <v>338</v>
      </c>
      <c r="H210" s="85" t="s">
        <v>338</v>
      </c>
      <c r="J210" s="84">
        <v>2</v>
      </c>
      <c r="L210" s="84">
        <v>0</v>
      </c>
      <c r="M210" s="85">
        <v>43409</v>
      </c>
      <c r="N210" s="85" t="s">
        <v>265</v>
      </c>
      <c r="O210" s="86" t="s">
        <v>340</v>
      </c>
      <c r="P210" s="84" t="s">
        <v>269</v>
      </c>
      <c r="Q210" s="86" t="s">
        <v>122</v>
      </c>
      <c r="R210" s="86" t="s">
        <v>1117</v>
      </c>
      <c r="S210" s="87" t="s">
        <v>377</v>
      </c>
      <c r="T210" s="87" t="s">
        <v>1115</v>
      </c>
      <c r="U210" s="88">
        <v>66000</v>
      </c>
      <c r="V210" s="88">
        <v>71280</v>
      </c>
      <c r="W210" s="88">
        <v>66000</v>
      </c>
      <c r="X210" s="88">
        <v>71280</v>
      </c>
      <c r="Z210" s="88">
        <v>0</v>
      </c>
      <c r="AA210" s="85" t="s">
        <v>677</v>
      </c>
      <c r="AD210" s="84">
        <v>0</v>
      </c>
      <c r="AG210" s="84">
        <v>0</v>
      </c>
      <c r="AJ210" s="84">
        <v>0</v>
      </c>
      <c r="AR210" s="85">
        <v>43410</v>
      </c>
      <c r="AS210" s="84">
        <v>6001615950</v>
      </c>
      <c r="AT210" s="85">
        <v>43411</v>
      </c>
      <c r="AU210" s="84" t="s">
        <v>1118</v>
      </c>
      <c r="AV210" s="85">
        <v>43423</v>
      </c>
      <c r="AW210" s="123">
        <v>43434</v>
      </c>
      <c r="AX210" s="123">
        <v>43454</v>
      </c>
      <c r="AY210" s="132">
        <v>63360</v>
      </c>
      <c r="AZ210" s="132">
        <f>ROUNDDOWN(AY210+(AY210*MASTER!$A$2/100),0)</f>
        <v>68428</v>
      </c>
      <c r="BC210" s="88">
        <v>0</v>
      </c>
      <c r="BG210" s="88">
        <v>0</v>
      </c>
      <c r="BK210" s="88">
        <v>0</v>
      </c>
      <c r="BS210" s="88">
        <v>0</v>
      </c>
      <c r="BV210" s="89">
        <v>71280</v>
      </c>
      <c r="BW210" s="89">
        <v>0</v>
      </c>
      <c r="BX210" s="89">
        <v>43409</v>
      </c>
      <c r="BY210" s="89">
        <v>71280</v>
      </c>
      <c r="BZ210" s="112">
        <v>100</v>
      </c>
      <c r="CK210" s="88">
        <v>0</v>
      </c>
    </row>
    <row r="211" spans="1:89" x14ac:dyDescent="0.15">
      <c r="A211" s="84">
        <v>2</v>
      </c>
      <c r="C211" s="85" t="s">
        <v>338</v>
      </c>
      <c r="F211" s="85" t="s">
        <v>338</v>
      </c>
      <c r="H211" s="85" t="s">
        <v>338</v>
      </c>
      <c r="J211" s="84">
        <v>4</v>
      </c>
      <c r="L211" s="84">
        <v>0</v>
      </c>
      <c r="M211" s="85">
        <v>43409</v>
      </c>
      <c r="N211" s="85" t="s">
        <v>345</v>
      </c>
      <c r="O211" s="86" t="s">
        <v>343</v>
      </c>
      <c r="P211" s="84" t="s">
        <v>482</v>
      </c>
      <c r="Q211" s="86" t="s">
        <v>711</v>
      </c>
      <c r="R211" s="86" t="s">
        <v>754</v>
      </c>
      <c r="S211" s="87" t="s">
        <v>752</v>
      </c>
      <c r="T211" s="87" t="s">
        <v>753</v>
      </c>
      <c r="U211" s="88">
        <v>0</v>
      </c>
      <c r="V211" s="88">
        <v>0</v>
      </c>
      <c r="W211" s="88">
        <v>0</v>
      </c>
      <c r="X211" s="88">
        <v>0</v>
      </c>
      <c r="Y211" s="88">
        <v>0</v>
      </c>
      <c r="Z211" s="88">
        <v>0</v>
      </c>
      <c r="AA211" s="85">
        <v>43364</v>
      </c>
      <c r="AB211" s="85">
        <v>43404</v>
      </c>
      <c r="AD211" s="84">
        <v>0</v>
      </c>
      <c r="AG211" s="84">
        <v>0</v>
      </c>
      <c r="AJ211" s="84">
        <v>0</v>
      </c>
      <c r="AN211" s="84" t="s">
        <v>338</v>
      </c>
      <c r="AY211" s="132">
        <f>ROUNDDOWN((0.96*U211),0)</f>
        <v>0</v>
      </c>
      <c r="AZ211" s="132">
        <f>ROUNDDOWN(AY211+(AY211*MASTER!$A$2/100),0)</f>
        <v>0</v>
      </c>
      <c r="BA211" s="84" t="s">
        <v>275</v>
      </c>
      <c r="BB211" s="88">
        <v>632813</v>
      </c>
      <c r="BC211" s="88">
        <v>683438.04</v>
      </c>
      <c r="BD211" s="84" t="s">
        <v>430</v>
      </c>
      <c r="BG211" s="88">
        <v>0</v>
      </c>
      <c r="BK211" s="88">
        <v>0</v>
      </c>
      <c r="BS211" s="88">
        <v>0</v>
      </c>
      <c r="BV211" s="89">
        <v>0</v>
      </c>
      <c r="BW211" s="89">
        <v>683438.04</v>
      </c>
      <c r="BX211" s="89">
        <v>43409</v>
      </c>
      <c r="BY211" s="89">
        <v>-683438.04</v>
      </c>
      <c r="BZ211" s="112" t="s">
        <v>338</v>
      </c>
    </row>
    <row r="212" spans="1:89" x14ac:dyDescent="0.15">
      <c r="A212" s="84">
        <v>2</v>
      </c>
      <c r="B212" s="85">
        <v>43412</v>
      </c>
      <c r="C212" s="85">
        <v>43417</v>
      </c>
      <c r="F212" s="85" t="s">
        <v>338</v>
      </c>
      <c r="H212" s="85" t="s">
        <v>338</v>
      </c>
      <c r="J212" s="84">
        <v>2</v>
      </c>
      <c r="L212" s="84">
        <v>0</v>
      </c>
      <c r="M212" s="85">
        <v>43410</v>
      </c>
      <c r="N212" s="85" t="s">
        <v>265</v>
      </c>
      <c r="O212" s="86" t="s">
        <v>340</v>
      </c>
      <c r="P212" s="84" t="s">
        <v>272</v>
      </c>
      <c r="Q212" s="86" t="s">
        <v>122</v>
      </c>
      <c r="R212" s="86" t="s">
        <v>755</v>
      </c>
      <c r="S212" s="87" t="s">
        <v>351</v>
      </c>
      <c r="T212" s="87" t="s">
        <v>756</v>
      </c>
      <c r="U212" s="88">
        <v>50000</v>
      </c>
      <c r="V212" s="88">
        <v>54000</v>
      </c>
      <c r="W212" s="88">
        <v>50000</v>
      </c>
      <c r="X212" s="88">
        <v>54000</v>
      </c>
      <c r="Z212" s="88">
        <v>0</v>
      </c>
      <c r="AA212" s="85" t="s">
        <v>189</v>
      </c>
      <c r="AD212" s="84">
        <v>0</v>
      </c>
      <c r="AG212" s="84">
        <v>0</v>
      </c>
      <c r="AJ212" s="84">
        <v>0</v>
      </c>
      <c r="AR212" s="85">
        <v>43411</v>
      </c>
      <c r="AS212" s="84">
        <v>6001616927</v>
      </c>
      <c r="AT212" s="85">
        <v>43411</v>
      </c>
      <c r="AU212" s="84" t="s">
        <v>782</v>
      </c>
      <c r="AV212" s="85">
        <v>43417</v>
      </c>
      <c r="AW212" s="123">
        <v>43434</v>
      </c>
      <c r="AX212" s="123">
        <v>43454</v>
      </c>
      <c r="AY212" s="132">
        <v>48000</v>
      </c>
      <c r="AZ212" s="132">
        <f>ROUNDDOWN(AY212+(AY212*MASTER!$A$2/100),0)</f>
        <v>51840</v>
      </c>
      <c r="BC212" s="88">
        <v>0</v>
      </c>
      <c r="BG212" s="88">
        <v>0</v>
      </c>
      <c r="BK212" s="88">
        <v>0</v>
      </c>
      <c r="BS212" s="88">
        <v>0</v>
      </c>
      <c r="BV212" s="89">
        <v>54000</v>
      </c>
      <c r="BW212" s="89">
        <v>0</v>
      </c>
      <c r="BX212" s="89">
        <v>43410</v>
      </c>
      <c r="BY212" s="89">
        <v>54000</v>
      </c>
      <c r="BZ212" s="112">
        <v>100</v>
      </c>
    </row>
    <row r="213" spans="1:89" x14ac:dyDescent="0.15">
      <c r="A213" s="84">
        <v>2</v>
      </c>
      <c r="B213" s="85">
        <v>43412</v>
      </c>
      <c r="C213" s="85">
        <v>43417</v>
      </c>
      <c r="F213" s="85" t="s">
        <v>338</v>
      </c>
      <c r="H213" s="85" t="s">
        <v>338</v>
      </c>
      <c r="J213" s="84">
        <v>2</v>
      </c>
      <c r="L213" s="84">
        <v>0</v>
      </c>
      <c r="M213" s="85">
        <v>43410</v>
      </c>
      <c r="N213" s="85" t="s">
        <v>265</v>
      </c>
      <c r="O213" s="86" t="s">
        <v>340</v>
      </c>
      <c r="P213" s="84" t="s">
        <v>272</v>
      </c>
      <c r="Q213" s="86" t="s">
        <v>122</v>
      </c>
      <c r="R213" s="86" t="s">
        <v>757</v>
      </c>
      <c r="S213" s="87" t="s">
        <v>351</v>
      </c>
      <c r="T213" s="87" t="s">
        <v>758</v>
      </c>
      <c r="U213" s="88">
        <v>50000</v>
      </c>
      <c r="V213" s="88">
        <v>54000</v>
      </c>
      <c r="W213" s="88">
        <v>50000</v>
      </c>
      <c r="X213" s="88">
        <v>54000</v>
      </c>
      <c r="Z213" s="88">
        <v>0</v>
      </c>
      <c r="AA213" s="85" t="s">
        <v>190</v>
      </c>
      <c r="AD213" s="84">
        <v>0</v>
      </c>
      <c r="AG213" s="84">
        <v>0</v>
      </c>
      <c r="AJ213" s="84">
        <v>0</v>
      </c>
      <c r="AR213" s="85">
        <v>43411</v>
      </c>
      <c r="AS213" s="84">
        <v>6001616927</v>
      </c>
      <c r="AT213" s="85">
        <v>43411</v>
      </c>
      <c r="AU213" s="84" t="s">
        <v>782</v>
      </c>
      <c r="AV213" s="85">
        <v>43417</v>
      </c>
      <c r="AW213" s="123">
        <v>43434</v>
      </c>
      <c r="AX213" s="123">
        <v>43454</v>
      </c>
      <c r="AY213" s="132">
        <v>48000</v>
      </c>
      <c r="AZ213" s="132">
        <f>ROUNDDOWN(AY213+(AY213*MASTER!$A$2/100),0)</f>
        <v>51840</v>
      </c>
      <c r="BC213" s="88">
        <v>0</v>
      </c>
      <c r="BG213" s="88">
        <v>0</v>
      </c>
      <c r="BK213" s="88">
        <v>0</v>
      </c>
      <c r="BS213" s="88">
        <v>0</v>
      </c>
      <c r="BV213" s="89">
        <v>54000</v>
      </c>
      <c r="BW213" s="89">
        <v>0</v>
      </c>
      <c r="BX213" s="89">
        <v>43410</v>
      </c>
      <c r="BY213" s="89">
        <v>54000</v>
      </c>
      <c r="BZ213" s="112">
        <v>100</v>
      </c>
    </row>
    <row r="214" spans="1:89" x14ac:dyDescent="0.15">
      <c r="A214" s="84">
        <v>2</v>
      </c>
      <c r="B214" s="85">
        <v>43451</v>
      </c>
      <c r="C214" s="85">
        <v>43461</v>
      </c>
      <c r="D214" s="85">
        <v>43487</v>
      </c>
      <c r="F214" s="85">
        <v>43468</v>
      </c>
      <c r="G214" s="85">
        <v>43472</v>
      </c>
      <c r="H214" s="85">
        <v>43464</v>
      </c>
      <c r="I214" s="84" t="s">
        <v>401</v>
      </c>
      <c r="J214" s="84">
        <v>1</v>
      </c>
      <c r="L214" s="84">
        <v>0</v>
      </c>
      <c r="M214" s="85">
        <v>43410</v>
      </c>
      <c r="N214" s="85" t="s">
        <v>265</v>
      </c>
      <c r="O214" s="86" t="s">
        <v>340</v>
      </c>
      <c r="P214" s="84" t="s">
        <v>26</v>
      </c>
      <c r="Q214" s="86" t="s">
        <v>122</v>
      </c>
      <c r="R214" s="86" t="s">
        <v>759</v>
      </c>
      <c r="S214" s="87" t="s">
        <v>760</v>
      </c>
      <c r="T214" s="87" t="s">
        <v>1223</v>
      </c>
      <c r="U214" s="88">
        <v>1516000</v>
      </c>
      <c r="V214" s="88">
        <v>1637280</v>
      </c>
      <c r="W214" s="88">
        <v>1489800</v>
      </c>
      <c r="X214" s="88">
        <v>1608984</v>
      </c>
      <c r="Y214" s="88">
        <v>26200</v>
      </c>
      <c r="Z214" s="88">
        <v>28296</v>
      </c>
      <c r="AA214" s="85">
        <v>43458</v>
      </c>
      <c r="AB214" s="85">
        <v>43461</v>
      </c>
      <c r="AC214" s="85">
        <v>43461</v>
      </c>
      <c r="AD214" s="84">
        <v>0</v>
      </c>
      <c r="AG214" s="84">
        <v>0</v>
      </c>
      <c r="AJ214" s="84">
        <v>0</v>
      </c>
      <c r="AM214" s="84" t="s">
        <v>290</v>
      </c>
      <c r="AN214" s="84" t="s">
        <v>1224</v>
      </c>
      <c r="AR214" s="85">
        <v>43439</v>
      </c>
      <c r="AS214" s="84">
        <v>6001626565</v>
      </c>
      <c r="AT214" s="85">
        <v>43439</v>
      </c>
      <c r="AU214" s="84" t="s">
        <v>1132</v>
      </c>
      <c r="AV214" s="85">
        <v>43461</v>
      </c>
      <c r="AW214" s="123">
        <v>43465</v>
      </c>
      <c r="AX214" s="123">
        <v>43485</v>
      </c>
      <c r="AY214" s="132">
        <v>1455360</v>
      </c>
      <c r="AZ214" s="132">
        <f>ROUNDDOWN(AY214+(AY214*MASTER!$A$2/100),0)</f>
        <v>1571788</v>
      </c>
      <c r="BA214" s="84" t="s">
        <v>543</v>
      </c>
      <c r="BB214" s="88">
        <v>402870</v>
      </c>
      <c r="BC214" s="88">
        <v>435099.6</v>
      </c>
      <c r="BD214" s="84" t="s">
        <v>1138</v>
      </c>
      <c r="BG214" s="88">
        <v>0</v>
      </c>
      <c r="BI214" s="84" t="s">
        <v>276</v>
      </c>
      <c r="BJ214" s="88">
        <v>17030</v>
      </c>
      <c r="BK214" s="88">
        <v>18392.400000000001</v>
      </c>
      <c r="BL214" s="84" t="s">
        <v>1421</v>
      </c>
      <c r="BS214" s="88">
        <v>0</v>
      </c>
      <c r="BV214" s="89">
        <v>1608984</v>
      </c>
      <c r="BW214" s="89">
        <v>453492</v>
      </c>
      <c r="BX214" s="89">
        <v>43410</v>
      </c>
      <c r="BY214" s="89">
        <v>1155492</v>
      </c>
      <c r="BZ214" s="112">
        <v>71.815008726003498</v>
      </c>
      <c r="CK214" s="88">
        <v>31500</v>
      </c>
    </row>
    <row r="215" spans="1:89" x14ac:dyDescent="0.15">
      <c r="A215" s="84">
        <v>2</v>
      </c>
      <c r="B215" s="85">
        <v>43431</v>
      </c>
      <c r="C215" s="85">
        <v>43448</v>
      </c>
      <c r="F215" s="85" t="s">
        <v>338</v>
      </c>
      <c r="G215" s="85">
        <v>43452</v>
      </c>
      <c r="H215" s="85" t="s">
        <v>338</v>
      </c>
      <c r="I215" s="84" t="s">
        <v>401</v>
      </c>
      <c r="J215" s="84">
        <v>1</v>
      </c>
      <c r="L215" s="84">
        <v>0</v>
      </c>
      <c r="M215" s="85">
        <v>43410</v>
      </c>
      <c r="N215" s="85" t="s">
        <v>265</v>
      </c>
      <c r="O215" s="86" t="s">
        <v>340</v>
      </c>
      <c r="P215" s="84" t="s">
        <v>26</v>
      </c>
      <c r="Q215" s="86" t="s">
        <v>122</v>
      </c>
      <c r="R215" s="86" t="s">
        <v>761</v>
      </c>
      <c r="S215" s="87" t="s">
        <v>762</v>
      </c>
      <c r="T215" s="87" t="s">
        <v>763</v>
      </c>
      <c r="U215" s="88">
        <v>23900</v>
      </c>
      <c r="V215" s="88">
        <v>25812</v>
      </c>
      <c r="W215" s="88">
        <v>14700</v>
      </c>
      <c r="X215" s="88">
        <v>15876</v>
      </c>
      <c r="Y215" s="88">
        <v>9200</v>
      </c>
      <c r="Z215" s="88">
        <v>9936</v>
      </c>
      <c r="AA215" s="85">
        <v>43433</v>
      </c>
      <c r="AB215" s="85">
        <v>43434</v>
      </c>
      <c r="AD215" s="84">
        <v>0</v>
      </c>
      <c r="AG215" s="84">
        <v>0</v>
      </c>
      <c r="AJ215" s="84">
        <v>0</v>
      </c>
      <c r="AM215" s="84" t="s">
        <v>290</v>
      </c>
      <c r="AN215" s="84" t="s">
        <v>1015</v>
      </c>
      <c r="AR215" s="85">
        <v>43419</v>
      </c>
      <c r="AS215" s="84">
        <v>6001619965</v>
      </c>
      <c r="AT215" s="85">
        <v>43420</v>
      </c>
      <c r="AU215" s="84" t="s">
        <v>892</v>
      </c>
      <c r="AV215" s="85">
        <v>43448</v>
      </c>
      <c r="AW215" s="123">
        <v>43465</v>
      </c>
      <c r="AX215" s="123">
        <v>43485</v>
      </c>
      <c r="AY215" s="132">
        <v>22944</v>
      </c>
      <c r="AZ215" s="132">
        <f>ROUNDDOWN(AY215+(AY215*MASTER!$A$2/100),0)</f>
        <v>24779</v>
      </c>
      <c r="BA215" s="84" t="s">
        <v>778</v>
      </c>
      <c r="BC215" s="88">
        <v>0</v>
      </c>
      <c r="BG215" s="88">
        <v>0</v>
      </c>
      <c r="BI215" s="84" t="s">
        <v>276</v>
      </c>
      <c r="BJ215" s="88">
        <v>5980</v>
      </c>
      <c r="BK215" s="88">
        <v>6458.4</v>
      </c>
      <c r="BL215" s="84" t="s">
        <v>863</v>
      </c>
      <c r="BS215" s="88">
        <v>0</v>
      </c>
      <c r="BV215" s="89">
        <v>15876</v>
      </c>
      <c r="BW215" s="89">
        <v>6458.4</v>
      </c>
      <c r="BX215" s="89">
        <v>43410</v>
      </c>
      <c r="BY215" s="89">
        <v>9417.6</v>
      </c>
      <c r="BZ215" s="112">
        <v>59.319727891156461</v>
      </c>
    </row>
    <row r="216" spans="1:89" x14ac:dyDescent="0.15">
      <c r="A216" s="84">
        <v>2</v>
      </c>
      <c r="B216" s="85">
        <v>43423</v>
      </c>
      <c r="C216" s="85">
        <v>43423</v>
      </c>
      <c r="D216" s="85">
        <v>43438</v>
      </c>
      <c r="F216" s="85" t="s">
        <v>338</v>
      </c>
      <c r="G216" s="85">
        <v>43426</v>
      </c>
      <c r="H216" s="85" t="s">
        <v>338</v>
      </c>
      <c r="I216" s="84" t="s">
        <v>776</v>
      </c>
      <c r="J216" s="84">
        <v>1</v>
      </c>
      <c r="L216" s="84">
        <v>0</v>
      </c>
      <c r="M216" s="85">
        <v>43410</v>
      </c>
      <c r="N216" s="85" t="s">
        <v>265</v>
      </c>
      <c r="O216" s="86" t="s">
        <v>340</v>
      </c>
      <c r="P216" s="84" t="s">
        <v>44</v>
      </c>
      <c r="Q216" s="86" t="s">
        <v>122</v>
      </c>
      <c r="R216" s="86" t="s">
        <v>764</v>
      </c>
      <c r="S216" s="87" t="s">
        <v>765</v>
      </c>
      <c r="T216" s="87" t="s">
        <v>766</v>
      </c>
      <c r="U216" s="88">
        <v>64000</v>
      </c>
      <c r="V216" s="88">
        <v>69120</v>
      </c>
      <c r="W216" s="88">
        <v>50000</v>
      </c>
      <c r="X216" s="88">
        <v>54000</v>
      </c>
      <c r="Y216" s="88">
        <v>14000</v>
      </c>
      <c r="Z216" s="88">
        <v>15120</v>
      </c>
      <c r="AA216" s="85">
        <v>43423</v>
      </c>
      <c r="AB216" s="85">
        <v>43424</v>
      </c>
      <c r="AD216" s="84">
        <v>0</v>
      </c>
      <c r="AG216" s="84">
        <v>0</v>
      </c>
      <c r="AJ216" s="84">
        <v>0</v>
      </c>
      <c r="AR216" s="85">
        <v>43420</v>
      </c>
      <c r="AS216" s="84">
        <v>6001620387</v>
      </c>
      <c r="AT216" s="85">
        <v>43420</v>
      </c>
      <c r="AU216" s="84" t="s">
        <v>891</v>
      </c>
      <c r="AV216" s="85">
        <v>43423</v>
      </c>
      <c r="AW216" s="123">
        <v>43434</v>
      </c>
      <c r="AX216" s="123">
        <v>43454</v>
      </c>
      <c r="AY216" s="132">
        <v>61440</v>
      </c>
      <c r="AZ216" s="132">
        <f>ROUNDDOWN(AY216+(AY216*MASTER!$A$2/100),0)</f>
        <v>66355</v>
      </c>
      <c r="BA216" s="84" t="s">
        <v>287</v>
      </c>
      <c r="BB216" s="88">
        <v>26000</v>
      </c>
      <c r="BC216" s="88">
        <v>28080</v>
      </c>
      <c r="BD216" s="84" t="s">
        <v>189</v>
      </c>
      <c r="BG216" s="88">
        <v>0</v>
      </c>
      <c r="BK216" s="88">
        <v>0</v>
      </c>
      <c r="BS216" s="88">
        <v>0</v>
      </c>
      <c r="BV216" s="89">
        <v>54000</v>
      </c>
      <c r="BW216" s="89">
        <v>28080</v>
      </c>
      <c r="BX216" s="89">
        <v>43410</v>
      </c>
      <c r="BY216" s="89">
        <v>25920</v>
      </c>
      <c r="BZ216" s="112">
        <v>48</v>
      </c>
    </row>
    <row r="217" spans="1:89" x14ac:dyDescent="0.15">
      <c r="A217" s="84">
        <v>2</v>
      </c>
      <c r="B217" s="85">
        <v>43420</v>
      </c>
      <c r="C217" s="85">
        <v>43420</v>
      </c>
      <c r="D217" s="85">
        <v>43410</v>
      </c>
      <c r="E217" s="85">
        <v>43410</v>
      </c>
      <c r="F217" s="85" t="s">
        <v>338</v>
      </c>
      <c r="G217" s="85">
        <v>43410</v>
      </c>
      <c r="H217" s="85" t="s">
        <v>338</v>
      </c>
      <c r="I217" s="84" t="s">
        <v>380</v>
      </c>
      <c r="J217" s="84">
        <v>2</v>
      </c>
      <c r="L217" s="84">
        <v>0</v>
      </c>
      <c r="M217" s="85">
        <v>43410</v>
      </c>
      <c r="N217" s="85" t="s">
        <v>265</v>
      </c>
      <c r="O217" s="86" t="s">
        <v>340</v>
      </c>
      <c r="P217" s="84" t="s">
        <v>6</v>
      </c>
      <c r="Q217" s="86" t="s">
        <v>122</v>
      </c>
      <c r="R217" s="86" t="s">
        <v>767</v>
      </c>
      <c r="S217" s="87" t="s">
        <v>768</v>
      </c>
      <c r="T217" s="87" t="s">
        <v>342</v>
      </c>
      <c r="U217" s="88">
        <v>35000</v>
      </c>
      <c r="V217" s="88">
        <v>37800</v>
      </c>
      <c r="W217" s="88">
        <v>35000</v>
      </c>
      <c r="X217" s="88">
        <v>37800</v>
      </c>
      <c r="Z217" s="88">
        <v>0</v>
      </c>
      <c r="AA217" s="85">
        <v>43407</v>
      </c>
      <c r="AB217" s="85">
        <v>43407</v>
      </c>
      <c r="AD217" s="84">
        <v>0</v>
      </c>
      <c r="AG217" s="84">
        <v>0</v>
      </c>
      <c r="AJ217" s="84">
        <v>0</v>
      </c>
      <c r="AR217" s="85">
        <v>43418</v>
      </c>
      <c r="AS217" s="84">
        <v>6001619467</v>
      </c>
      <c r="AT217" s="85">
        <v>43418</v>
      </c>
      <c r="AU217" s="84" t="s">
        <v>880</v>
      </c>
      <c r="AV217" s="85">
        <v>43420</v>
      </c>
      <c r="AW217" s="123">
        <v>43434</v>
      </c>
      <c r="AX217" s="123">
        <v>43454</v>
      </c>
      <c r="AY217" s="132">
        <v>33600</v>
      </c>
      <c r="AZ217" s="132">
        <f>ROUNDDOWN(AY217+(AY217*MASTER!$A$2/100),0)</f>
        <v>36288</v>
      </c>
      <c r="BA217" s="84" t="s">
        <v>286</v>
      </c>
      <c r="BB217" s="88">
        <v>26000</v>
      </c>
      <c r="BC217" s="88">
        <v>28080</v>
      </c>
      <c r="BD217" s="84" t="s">
        <v>189</v>
      </c>
      <c r="BG217" s="88">
        <v>0</v>
      </c>
      <c r="BK217" s="88">
        <v>0</v>
      </c>
      <c r="BS217" s="88">
        <v>0</v>
      </c>
      <c r="BV217" s="89">
        <v>37800</v>
      </c>
      <c r="BW217" s="89">
        <v>28080</v>
      </c>
      <c r="BX217" s="89">
        <v>43410</v>
      </c>
      <c r="BY217" s="89">
        <v>9720</v>
      </c>
      <c r="BZ217" s="112">
        <v>25.714285714285712</v>
      </c>
    </row>
    <row r="218" spans="1:89" x14ac:dyDescent="0.15">
      <c r="A218" s="84">
        <v>2</v>
      </c>
      <c r="B218" s="85">
        <v>43441</v>
      </c>
      <c r="C218" s="85">
        <v>43453</v>
      </c>
      <c r="D218" s="85">
        <v>43467</v>
      </c>
      <c r="F218" s="85">
        <v>43460</v>
      </c>
      <c r="G218" s="85">
        <v>43452</v>
      </c>
      <c r="H218" s="85">
        <v>43456</v>
      </c>
      <c r="I218" s="84" t="s">
        <v>401</v>
      </c>
      <c r="J218" s="84">
        <v>1</v>
      </c>
      <c r="L218" s="84">
        <v>0</v>
      </c>
      <c r="M218" s="85">
        <v>43411</v>
      </c>
      <c r="N218" s="85" t="s">
        <v>265</v>
      </c>
      <c r="O218" s="86" t="s">
        <v>340</v>
      </c>
      <c r="P218" s="84" t="s">
        <v>26</v>
      </c>
      <c r="Q218" s="86" t="s">
        <v>122</v>
      </c>
      <c r="R218" s="86" t="s">
        <v>1165</v>
      </c>
      <c r="S218" s="87" t="s">
        <v>598</v>
      </c>
      <c r="T218" s="87" t="s">
        <v>1166</v>
      </c>
      <c r="U218" s="88">
        <v>59200</v>
      </c>
      <c r="V218" s="88">
        <v>63936</v>
      </c>
      <c r="W218" s="88">
        <v>47000</v>
      </c>
      <c r="X218" s="88">
        <v>50760</v>
      </c>
      <c r="Y218" s="88">
        <v>12200</v>
      </c>
      <c r="Z218" s="88">
        <v>13176</v>
      </c>
      <c r="AA218" s="85">
        <v>43451</v>
      </c>
      <c r="AB218" s="85">
        <v>43453</v>
      </c>
      <c r="AC218" s="85">
        <v>43453</v>
      </c>
      <c r="AD218" s="84">
        <v>0</v>
      </c>
      <c r="AG218" s="84">
        <v>0</v>
      </c>
      <c r="AJ218" s="84">
        <v>0</v>
      </c>
      <c r="AM218" s="84" t="s">
        <v>290</v>
      </c>
      <c r="AN218" s="84" t="s">
        <v>1167</v>
      </c>
      <c r="AR218" s="85">
        <v>43425</v>
      </c>
      <c r="AS218" s="84">
        <v>6001622000</v>
      </c>
      <c r="AT218" s="85">
        <v>43425</v>
      </c>
      <c r="AU218" s="84" t="s">
        <v>950</v>
      </c>
      <c r="AV218" s="85">
        <v>43453</v>
      </c>
      <c r="AW218" s="123">
        <v>43465</v>
      </c>
      <c r="AX218" s="123">
        <v>43485</v>
      </c>
      <c r="AY218" s="132">
        <v>56832</v>
      </c>
      <c r="AZ218" s="132">
        <f>ROUNDDOWN(AY218+(AY218*MASTER!$A$2/100),0)</f>
        <v>61378</v>
      </c>
      <c r="BA218" s="84" t="s">
        <v>778</v>
      </c>
      <c r="BC218" s="88">
        <v>0</v>
      </c>
      <c r="BG218" s="88">
        <v>0</v>
      </c>
      <c r="BI218" s="84" t="s">
        <v>434</v>
      </c>
      <c r="BJ218" s="88">
        <v>7930</v>
      </c>
      <c r="BK218" s="88">
        <v>8564.4</v>
      </c>
      <c r="BL218" s="84" t="s">
        <v>190</v>
      </c>
      <c r="BS218" s="88">
        <v>0</v>
      </c>
      <c r="BV218" s="89">
        <v>50760</v>
      </c>
      <c r="BW218" s="89">
        <v>8564.4</v>
      </c>
      <c r="BX218" s="89">
        <v>43411</v>
      </c>
      <c r="BY218" s="89">
        <v>42195.6</v>
      </c>
      <c r="BZ218" s="112">
        <v>83.127659574468083</v>
      </c>
      <c r="CK218" s="88">
        <v>0</v>
      </c>
    </row>
    <row r="219" spans="1:89" x14ac:dyDescent="0.15">
      <c r="A219" s="84">
        <v>2</v>
      </c>
      <c r="B219" s="85">
        <v>43451</v>
      </c>
      <c r="C219" s="85">
        <v>43460</v>
      </c>
      <c r="D219" s="85">
        <v>43487</v>
      </c>
      <c r="F219" s="85">
        <v>43467</v>
      </c>
      <c r="G219" s="85">
        <v>43461</v>
      </c>
      <c r="H219" s="85">
        <v>43463</v>
      </c>
      <c r="I219" s="84" t="s">
        <v>401</v>
      </c>
      <c r="J219" s="84">
        <v>1</v>
      </c>
      <c r="L219" s="84">
        <v>0</v>
      </c>
      <c r="M219" s="85">
        <v>43411</v>
      </c>
      <c r="N219" s="85" t="s">
        <v>265</v>
      </c>
      <c r="O219" s="86" t="s">
        <v>340</v>
      </c>
      <c r="P219" s="84" t="s">
        <v>26</v>
      </c>
      <c r="Q219" s="86" t="s">
        <v>122</v>
      </c>
      <c r="R219" s="86" t="s">
        <v>1229</v>
      </c>
      <c r="S219" s="87" t="s">
        <v>1230</v>
      </c>
      <c r="T219" s="87" t="s">
        <v>1231</v>
      </c>
      <c r="U219" s="88">
        <v>57200</v>
      </c>
      <c r="V219" s="88">
        <v>61776</v>
      </c>
      <c r="W219" s="88">
        <v>39000</v>
      </c>
      <c r="X219" s="88">
        <v>42120</v>
      </c>
      <c r="Y219" s="88">
        <v>18200</v>
      </c>
      <c r="Z219" s="88">
        <v>19656</v>
      </c>
      <c r="AA219" s="85">
        <v>43458</v>
      </c>
      <c r="AB219" s="85">
        <v>43460</v>
      </c>
      <c r="AC219" s="85">
        <v>43460</v>
      </c>
      <c r="AD219" s="84">
        <v>0</v>
      </c>
      <c r="AG219" s="84">
        <v>0</v>
      </c>
      <c r="AJ219" s="84">
        <v>0</v>
      </c>
      <c r="AM219" s="84" t="s">
        <v>290</v>
      </c>
      <c r="AN219" s="84" t="s">
        <v>1232</v>
      </c>
      <c r="AR219" s="85">
        <v>43438</v>
      </c>
      <c r="AS219" s="84">
        <v>6001625953</v>
      </c>
      <c r="AT219" s="85">
        <v>43439</v>
      </c>
      <c r="AU219" s="84" t="s">
        <v>1130</v>
      </c>
      <c r="AV219" s="85">
        <v>43460</v>
      </c>
      <c r="AW219" s="123">
        <v>43465</v>
      </c>
      <c r="AX219" s="123">
        <v>43485</v>
      </c>
      <c r="AY219" s="132">
        <v>54912</v>
      </c>
      <c r="AZ219" s="132">
        <f>ROUNDDOWN(AY219+(AY219*MASTER!$A$2/100),0)</f>
        <v>59304</v>
      </c>
      <c r="BA219" s="84" t="s">
        <v>745</v>
      </c>
      <c r="BB219" s="88">
        <v>53000</v>
      </c>
      <c r="BC219" s="88">
        <v>57240</v>
      </c>
      <c r="BD219" s="84" t="s">
        <v>1138</v>
      </c>
      <c r="BG219" s="88">
        <v>0</v>
      </c>
      <c r="BI219" s="84" t="s">
        <v>276</v>
      </c>
      <c r="BJ219" s="88">
        <v>11830</v>
      </c>
      <c r="BK219" s="88">
        <v>12776.4</v>
      </c>
      <c r="BL219" s="84" t="s">
        <v>1421</v>
      </c>
      <c r="BS219" s="88">
        <v>0</v>
      </c>
      <c r="BV219" s="89">
        <v>42120</v>
      </c>
      <c r="BW219" s="89">
        <v>70016.399999999994</v>
      </c>
      <c r="BX219" s="89">
        <v>43411</v>
      </c>
      <c r="BY219" s="89">
        <v>-27896.400000000001</v>
      </c>
      <c r="BZ219" s="112">
        <v>-66.230769230769212</v>
      </c>
      <c r="CK219" s="88">
        <v>0</v>
      </c>
    </row>
    <row r="220" spans="1:89" x14ac:dyDescent="0.15">
      <c r="A220" s="84">
        <v>2</v>
      </c>
      <c r="B220" s="85">
        <v>43441</v>
      </c>
      <c r="C220" s="85">
        <v>43452</v>
      </c>
      <c r="D220" s="85">
        <v>43467</v>
      </c>
      <c r="F220" s="85">
        <v>43460</v>
      </c>
      <c r="G220" s="85">
        <v>43452</v>
      </c>
      <c r="H220" s="85">
        <v>43456</v>
      </c>
      <c r="I220" s="84" t="s">
        <v>401</v>
      </c>
      <c r="J220" s="84">
        <v>1</v>
      </c>
      <c r="L220" s="84">
        <v>0</v>
      </c>
      <c r="M220" s="85">
        <v>43411</v>
      </c>
      <c r="N220" s="85" t="s">
        <v>265</v>
      </c>
      <c r="O220" s="86" t="s">
        <v>340</v>
      </c>
      <c r="P220" s="84" t="s">
        <v>26</v>
      </c>
      <c r="Q220" s="86" t="s">
        <v>122</v>
      </c>
      <c r="R220" s="86" t="s">
        <v>1153</v>
      </c>
      <c r="S220" s="87" t="s">
        <v>1154</v>
      </c>
      <c r="T220" s="87" t="s">
        <v>1155</v>
      </c>
      <c r="U220" s="88">
        <v>155800</v>
      </c>
      <c r="V220" s="88">
        <v>168264</v>
      </c>
      <c r="W220" s="88">
        <v>92300</v>
      </c>
      <c r="X220" s="88">
        <v>99684</v>
      </c>
      <c r="Y220" s="88">
        <v>63500</v>
      </c>
      <c r="Z220" s="88">
        <v>68580</v>
      </c>
      <c r="AA220" s="85">
        <v>43451</v>
      </c>
      <c r="AB220" s="85">
        <v>43453</v>
      </c>
      <c r="AC220" s="85">
        <v>43453</v>
      </c>
      <c r="AD220" s="84">
        <v>0</v>
      </c>
      <c r="AG220" s="84">
        <v>0</v>
      </c>
      <c r="AJ220" s="84">
        <v>0</v>
      </c>
      <c r="AM220" s="84" t="s">
        <v>290</v>
      </c>
      <c r="AN220" s="84" t="s">
        <v>1156</v>
      </c>
      <c r="AR220" s="85">
        <v>43424</v>
      </c>
      <c r="AS220" s="84">
        <v>6001621818</v>
      </c>
      <c r="AT220" s="85">
        <v>43425</v>
      </c>
      <c r="AU220" s="84" t="s">
        <v>949</v>
      </c>
      <c r="AV220" s="85">
        <v>43452</v>
      </c>
      <c r="AW220" s="123">
        <v>43465</v>
      </c>
      <c r="AX220" s="123">
        <v>43485</v>
      </c>
      <c r="AY220" s="132">
        <v>149568</v>
      </c>
      <c r="AZ220" s="132">
        <f>ROUNDDOWN(AY220+(AY220*MASTER!$A$2/100),0)</f>
        <v>161533</v>
      </c>
      <c r="BA220" s="84" t="s">
        <v>543</v>
      </c>
      <c r="BB220" s="88">
        <v>28000</v>
      </c>
      <c r="BC220" s="88">
        <v>30240</v>
      </c>
      <c r="BD220" s="84" t="s">
        <v>190</v>
      </c>
      <c r="BG220" s="88">
        <v>0</v>
      </c>
      <c r="BI220" s="84" t="s">
        <v>434</v>
      </c>
      <c r="BJ220" s="88">
        <v>41275</v>
      </c>
      <c r="BK220" s="88">
        <v>44577</v>
      </c>
      <c r="BL220" s="84" t="s">
        <v>190</v>
      </c>
      <c r="BS220" s="88">
        <v>0</v>
      </c>
      <c r="BV220" s="89">
        <v>99684</v>
      </c>
      <c r="BW220" s="89">
        <v>74817</v>
      </c>
      <c r="BX220" s="89">
        <v>43411</v>
      </c>
      <c r="BY220" s="89">
        <v>24867</v>
      </c>
      <c r="BZ220" s="112">
        <v>24.945828819068254</v>
      </c>
      <c r="CK220" s="88">
        <v>6300</v>
      </c>
    </row>
    <row r="221" spans="1:89" x14ac:dyDescent="0.15">
      <c r="A221" s="84">
        <v>2</v>
      </c>
      <c r="B221" s="85">
        <v>43423</v>
      </c>
      <c r="C221" s="85">
        <v>43459</v>
      </c>
      <c r="D221" s="85">
        <v>43470</v>
      </c>
      <c r="F221" s="85">
        <v>43446</v>
      </c>
      <c r="G221" s="85">
        <v>43444</v>
      </c>
      <c r="H221" s="85">
        <v>43442</v>
      </c>
      <c r="I221" s="84" t="s">
        <v>401</v>
      </c>
      <c r="J221" s="84">
        <v>1</v>
      </c>
      <c r="L221" s="84">
        <v>0</v>
      </c>
      <c r="M221" s="85">
        <v>43411</v>
      </c>
      <c r="N221" s="85" t="s">
        <v>265</v>
      </c>
      <c r="O221" s="86" t="s">
        <v>340</v>
      </c>
      <c r="P221" s="84" t="s">
        <v>26</v>
      </c>
      <c r="Q221" s="86" t="s">
        <v>122</v>
      </c>
      <c r="R221" s="86" t="s">
        <v>897</v>
      </c>
      <c r="S221" s="87" t="s">
        <v>898</v>
      </c>
      <c r="T221" s="87" t="s">
        <v>889</v>
      </c>
      <c r="U221" s="88">
        <v>96800</v>
      </c>
      <c r="V221" s="88">
        <v>104544</v>
      </c>
      <c r="W221" s="88">
        <v>80800</v>
      </c>
      <c r="X221" s="88">
        <v>87264</v>
      </c>
      <c r="Y221" s="88">
        <v>16000</v>
      </c>
      <c r="Z221" s="88">
        <v>17280</v>
      </c>
      <c r="AA221" s="85">
        <v>43438</v>
      </c>
      <c r="AB221" s="85">
        <v>43439</v>
      </c>
      <c r="AC221" s="85">
        <v>43439</v>
      </c>
      <c r="AD221" s="84">
        <v>0</v>
      </c>
      <c r="AG221" s="84">
        <v>0</v>
      </c>
      <c r="AJ221" s="84">
        <v>0</v>
      </c>
      <c r="AN221" s="84" t="s">
        <v>338</v>
      </c>
      <c r="AR221" s="85">
        <v>43416</v>
      </c>
      <c r="AS221" s="84">
        <v>6001618599</v>
      </c>
      <c r="AT221" s="85">
        <v>43416</v>
      </c>
      <c r="AU221" s="84" t="s">
        <v>839</v>
      </c>
      <c r="AV221" s="85">
        <v>43459</v>
      </c>
      <c r="AW221" s="123">
        <v>43465</v>
      </c>
      <c r="AX221" s="123">
        <v>43485</v>
      </c>
      <c r="AY221" s="132">
        <v>92928</v>
      </c>
      <c r="AZ221" s="132">
        <f>ROUNDDOWN(AY221+(AY221*MASTER!$A$2/100),0)</f>
        <v>100362</v>
      </c>
      <c r="BA221" s="84" t="s">
        <v>400</v>
      </c>
      <c r="BB221" s="88">
        <v>42000</v>
      </c>
      <c r="BC221" s="88">
        <v>45360</v>
      </c>
      <c r="BD221" s="84" t="s">
        <v>190</v>
      </c>
      <c r="BG221" s="88">
        <v>0</v>
      </c>
      <c r="BI221" s="84" t="s">
        <v>434</v>
      </c>
      <c r="BJ221" s="88">
        <v>10400</v>
      </c>
      <c r="BK221" s="88">
        <v>11232</v>
      </c>
      <c r="BL221" s="84" t="s">
        <v>190</v>
      </c>
      <c r="BS221" s="88">
        <v>0</v>
      </c>
      <c r="BV221" s="89">
        <v>87264</v>
      </c>
      <c r="BW221" s="89">
        <v>56592</v>
      </c>
      <c r="BX221" s="89">
        <v>43411</v>
      </c>
      <c r="BY221" s="89">
        <v>30672</v>
      </c>
      <c r="BZ221" s="112">
        <v>35.148514851485146</v>
      </c>
      <c r="CK221" s="88">
        <v>6300</v>
      </c>
    </row>
    <row r="222" spans="1:89" x14ac:dyDescent="0.15">
      <c r="A222" s="84">
        <v>1</v>
      </c>
      <c r="B222" s="85">
        <v>43417</v>
      </c>
      <c r="C222" s="85">
        <v>43430</v>
      </c>
      <c r="F222" s="85" t="s">
        <v>338</v>
      </c>
      <c r="H222" s="85" t="s">
        <v>338</v>
      </c>
      <c r="J222" s="84">
        <v>2</v>
      </c>
      <c r="L222" s="84">
        <v>0</v>
      </c>
      <c r="M222" s="85">
        <v>43411</v>
      </c>
      <c r="N222" s="85" t="s">
        <v>265</v>
      </c>
      <c r="O222" s="86" t="s">
        <v>340</v>
      </c>
      <c r="P222" s="84" t="s">
        <v>272</v>
      </c>
      <c r="Q222" s="86" t="s">
        <v>122</v>
      </c>
      <c r="R222" s="86" t="s">
        <v>851</v>
      </c>
      <c r="S222" s="87" t="s">
        <v>351</v>
      </c>
      <c r="T222" s="87" t="s">
        <v>769</v>
      </c>
      <c r="U222" s="88">
        <v>200000</v>
      </c>
      <c r="V222" s="88">
        <v>216000</v>
      </c>
      <c r="W222" s="88">
        <v>200000</v>
      </c>
      <c r="X222" s="88">
        <v>216000</v>
      </c>
      <c r="Z222" s="88">
        <v>0</v>
      </c>
      <c r="AD222" s="84">
        <v>0</v>
      </c>
      <c r="AG222" s="84">
        <v>0</v>
      </c>
      <c r="AJ222" s="84">
        <v>0</v>
      </c>
      <c r="AN222" s="84" t="s">
        <v>338</v>
      </c>
      <c r="AR222" s="85">
        <v>43416</v>
      </c>
      <c r="AS222" s="84">
        <v>6001618599</v>
      </c>
      <c r="AT222" s="85">
        <v>43416</v>
      </c>
      <c r="AU222" s="84" t="s">
        <v>839</v>
      </c>
      <c r="AV222" s="85">
        <v>43430</v>
      </c>
      <c r="AW222" s="123">
        <v>43434</v>
      </c>
      <c r="AX222" s="123">
        <v>43454</v>
      </c>
      <c r="AY222" s="132">
        <v>192000</v>
      </c>
      <c r="AZ222" s="132">
        <f>ROUNDDOWN(AY222+(AY222*MASTER!$A$2/100),0)</f>
        <v>207360</v>
      </c>
      <c r="BC222" s="88">
        <v>0</v>
      </c>
      <c r="BG222" s="88">
        <v>0</v>
      </c>
      <c r="BK222" s="88">
        <v>0</v>
      </c>
      <c r="BS222" s="88">
        <v>0</v>
      </c>
      <c r="BV222" s="89">
        <v>216000</v>
      </c>
      <c r="BW222" s="89">
        <v>0</v>
      </c>
      <c r="BX222" s="89">
        <v>43411</v>
      </c>
      <c r="BY222" s="89">
        <v>216000</v>
      </c>
      <c r="BZ222" s="112">
        <v>100</v>
      </c>
      <c r="CK222" s="88">
        <v>0</v>
      </c>
    </row>
    <row r="223" spans="1:89" x14ac:dyDescent="0.15">
      <c r="A223" s="84">
        <v>1</v>
      </c>
      <c r="B223" s="85">
        <v>43417</v>
      </c>
      <c r="C223" s="85">
        <v>43430</v>
      </c>
      <c r="F223" s="85" t="s">
        <v>338</v>
      </c>
      <c r="H223" s="85" t="s">
        <v>338</v>
      </c>
      <c r="J223" s="84">
        <v>2</v>
      </c>
      <c r="L223" s="84">
        <v>0</v>
      </c>
      <c r="M223" s="85">
        <v>43411</v>
      </c>
      <c r="N223" s="85" t="s">
        <v>265</v>
      </c>
      <c r="O223" s="86" t="s">
        <v>340</v>
      </c>
      <c r="P223" s="84" t="s">
        <v>272</v>
      </c>
      <c r="Q223" s="86" t="s">
        <v>122</v>
      </c>
      <c r="R223" s="86" t="s">
        <v>770</v>
      </c>
      <c r="S223" s="87" t="s">
        <v>351</v>
      </c>
      <c r="T223" s="87" t="s">
        <v>769</v>
      </c>
      <c r="U223" s="88">
        <v>200000</v>
      </c>
      <c r="V223" s="88">
        <v>216000</v>
      </c>
      <c r="W223" s="88">
        <v>200000</v>
      </c>
      <c r="X223" s="88">
        <v>216000</v>
      </c>
      <c r="Z223" s="88">
        <v>0</v>
      </c>
      <c r="AD223" s="84">
        <v>0</v>
      </c>
      <c r="AG223" s="84">
        <v>0</v>
      </c>
      <c r="AJ223" s="84">
        <v>0</v>
      </c>
      <c r="AR223" s="85">
        <v>43416</v>
      </c>
      <c r="AS223" s="84">
        <v>6001618599</v>
      </c>
      <c r="AT223" s="85">
        <v>43416</v>
      </c>
      <c r="AU223" s="84" t="s">
        <v>839</v>
      </c>
      <c r="AV223" s="85">
        <v>43430</v>
      </c>
      <c r="AW223" s="123">
        <v>43434</v>
      </c>
      <c r="AX223" s="123">
        <v>43454</v>
      </c>
      <c r="AY223" s="132">
        <v>192000</v>
      </c>
      <c r="AZ223" s="132">
        <f>ROUNDDOWN(AY223+(AY223*MASTER!$A$2/100),0)</f>
        <v>207360</v>
      </c>
      <c r="BC223" s="88">
        <v>0</v>
      </c>
      <c r="BG223" s="88">
        <v>0</v>
      </c>
      <c r="BK223" s="88">
        <v>0</v>
      </c>
      <c r="BS223" s="88">
        <v>0</v>
      </c>
      <c r="BV223" s="89">
        <v>216000</v>
      </c>
      <c r="BW223" s="89">
        <v>0</v>
      </c>
      <c r="BX223" s="89">
        <v>43411</v>
      </c>
      <c r="BY223" s="89">
        <v>216000</v>
      </c>
      <c r="BZ223" s="112">
        <v>100</v>
      </c>
      <c r="CK223" s="88">
        <v>0</v>
      </c>
    </row>
    <row r="224" spans="1:89" x14ac:dyDescent="0.15">
      <c r="A224" s="84">
        <v>1</v>
      </c>
      <c r="B224" s="85">
        <v>43417</v>
      </c>
      <c r="C224" s="85">
        <v>43430</v>
      </c>
      <c r="F224" s="85" t="s">
        <v>338</v>
      </c>
      <c r="H224" s="85" t="s">
        <v>338</v>
      </c>
      <c r="J224" s="84">
        <v>2</v>
      </c>
      <c r="L224" s="84">
        <v>0</v>
      </c>
      <c r="M224" s="85">
        <v>43411</v>
      </c>
      <c r="N224" s="85" t="s">
        <v>265</v>
      </c>
      <c r="O224" s="86" t="s">
        <v>340</v>
      </c>
      <c r="P224" s="84" t="s">
        <v>272</v>
      </c>
      <c r="Q224" s="86" t="s">
        <v>122</v>
      </c>
      <c r="R224" s="86" t="s">
        <v>774</v>
      </c>
      <c r="S224" s="87" t="s">
        <v>351</v>
      </c>
      <c r="T224" s="87" t="s">
        <v>769</v>
      </c>
      <c r="U224" s="88">
        <v>200000</v>
      </c>
      <c r="V224" s="88">
        <v>216000</v>
      </c>
      <c r="W224" s="88">
        <v>200000</v>
      </c>
      <c r="X224" s="88">
        <v>216000</v>
      </c>
      <c r="Z224" s="88">
        <v>0</v>
      </c>
      <c r="AD224" s="84">
        <v>0</v>
      </c>
      <c r="AG224" s="84">
        <v>0</v>
      </c>
      <c r="AJ224" s="84">
        <v>0</v>
      </c>
      <c r="AR224" s="85">
        <v>43416</v>
      </c>
      <c r="AS224" s="84">
        <v>6001618599</v>
      </c>
      <c r="AT224" s="85">
        <v>43416</v>
      </c>
      <c r="AU224" s="84" t="s">
        <v>839</v>
      </c>
      <c r="AV224" s="85">
        <v>43430</v>
      </c>
      <c r="AW224" s="123">
        <v>43434</v>
      </c>
      <c r="AX224" s="123">
        <v>43454</v>
      </c>
      <c r="AY224" s="132">
        <v>192000</v>
      </c>
      <c r="AZ224" s="132">
        <f>ROUNDDOWN(AY224+(AY224*MASTER!$A$2/100),0)</f>
        <v>207360</v>
      </c>
      <c r="BC224" s="88">
        <v>0</v>
      </c>
      <c r="BG224" s="88">
        <v>0</v>
      </c>
      <c r="BK224" s="88">
        <v>0</v>
      </c>
      <c r="BS224" s="88">
        <v>0</v>
      </c>
      <c r="BV224" s="89">
        <v>216000</v>
      </c>
      <c r="BW224" s="89">
        <v>0</v>
      </c>
      <c r="BX224" s="89">
        <v>43411</v>
      </c>
      <c r="BY224" s="89">
        <v>216000</v>
      </c>
      <c r="BZ224" s="112">
        <v>100</v>
      </c>
      <c r="CK224" s="88">
        <v>0</v>
      </c>
    </row>
    <row r="225" spans="1:89" x14ac:dyDescent="0.15">
      <c r="A225" s="84">
        <v>1</v>
      </c>
      <c r="B225" s="85">
        <v>43417</v>
      </c>
      <c r="C225" s="85">
        <v>43430</v>
      </c>
      <c r="F225" s="85" t="s">
        <v>338</v>
      </c>
      <c r="H225" s="85" t="s">
        <v>338</v>
      </c>
      <c r="J225" s="84">
        <v>2</v>
      </c>
      <c r="L225" s="84">
        <v>0</v>
      </c>
      <c r="M225" s="85">
        <v>43411</v>
      </c>
      <c r="N225" s="85" t="s">
        <v>265</v>
      </c>
      <c r="O225" s="86" t="s">
        <v>340</v>
      </c>
      <c r="P225" s="84" t="s">
        <v>272</v>
      </c>
      <c r="Q225" s="86" t="s">
        <v>122</v>
      </c>
      <c r="R225" s="86" t="s">
        <v>773</v>
      </c>
      <c r="S225" s="87" t="s">
        <v>351</v>
      </c>
      <c r="T225" s="87" t="s">
        <v>769</v>
      </c>
      <c r="U225" s="88">
        <v>200000</v>
      </c>
      <c r="V225" s="88">
        <v>216000</v>
      </c>
      <c r="W225" s="88">
        <v>200000</v>
      </c>
      <c r="X225" s="88">
        <v>216000</v>
      </c>
      <c r="Z225" s="88">
        <v>0</v>
      </c>
      <c r="AD225" s="84">
        <v>0</v>
      </c>
      <c r="AG225" s="84">
        <v>0</v>
      </c>
      <c r="AJ225" s="84">
        <v>0</v>
      </c>
      <c r="AR225" s="85">
        <v>43416</v>
      </c>
      <c r="AS225" s="84">
        <v>6001618599</v>
      </c>
      <c r="AT225" s="85">
        <v>43416</v>
      </c>
      <c r="AU225" s="84" t="s">
        <v>839</v>
      </c>
      <c r="AV225" s="85">
        <v>43430</v>
      </c>
      <c r="AW225" s="123">
        <v>43434</v>
      </c>
      <c r="AX225" s="123">
        <v>43454</v>
      </c>
      <c r="AY225" s="132">
        <v>192000</v>
      </c>
      <c r="AZ225" s="132">
        <f>ROUNDDOWN(AY225+(AY225*MASTER!$A$2/100),0)</f>
        <v>207360</v>
      </c>
      <c r="BC225" s="88">
        <v>0</v>
      </c>
      <c r="BG225" s="88">
        <v>0</v>
      </c>
      <c r="BK225" s="88">
        <v>0</v>
      </c>
      <c r="BS225" s="88">
        <v>0</v>
      </c>
      <c r="BV225" s="89">
        <v>216000</v>
      </c>
      <c r="BW225" s="89">
        <v>0</v>
      </c>
      <c r="BX225" s="89">
        <v>43411</v>
      </c>
      <c r="BY225" s="89">
        <v>216000</v>
      </c>
      <c r="BZ225" s="112">
        <v>100</v>
      </c>
      <c r="CK225" s="88">
        <v>0</v>
      </c>
    </row>
    <row r="226" spans="1:89" x14ac:dyDescent="0.15">
      <c r="A226" s="84">
        <v>1</v>
      </c>
      <c r="B226" s="85">
        <v>43430</v>
      </c>
      <c r="C226" s="85">
        <v>43424</v>
      </c>
      <c r="F226" s="85" t="s">
        <v>338</v>
      </c>
      <c r="H226" s="85" t="s">
        <v>338</v>
      </c>
      <c r="J226" s="84">
        <v>2</v>
      </c>
      <c r="L226" s="84">
        <v>0</v>
      </c>
      <c r="M226" s="85">
        <v>43411</v>
      </c>
      <c r="N226" s="85" t="s">
        <v>265</v>
      </c>
      <c r="O226" s="86" t="s">
        <v>340</v>
      </c>
      <c r="P226" s="84" t="s">
        <v>272</v>
      </c>
      <c r="Q226" s="86" t="s">
        <v>122</v>
      </c>
      <c r="R226" s="86" t="s">
        <v>772</v>
      </c>
      <c r="S226" s="87" t="s">
        <v>351</v>
      </c>
      <c r="T226" s="87" t="s">
        <v>769</v>
      </c>
      <c r="U226" s="88">
        <v>200000</v>
      </c>
      <c r="V226" s="88">
        <v>216000</v>
      </c>
      <c r="W226" s="88">
        <v>200000</v>
      </c>
      <c r="X226" s="88">
        <v>216000</v>
      </c>
      <c r="Z226" s="88">
        <v>0</v>
      </c>
      <c r="AD226" s="84">
        <v>0</v>
      </c>
      <c r="AG226" s="84">
        <v>0</v>
      </c>
      <c r="AJ226" s="84">
        <v>0</v>
      </c>
      <c r="AR226" s="85">
        <v>43423</v>
      </c>
      <c r="AS226" s="84">
        <v>6001620861</v>
      </c>
      <c r="AT226" s="85">
        <v>43426</v>
      </c>
      <c r="AU226" s="84" t="s">
        <v>953</v>
      </c>
      <c r="AV226" s="85">
        <v>43424</v>
      </c>
      <c r="AW226" s="123">
        <v>43434</v>
      </c>
      <c r="AX226" s="123">
        <v>43454</v>
      </c>
      <c r="AY226" s="132">
        <v>192000</v>
      </c>
      <c r="AZ226" s="132">
        <f>ROUNDDOWN(AY226+(AY226*MASTER!$A$2/100),0)</f>
        <v>207360</v>
      </c>
      <c r="BC226" s="88">
        <v>0</v>
      </c>
      <c r="BG226" s="88">
        <v>0</v>
      </c>
      <c r="BK226" s="88">
        <v>0</v>
      </c>
      <c r="BS226" s="88">
        <v>0</v>
      </c>
      <c r="BV226" s="89">
        <v>216000</v>
      </c>
      <c r="BW226" s="89">
        <v>0</v>
      </c>
      <c r="BX226" s="89">
        <v>43411</v>
      </c>
      <c r="BY226" s="89">
        <v>216000</v>
      </c>
      <c r="BZ226" s="112">
        <v>100</v>
      </c>
      <c r="CK226" s="88">
        <v>0</v>
      </c>
    </row>
    <row r="227" spans="1:89" x14ac:dyDescent="0.15">
      <c r="A227" s="84">
        <v>1</v>
      </c>
      <c r="B227" s="85">
        <v>43430</v>
      </c>
      <c r="C227" s="85">
        <v>43424</v>
      </c>
      <c r="F227" s="85" t="s">
        <v>338</v>
      </c>
      <c r="H227" s="85" t="s">
        <v>338</v>
      </c>
      <c r="J227" s="84">
        <v>2</v>
      </c>
      <c r="L227" s="84">
        <v>0</v>
      </c>
      <c r="M227" s="85">
        <v>43411</v>
      </c>
      <c r="N227" s="85" t="s">
        <v>265</v>
      </c>
      <c r="O227" s="86" t="s">
        <v>340</v>
      </c>
      <c r="P227" s="84" t="s">
        <v>272</v>
      </c>
      <c r="Q227" s="86" t="s">
        <v>122</v>
      </c>
      <c r="R227" s="86" t="s">
        <v>771</v>
      </c>
      <c r="S227" s="87" t="s">
        <v>351</v>
      </c>
      <c r="T227" s="87" t="s">
        <v>769</v>
      </c>
      <c r="U227" s="88">
        <v>200000</v>
      </c>
      <c r="V227" s="88">
        <v>216000</v>
      </c>
      <c r="W227" s="88">
        <v>200000</v>
      </c>
      <c r="X227" s="88">
        <v>216000</v>
      </c>
      <c r="Z227" s="88">
        <v>0</v>
      </c>
      <c r="AD227" s="84">
        <v>0</v>
      </c>
      <c r="AG227" s="84">
        <v>0</v>
      </c>
      <c r="AJ227" s="84">
        <v>0</v>
      </c>
      <c r="AR227" s="85">
        <v>43423</v>
      </c>
      <c r="AS227" s="84">
        <v>6001620861</v>
      </c>
      <c r="AT227" s="85">
        <v>43426</v>
      </c>
      <c r="AU227" s="84" t="s">
        <v>953</v>
      </c>
      <c r="AV227" s="85">
        <v>43424</v>
      </c>
      <c r="AW227" s="123">
        <v>43434</v>
      </c>
      <c r="AX227" s="123">
        <v>43454</v>
      </c>
      <c r="AY227" s="132">
        <v>192000</v>
      </c>
      <c r="AZ227" s="132">
        <f>ROUNDDOWN(AY227+(AY227*MASTER!$A$2/100),0)</f>
        <v>207360</v>
      </c>
      <c r="BC227" s="88">
        <v>0</v>
      </c>
      <c r="BG227" s="88">
        <v>0</v>
      </c>
      <c r="BK227" s="88">
        <v>0</v>
      </c>
      <c r="BS227" s="88">
        <v>0</v>
      </c>
      <c r="BV227" s="89">
        <v>216000</v>
      </c>
      <c r="BW227" s="89">
        <v>0</v>
      </c>
      <c r="BX227" s="89">
        <v>43411</v>
      </c>
      <c r="BY227" s="89">
        <v>216000</v>
      </c>
      <c r="BZ227" s="112">
        <v>100</v>
      </c>
      <c r="CK227" s="88">
        <v>0</v>
      </c>
    </row>
    <row r="228" spans="1:89" x14ac:dyDescent="0.15">
      <c r="A228" s="84">
        <v>1</v>
      </c>
      <c r="B228" s="85">
        <v>43417</v>
      </c>
      <c r="C228" s="85">
        <v>43420</v>
      </c>
      <c r="F228" s="85" t="s">
        <v>338</v>
      </c>
      <c r="H228" s="85" t="s">
        <v>338</v>
      </c>
      <c r="J228" s="84">
        <v>2</v>
      </c>
      <c r="L228" s="84">
        <v>0</v>
      </c>
      <c r="M228" s="85">
        <v>43411</v>
      </c>
      <c r="N228" s="85" t="s">
        <v>265</v>
      </c>
      <c r="O228" s="86" t="s">
        <v>340</v>
      </c>
      <c r="P228" s="84" t="s">
        <v>78</v>
      </c>
      <c r="Q228" s="86" t="s">
        <v>122</v>
      </c>
      <c r="R228" s="86" t="s">
        <v>779</v>
      </c>
      <c r="S228" s="87" t="s">
        <v>407</v>
      </c>
      <c r="T228" s="87" t="s">
        <v>408</v>
      </c>
      <c r="U228" s="88">
        <v>41500</v>
      </c>
      <c r="V228" s="88">
        <v>44820</v>
      </c>
      <c r="W228" s="88">
        <v>41500</v>
      </c>
      <c r="X228" s="88">
        <v>44820</v>
      </c>
      <c r="Z228" s="88">
        <v>0</v>
      </c>
      <c r="AD228" s="84">
        <v>0</v>
      </c>
      <c r="AG228" s="84">
        <v>0</v>
      </c>
      <c r="AJ228" s="84">
        <v>0</v>
      </c>
      <c r="AR228" s="85">
        <v>43411</v>
      </c>
      <c r="AS228" s="84">
        <v>6001616973</v>
      </c>
      <c r="AT228" s="85">
        <v>43412</v>
      </c>
      <c r="AU228" s="84" t="s">
        <v>816</v>
      </c>
      <c r="AV228" s="85">
        <v>43420</v>
      </c>
      <c r="AW228" s="123">
        <v>43434</v>
      </c>
      <c r="AX228" s="123">
        <v>43454</v>
      </c>
      <c r="AY228" s="132">
        <v>39840</v>
      </c>
      <c r="AZ228" s="132">
        <f>ROUNDDOWN(AY228+(AY228*MASTER!$A$2/100),0)</f>
        <v>43027</v>
      </c>
      <c r="BC228" s="88">
        <v>0</v>
      </c>
      <c r="BG228" s="88">
        <v>0</v>
      </c>
      <c r="BK228" s="88">
        <v>0</v>
      </c>
      <c r="BS228" s="88">
        <v>0</v>
      </c>
      <c r="BV228" s="89">
        <v>44820</v>
      </c>
      <c r="BW228" s="89">
        <v>0</v>
      </c>
      <c r="BX228" s="89">
        <v>43411</v>
      </c>
      <c r="BY228" s="89">
        <v>44820</v>
      </c>
      <c r="BZ228" s="112">
        <v>100</v>
      </c>
      <c r="CD228" s="87" t="s">
        <v>850</v>
      </c>
      <c r="CK228" s="88">
        <v>0</v>
      </c>
    </row>
    <row r="229" spans="1:89" x14ac:dyDescent="0.15">
      <c r="A229" s="84">
        <v>1</v>
      </c>
      <c r="B229" s="85">
        <v>43417</v>
      </c>
      <c r="C229" s="85">
        <v>43420</v>
      </c>
      <c r="F229" s="85" t="s">
        <v>338</v>
      </c>
      <c r="H229" s="85" t="s">
        <v>338</v>
      </c>
      <c r="J229" s="84">
        <v>2</v>
      </c>
      <c r="L229" s="84">
        <v>0</v>
      </c>
      <c r="M229" s="85">
        <v>43411</v>
      </c>
      <c r="N229" s="85" t="s">
        <v>265</v>
      </c>
      <c r="O229" s="86" t="s">
        <v>340</v>
      </c>
      <c r="P229" s="84" t="s">
        <v>78</v>
      </c>
      <c r="Q229" s="86" t="s">
        <v>122</v>
      </c>
      <c r="R229" s="86" t="s">
        <v>780</v>
      </c>
      <c r="S229" s="87" t="s">
        <v>407</v>
      </c>
      <c r="T229" s="87" t="s">
        <v>582</v>
      </c>
      <c r="U229" s="88">
        <v>15450</v>
      </c>
      <c r="V229" s="88">
        <v>16686</v>
      </c>
      <c r="W229" s="88">
        <v>15450</v>
      </c>
      <c r="X229" s="88">
        <v>16686</v>
      </c>
      <c r="Z229" s="88">
        <v>0</v>
      </c>
      <c r="AD229" s="84">
        <v>0</v>
      </c>
      <c r="AG229" s="84">
        <v>0</v>
      </c>
      <c r="AJ229" s="84">
        <v>0</v>
      </c>
      <c r="AR229" s="85">
        <v>43411</v>
      </c>
      <c r="AS229" s="84">
        <v>6001616973</v>
      </c>
      <c r="AT229" s="85">
        <v>43412</v>
      </c>
      <c r="AU229" s="84" t="s">
        <v>816</v>
      </c>
      <c r="AV229" s="85">
        <v>43420</v>
      </c>
      <c r="AW229" s="123">
        <v>43434</v>
      </c>
      <c r="AX229" s="123">
        <v>43454</v>
      </c>
      <c r="AY229" s="132">
        <v>14832</v>
      </c>
      <c r="AZ229" s="132">
        <f>ROUNDDOWN(AY229+(AY229*MASTER!$A$2/100),0)</f>
        <v>16018</v>
      </c>
      <c r="BC229" s="88">
        <v>0</v>
      </c>
      <c r="BG229" s="88">
        <v>0</v>
      </c>
      <c r="BK229" s="88">
        <v>0</v>
      </c>
      <c r="BS229" s="88">
        <v>0</v>
      </c>
      <c r="BV229" s="89">
        <v>16686</v>
      </c>
      <c r="BW229" s="89">
        <v>0</v>
      </c>
      <c r="BX229" s="89">
        <v>43411</v>
      </c>
      <c r="BY229" s="89">
        <v>16686</v>
      </c>
      <c r="BZ229" s="112">
        <v>100</v>
      </c>
      <c r="CK229" s="88">
        <v>0</v>
      </c>
    </row>
    <row r="230" spans="1:89" x14ac:dyDescent="0.15">
      <c r="A230" s="84">
        <v>2</v>
      </c>
      <c r="C230" s="85" t="s">
        <v>338</v>
      </c>
      <c r="F230" s="85" t="s">
        <v>338</v>
      </c>
      <c r="H230" s="85" t="s">
        <v>338</v>
      </c>
      <c r="J230" s="84">
        <v>4</v>
      </c>
      <c r="L230" s="84">
        <v>0</v>
      </c>
      <c r="M230" s="85">
        <v>43411</v>
      </c>
      <c r="N230" s="85" t="s">
        <v>265</v>
      </c>
      <c r="O230" s="86" t="s">
        <v>340</v>
      </c>
      <c r="P230" s="84" t="s">
        <v>26</v>
      </c>
      <c r="Q230" s="86" t="s">
        <v>122</v>
      </c>
      <c r="R230" s="86" t="s">
        <v>1390</v>
      </c>
      <c r="S230" s="87" t="s">
        <v>562</v>
      </c>
      <c r="T230" s="87" t="s">
        <v>1496</v>
      </c>
      <c r="U230" s="88">
        <v>0</v>
      </c>
      <c r="V230" s="88">
        <v>0</v>
      </c>
      <c r="W230" s="88">
        <v>0</v>
      </c>
      <c r="X230" s="88">
        <v>0</v>
      </c>
      <c r="Y230" s="88">
        <v>0</v>
      </c>
      <c r="Z230" s="88">
        <v>0</v>
      </c>
      <c r="AA230" s="85">
        <v>43425</v>
      </c>
      <c r="AB230" s="85">
        <v>43454</v>
      </c>
      <c r="AD230" s="84">
        <v>0</v>
      </c>
      <c r="AG230" s="84">
        <v>0</v>
      </c>
      <c r="AJ230" s="84">
        <v>0</v>
      </c>
      <c r="AN230" s="84" t="s">
        <v>338</v>
      </c>
      <c r="AY230" s="132">
        <v>50400</v>
      </c>
      <c r="AZ230" s="132">
        <f>ROUNDDOWN(AY230+(AY230*MASTER!$A$2/100),0)</f>
        <v>54432</v>
      </c>
      <c r="BA230" s="84" t="s">
        <v>287</v>
      </c>
      <c r="BB230" s="88">
        <v>680000</v>
      </c>
      <c r="BC230" s="88">
        <v>734400</v>
      </c>
      <c r="BD230" s="84" t="s">
        <v>190</v>
      </c>
      <c r="BG230" s="88">
        <v>0</v>
      </c>
      <c r="BK230" s="88">
        <v>0</v>
      </c>
      <c r="BS230" s="88">
        <v>0</v>
      </c>
      <c r="BV230" s="89">
        <v>0</v>
      </c>
      <c r="BW230" s="89">
        <v>734400</v>
      </c>
      <c r="BX230" s="89">
        <v>43411</v>
      </c>
      <c r="BY230" s="89">
        <v>-734400</v>
      </c>
      <c r="BZ230" s="112" t="s">
        <v>338</v>
      </c>
      <c r="CK230" s="88">
        <v>0</v>
      </c>
    </row>
    <row r="231" spans="1:89" x14ac:dyDescent="0.15">
      <c r="A231" s="84">
        <v>2</v>
      </c>
      <c r="B231" s="85">
        <v>43420</v>
      </c>
      <c r="C231" s="85">
        <v>43438</v>
      </c>
      <c r="F231" s="85" t="s">
        <v>338</v>
      </c>
      <c r="G231" s="85">
        <v>43472</v>
      </c>
      <c r="H231" s="85" t="s">
        <v>338</v>
      </c>
      <c r="I231" s="84" t="s">
        <v>401</v>
      </c>
      <c r="J231" s="84">
        <v>1</v>
      </c>
      <c r="L231" s="84">
        <v>0</v>
      </c>
      <c r="M231" s="85">
        <v>43412</v>
      </c>
      <c r="N231" s="85" t="s">
        <v>265</v>
      </c>
      <c r="O231" s="86" t="s">
        <v>340</v>
      </c>
      <c r="P231" s="84" t="s">
        <v>170</v>
      </c>
      <c r="Q231" s="86" t="s">
        <v>122</v>
      </c>
      <c r="R231" s="86" t="s">
        <v>787</v>
      </c>
      <c r="S231" s="87" t="s">
        <v>555</v>
      </c>
      <c r="T231" s="87" t="s">
        <v>652</v>
      </c>
      <c r="U231" s="88">
        <v>3580480</v>
      </c>
      <c r="V231" s="88">
        <v>3866918.4</v>
      </c>
      <c r="W231" s="88">
        <v>3312980</v>
      </c>
      <c r="X231" s="88">
        <v>3578018.4</v>
      </c>
      <c r="Y231" s="88">
        <v>267500</v>
      </c>
      <c r="Z231" s="88">
        <v>288900</v>
      </c>
      <c r="AA231" s="85">
        <v>43427</v>
      </c>
      <c r="AB231" s="85">
        <v>43438</v>
      </c>
      <c r="AD231" s="84">
        <v>896</v>
      </c>
      <c r="AE231" s="84">
        <v>592</v>
      </c>
      <c r="AF231" s="84">
        <v>304</v>
      </c>
      <c r="AG231" s="84">
        <v>0</v>
      </c>
      <c r="AJ231" s="84">
        <v>0</v>
      </c>
      <c r="AR231" s="85">
        <v>43418</v>
      </c>
      <c r="AS231" s="84">
        <v>6001619466</v>
      </c>
      <c r="AT231" s="85">
        <v>43418</v>
      </c>
      <c r="AU231" s="84" t="s">
        <v>881</v>
      </c>
      <c r="AV231" s="85">
        <v>43438</v>
      </c>
      <c r="AW231" s="123">
        <v>43465</v>
      </c>
      <c r="AX231" s="123">
        <v>43485</v>
      </c>
      <c r="AY231" s="132">
        <v>3437260</v>
      </c>
      <c r="AZ231" s="132">
        <f>ROUNDDOWN(AY231+(AY231*MASTER!$A$2/100),0)</f>
        <v>3712240</v>
      </c>
      <c r="BA231" s="84" t="s">
        <v>286</v>
      </c>
      <c r="BB231" s="88">
        <v>2037600</v>
      </c>
      <c r="BC231" s="88">
        <v>2200608</v>
      </c>
      <c r="BD231" s="84" t="s">
        <v>190</v>
      </c>
      <c r="BG231" s="88">
        <v>0</v>
      </c>
      <c r="BI231" s="84" t="s">
        <v>434</v>
      </c>
      <c r="BJ231" s="88">
        <v>173875</v>
      </c>
      <c r="BK231" s="88">
        <v>187785</v>
      </c>
      <c r="BL231" s="84" t="s">
        <v>190</v>
      </c>
      <c r="BS231" s="88">
        <v>0</v>
      </c>
      <c r="BV231" s="89">
        <v>3578018.4</v>
      </c>
      <c r="BW231" s="89">
        <v>2388393</v>
      </c>
      <c r="BX231" s="89">
        <v>43412</v>
      </c>
      <c r="BY231" s="89">
        <v>1189625.3999999999</v>
      </c>
      <c r="BZ231" s="112">
        <v>33.248163285018322</v>
      </c>
      <c r="CK231" s="88">
        <v>0</v>
      </c>
    </row>
    <row r="232" spans="1:89" x14ac:dyDescent="0.15">
      <c r="A232" s="84">
        <v>1</v>
      </c>
      <c r="B232" s="85">
        <v>43420</v>
      </c>
      <c r="C232" s="85">
        <v>43438</v>
      </c>
      <c r="F232" s="85" t="s">
        <v>338</v>
      </c>
      <c r="H232" s="85" t="s">
        <v>338</v>
      </c>
      <c r="I232" s="84" t="s">
        <v>401</v>
      </c>
      <c r="J232" s="84">
        <v>1</v>
      </c>
      <c r="L232" s="84">
        <v>0</v>
      </c>
      <c r="M232" s="85">
        <v>43412</v>
      </c>
      <c r="N232" s="85" t="s">
        <v>265</v>
      </c>
      <c r="O232" s="86" t="s">
        <v>340</v>
      </c>
      <c r="P232" s="84" t="s">
        <v>223</v>
      </c>
      <c r="Q232" s="86" t="s">
        <v>122</v>
      </c>
      <c r="R232" s="86" t="s">
        <v>788</v>
      </c>
      <c r="S232" s="87" t="s">
        <v>555</v>
      </c>
      <c r="T232" s="87" t="s">
        <v>654</v>
      </c>
      <c r="U232" s="88">
        <v>201000</v>
      </c>
      <c r="V232" s="88">
        <v>217080</v>
      </c>
      <c r="W232" s="88">
        <v>66000</v>
      </c>
      <c r="X232" s="88">
        <v>71280</v>
      </c>
      <c r="Y232" s="88">
        <v>135000</v>
      </c>
      <c r="Z232" s="88">
        <v>145800</v>
      </c>
      <c r="AA232" s="85">
        <v>43427</v>
      </c>
      <c r="AB232" s="85">
        <v>43438</v>
      </c>
      <c r="AD232" s="84">
        <v>896</v>
      </c>
      <c r="AE232" s="84">
        <v>592</v>
      </c>
      <c r="AF232" s="84">
        <v>304</v>
      </c>
      <c r="AG232" s="84">
        <v>0</v>
      </c>
      <c r="AJ232" s="84">
        <v>0</v>
      </c>
      <c r="AR232" s="85">
        <v>43418</v>
      </c>
      <c r="AS232" s="84">
        <v>6001619467</v>
      </c>
      <c r="AT232" s="85">
        <v>43418</v>
      </c>
      <c r="AU232" s="84" t="s">
        <v>880</v>
      </c>
      <c r="AV232" s="85">
        <v>43438</v>
      </c>
      <c r="AW232" s="123">
        <v>43465</v>
      </c>
      <c r="AX232" s="123">
        <v>43485</v>
      </c>
      <c r="AY232" s="132">
        <v>192960</v>
      </c>
      <c r="AZ232" s="132">
        <f>ROUNDDOWN(AY232+(AY232*MASTER!$A$2/100),0)</f>
        <v>208396</v>
      </c>
      <c r="BA232" s="84" t="s">
        <v>778</v>
      </c>
      <c r="BC232" s="88">
        <v>0</v>
      </c>
      <c r="BG232" s="88">
        <v>0</v>
      </c>
      <c r="BI232" s="84" t="s">
        <v>276</v>
      </c>
      <c r="BJ232" s="88">
        <v>87750</v>
      </c>
      <c r="BK232" s="88">
        <v>94770</v>
      </c>
      <c r="BL232" s="84" t="s">
        <v>863</v>
      </c>
      <c r="BS232" s="88">
        <v>0</v>
      </c>
      <c r="BV232" s="89">
        <v>71280</v>
      </c>
      <c r="BW232" s="89">
        <v>94770</v>
      </c>
      <c r="BX232" s="89">
        <v>43412</v>
      </c>
      <c r="BY232" s="89">
        <v>-23490</v>
      </c>
      <c r="BZ232" s="112">
        <v>-32.954545454545453</v>
      </c>
      <c r="CK232" s="88">
        <v>0</v>
      </c>
    </row>
    <row r="233" spans="1:89" x14ac:dyDescent="0.15">
      <c r="A233" s="84">
        <v>2</v>
      </c>
      <c r="B233" s="85">
        <v>43420</v>
      </c>
      <c r="C233" s="85">
        <v>43438</v>
      </c>
      <c r="F233" s="85" t="s">
        <v>338</v>
      </c>
      <c r="H233" s="85" t="s">
        <v>338</v>
      </c>
      <c r="I233" s="84" t="s">
        <v>401</v>
      </c>
      <c r="J233" s="84">
        <v>2</v>
      </c>
      <c r="L233" s="84">
        <v>0</v>
      </c>
      <c r="M233" s="85">
        <v>43412</v>
      </c>
      <c r="N233" s="85" t="s">
        <v>265</v>
      </c>
      <c r="O233" s="86" t="s">
        <v>340</v>
      </c>
      <c r="P233" s="84" t="s">
        <v>29</v>
      </c>
      <c r="Q233" s="86" t="s">
        <v>122</v>
      </c>
      <c r="R233" s="86" t="s">
        <v>789</v>
      </c>
      <c r="S233" s="87" t="s">
        <v>555</v>
      </c>
      <c r="T233" s="87" t="s">
        <v>613</v>
      </c>
      <c r="U233" s="88">
        <v>204000</v>
      </c>
      <c r="V233" s="88">
        <v>220320</v>
      </c>
      <c r="W233" s="88">
        <v>204000</v>
      </c>
      <c r="X233" s="88">
        <v>220320</v>
      </c>
      <c r="Z233" s="88">
        <v>0</v>
      </c>
      <c r="AA233" s="85">
        <v>43427</v>
      </c>
      <c r="AB233" s="85">
        <v>43438</v>
      </c>
      <c r="AD233" s="84">
        <v>896</v>
      </c>
      <c r="AE233" s="84">
        <v>592</v>
      </c>
      <c r="AF233" s="84">
        <v>304</v>
      </c>
      <c r="AG233" s="84">
        <v>0</v>
      </c>
      <c r="AJ233" s="84">
        <v>0</v>
      </c>
      <c r="AR233" s="85">
        <v>43418</v>
      </c>
      <c r="AS233" s="84">
        <v>6001619467</v>
      </c>
      <c r="AT233" s="85">
        <v>43418</v>
      </c>
      <c r="AU233" s="84" t="s">
        <v>880</v>
      </c>
      <c r="AV233" s="85">
        <v>43438</v>
      </c>
      <c r="AW233" s="123">
        <v>43465</v>
      </c>
      <c r="AX233" s="123">
        <v>43485</v>
      </c>
      <c r="AY233" s="132">
        <v>195840</v>
      </c>
      <c r="AZ233" s="132">
        <f>ROUNDDOWN(AY233+(AY233*MASTER!$A$2/100),0)</f>
        <v>211507</v>
      </c>
      <c r="BA233" s="84" t="s">
        <v>286</v>
      </c>
      <c r="BB233" s="88">
        <v>136000</v>
      </c>
      <c r="BC233" s="88">
        <v>146880</v>
      </c>
      <c r="BD233" s="84" t="s">
        <v>190</v>
      </c>
      <c r="BG233" s="88">
        <v>0</v>
      </c>
      <c r="BK233" s="88">
        <v>0</v>
      </c>
      <c r="BS233" s="88">
        <v>0</v>
      </c>
      <c r="BV233" s="89">
        <v>220320</v>
      </c>
      <c r="BW233" s="89">
        <v>146880</v>
      </c>
      <c r="BX233" s="89">
        <v>43412</v>
      </c>
      <c r="BY233" s="89">
        <v>73440</v>
      </c>
      <c r="BZ233" s="112">
        <v>33.333333333333329</v>
      </c>
      <c r="CK233" s="88">
        <v>0</v>
      </c>
    </row>
    <row r="234" spans="1:89" x14ac:dyDescent="0.15">
      <c r="A234" s="84">
        <v>2</v>
      </c>
      <c r="B234" s="85">
        <v>43451</v>
      </c>
      <c r="C234" s="85">
        <v>43461</v>
      </c>
      <c r="F234" s="85" t="s">
        <v>338</v>
      </c>
      <c r="H234" s="85" t="s">
        <v>338</v>
      </c>
      <c r="I234" s="84" t="s">
        <v>401</v>
      </c>
      <c r="J234" s="84">
        <v>2</v>
      </c>
      <c r="L234" s="84">
        <v>0</v>
      </c>
      <c r="M234" s="85">
        <v>43412</v>
      </c>
      <c r="N234" s="85" t="s">
        <v>265</v>
      </c>
      <c r="O234" s="86" t="s">
        <v>340</v>
      </c>
      <c r="P234" s="84" t="s">
        <v>38</v>
      </c>
      <c r="Q234" s="86" t="s">
        <v>122</v>
      </c>
      <c r="R234" s="86" t="s">
        <v>790</v>
      </c>
      <c r="S234" s="87" t="s">
        <v>555</v>
      </c>
      <c r="T234" s="87" t="s">
        <v>657</v>
      </c>
      <c r="U234" s="88">
        <v>1344000</v>
      </c>
      <c r="V234" s="88">
        <v>1451520</v>
      </c>
      <c r="W234" s="88">
        <v>1344000</v>
      </c>
      <c r="X234" s="88">
        <v>1451520</v>
      </c>
      <c r="Z234" s="88">
        <v>0</v>
      </c>
      <c r="AD234" s="84">
        <v>896</v>
      </c>
      <c r="AE234" s="84">
        <v>592</v>
      </c>
      <c r="AF234" s="84">
        <v>304</v>
      </c>
      <c r="AG234" s="84">
        <v>0</v>
      </c>
      <c r="AJ234" s="84">
        <v>0</v>
      </c>
      <c r="AR234" s="85">
        <v>43445</v>
      </c>
      <c r="AS234" s="84">
        <v>6001628772</v>
      </c>
      <c r="AT234" s="85">
        <v>43447</v>
      </c>
      <c r="AU234" s="84" t="s">
        <v>1261</v>
      </c>
      <c r="AV234" s="85">
        <v>43461</v>
      </c>
      <c r="AW234" s="123">
        <v>43465</v>
      </c>
      <c r="AX234" s="123">
        <v>43485</v>
      </c>
      <c r="AY234" s="132">
        <v>1290240</v>
      </c>
      <c r="AZ234" s="132">
        <f>ROUNDDOWN(AY234+(AY234*MASTER!$A$2/100),0)</f>
        <v>1393459</v>
      </c>
      <c r="BA234" s="84" t="s">
        <v>286</v>
      </c>
      <c r="BB234" s="88">
        <v>250880</v>
      </c>
      <c r="BC234" s="88">
        <v>270950.40000000002</v>
      </c>
      <c r="BD234" s="84" t="s">
        <v>1138</v>
      </c>
      <c r="BG234" s="88">
        <v>0</v>
      </c>
      <c r="BK234" s="88">
        <v>0</v>
      </c>
      <c r="BS234" s="88">
        <v>0</v>
      </c>
      <c r="BV234" s="89">
        <v>1451520</v>
      </c>
      <c r="BW234" s="89">
        <v>270950.40000000002</v>
      </c>
      <c r="BX234" s="89">
        <v>43412</v>
      </c>
      <c r="BY234" s="89">
        <v>1180569.6000000001</v>
      </c>
      <c r="BZ234" s="112">
        <v>81.333333333333329</v>
      </c>
      <c r="CK234" s="88">
        <v>0</v>
      </c>
    </row>
    <row r="235" spans="1:89" x14ac:dyDescent="0.15">
      <c r="A235" s="84">
        <v>1</v>
      </c>
      <c r="B235" s="85">
        <v>43433</v>
      </c>
      <c r="C235" s="85">
        <v>43461</v>
      </c>
      <c r="F235" s="85" t="s">
        <v>338</v>
      </c>
      <c r="H235" s="85" t="s">
        <v>338</v>
      </c>
      <c r="J235" s="84">
        <v>2</v>
      </c>
      <c r="L235" s="84">
        <v>0</v>
      </c>
      <c r="M235" s="85">
        <v>43412</v>
      </c>
      <c r="N235" s="85" t="s">
        <v>265</v>
      </c>
      <c r="O235" s="86" t="s">
        <v>340</v>
      </c>
      <c r="P235" s="84" t="s">
        <v>271</v>
      </c>
      <c r="Q235" s="86" t="s">
        <v>122</v>
      </c>
      <c r="R235" s="86" t="s">
        <v>791</v>
      </c>
      <c r="S235" s="87" t="s">
        <v>555</v>
      </c>
      <c r="T235" s="87" t="s">
        <v>617</v>
      </c>
      <c r="U235" s="88">
        <v>600000</v>
      </c>
      <c r="V235" s="88">
        <v>648000</v>
      </c>
      <c r="W235" s="88">
        <v>600000</v>
      </c>
      <c r="X235" s="88">
        <v>648000</v>
      </c>
      <c r="Z235" s="88">
        <v>0</v>
      </c>
      <c r="AD235" s="84">
        <v>896</v>
      </c>
      <c r="AE235" s="84">
        <v>592</v>
      </c>
      <c r="AF235" s="84">
        <v>304</v>
      </c>
      <c r="AG235" s="84">
        <v>0</v>
      </c>
      <c r="AJ235" s="84">
        <v>0</v>
      </c>
      <c r="AR235" s="85">
        <v>43418</v>
      </c>
      <c r="AS235" s="84">
        <v>6001619467</v>
      </c>
      <c r="AT235" s="85">
        <v>43418</v>
      </c>
      <c r="AU235" s="84" t="s">
        <v>880</v>
      </c>
      <c r="AV235" s="85">
        <v>43461</v>
      </c>
      <c r="AW235" s="123">
        <v>43465</v>
      </c>
      <c r="AX235" s="123">
        <v>43485</v>
      </c>
      <c r="AY235" s="132">
        <v>576000</v>
      </c>
      <c r="AZ235" s="132">
        <f>ROUNDDOWN(AY235+(AY235*MASTER!$A$2/100),0)</f>
        <v>622080</v>
      </c>
      <c r="BC235" s="88">
        <v>0</v>
      </c>
      <c r="BG235" s="88">
        <v>0</v>
      </c>
      <c r="BK235" s="88">
        <v>0</v>
      </c>
      <c r="BS235" s="88">
        <v>0</v>
      </c>
      <c r="BV235" s="89">
        <v>648000</v>
      </c>
      <c r="BW235" s="89">
        <v>0</v>
      </c>
      <c r="BX235" s="89">
        <v>43412</v>
      </c>
      <c r="BY235" s="89">
        <v>648000</v>
      </c>
      <c r="BZ235" s="112">
        <v>100</v>
      </c>
      <c r="CK235" s="88">
        <v>600000</v>
      </c>
    </row>
    <row r="236" spans="1:89" x14ac:dyDescent="0.15">
      <c r="A236" s="84">
        <v>2</v>
      </c>
      <c r="B236" s="85">
        <v>43431</v>
      </c>
      <c r="C236" s="85">
        <v>43439</v>
      </c>
      <c r="D236" s="85" t="s">
        <v>374</v>
      </c>
      <c r="F236" s="85">
        <v>43446</v>
      </c>
      <c r="G236" s="85">
        <v>43441</v>
      </c>
      <c r="H236" s="85">
        <v>43442</v>
      </c>
      <c r="I236" s="84" t="s">
        <v>776</v>
      </c>
      <c r="J236" s="84">
        <v>1</v>
      </c>
      <c r="L236" s="84">
        <v>0</v>
      </c>
      <c r="M236" s="85">
        <v>43412</v>
      </c>
      <c r="N236" s="85" t="s">
        <v>265</v>
      </c>
      <c r="O236" s="86" t="s">
        <v>340</v>
      </c>
      <c r="P236" s="84" t="s">
        <v>26</v>
      </c>
      <c r="Q236" s="86" t="s">
        <v>122</v>
      </c>
      <c r="R236" s="86" t="s">
        <v>792</v>
      </c>
      <c r="S236" s="87" t="s">
        <v>793</v>
      </c>
      <c r="T236" s="87" t="s">
        <v>794</v>
      </c>
      <c r="U236" s="88">
        <v>23900</v>
      </c>
      <c r="V236" s="88">
        <v>25812</v>
      </c>
      <c r="W236" s="88">
        <v>14700</v>
      </c>
      <c r="X236" s="88">
        <v>15876</v>
      </c>
      <c r="Y236" s="88">
        <v>9200</v>
      </c>
      <c r="Z236" s="88">
        <v>9936</v>
      </c>
      <c r="AA236" s="85">
        <v>43437</v>
      </c>
      <c r="AB236" s="85">
        <v>43439</v>
      </c>
      <c r="AC236" s="85">
        <v>43439</v>
      </c>
      <c r="AD236" s="84">
        <v>0</v>
      </c>
      <c r="AG236" s="84">
        <v>0</v>
      </c>
      <c r="AJ236" s="84">
        <v>0</v>
      </c>
      <c r="AM236" s="84" t="s">
        <v>290</v>
      </c>
      <c r="AN236" s="84" t="s">
        <v>795</v>
      </c>
      <c r="AR236" s="85">
        <v>43423</v>
      </c>
      <c r="AS236" s="84">
        <v>6001620861</v>
      </c>
      <c r="AT236" s="85">
        <v>43426</v>
      </c>
      <c r="AU236" s="84" t="s">
        <v>953</v>
      </c>
      <c r="AV236" s="85">
        <v>43439</v>
      </c>
      <c r="AW236" s="123">
        <v>43465</v>
      </c>
      <c r="AX236" s="123">
        <v>43485</v>
      </c>
      <c r="AY236" s="132">
        <v>22944</v>
      </c>
      <c r="AZ236" s="132">
        <f>ROUNDDOWN(AY236+(AY236*MASTER!$A$2/100),0)</f>
        <v>24779</v>
      </c>
      <c r="BA236" s="84" t="s">
        <v>778</v>
      </c>
      <c r="BC236" s="88">
        <v>0</v>
      </c>
      <c r="BG236" s="88">
        <v>0</v>
      </c>
      <c r="BI236" s="84" t="s">
        <v>276</v>
      </c>
      <c r="BJ236" s="88">
        <v>5980</v>
      </c>
      <c r="BK236" s="88">
        <v>6458.4</v>
      </c>
      <c r="BL236" s="84" t="s">
        <v>863</v>
      </c>
      <c r="BS236" s="88">
        <v>0</v>
      </c>
      <c r="BV236" s="89">
        <v>15876</v>
      </c>
      <c r="BW236" s="89">
        <v>6458.4</v>
      </c>
      <c r="BX236" s="89">
        <v>43412</v>
      </c>
      <c r="BY236" s="89">
        <v>9417.6</v>
      </c>
      <c r="BZ236" s="112">
        <v>59.319727891156461</v>
      </c>
      <c r="CK236" s="88">
        <v>0</v>
      </c>
    </row>
    <row r="237" spans="1:89" x14ac:dyDescent="0.15">
      <c r="A237" s="84">
        <v>2</v>
      </c>
      <c r="B237" s="85">
        <v>43432</v>
      </c>
      <c r="C237" s="85">
        <v>43441</v>
      </c>
      <c r="D237" s="85" t="s">
        <v>374</v>
      </c>
      <c r="F237" s="85">
        <v>43448</v>
      </c>
      <c r="G237" s="85">
        <v>43448</v>
      </c>
      <c r="H237" s="85">
        <v>43444</v>
      </c>
      <c r="I237" s="84" t="s">
        <v>401</v>
      </c>
      <c r="J237" s="84">
        <v>1</v>
      </c>
      <c r="L237" s="84">
        <v>0</v>
      </c>
      <c r="M237" s="85">
        <v>43412</v>
      </c>
      <c r="N237" s="85" t="s">
        <v>265</v>
      </c>
      <c r="O237" s="86" t="s">
        <v>340</v>
      </c>
      <c r="P237" s="84" t="s">
        <v>26</v>
      </c>
      <c r="Q237" s="86" t="s">
        <v>122</v>
      </c>
      <c r="R237" s="86" t="s">
        <v>1077</v>
      </c>
      <c r="S237" s="87" t="s">
        <v>1078</v>
      </c>
      <c r="T237" s="87" t="s">
        <v>1079</v>
      </c>
      <c r="U237" s="88">
        <v>23900</v>
      </c>
      <c r="V237" s="88">
        <v>25812</v>
      </c>
      <c r="W237" s="88">
        <v>14700</v>
      </c>
      <c r="X237" s="88">
        <v>15876</v>
      </c>
      <c r="Y237" s="88">
        <v>9200</v>
      </c>
      <c r="Z237" s="88">
        <v>9936</v>
      </c>
      <c r="AA237" s="85">
        <v>43439</v>
      </c>
      <c r="AB237" s="85">
        <v>43441</v>
      </c>
      <c r="AC237" s="85">
        <v>43441</v>
      </c>
      <c r="AD237" s="84">
        <v>0</v>
      </c>
      <c r="AG237" s="84">
        <v>0</v>
      </c>
      <c r="AJ237" s="84">
        <v>0</v>
      </c>
      <c r="AM237" s="84" t="s">
        <v>290</v>
      </c>
      <c r="AN237" s="84" t="s">
        <v>1080</v>
      </c>
      <c r="AR237" s="85">
        <v>43431</v>
      </c>
      <c r="AS237" s="84">
        <v>6001623789</v>
      </c>
      <c r="AT237" s="85">
        <v>43431</v>
      </c>
      <c r="AU237" s="84" t="s">
        <v>1025</v>
      </c>
      <c r="AV237" s="85">
        <v>43441</v>
      </c>
      <c r="AW237" s="123">
        <v>43465</v>
      </c>
      <c r="AX237" s="123">
        <v>43485</v>
      </c>
      <c r="AY237" s="132">
        <v>22944</v>
      </c>
      <c r="AZ237" s="132">
        <f>ROUNDDOWN(AY237+(AY237*MASTER!$A$2/100),0)</f>
        <v>24779</v>
      </c>
      <c r="BA237" s="84" t="s">
        <v>778</v>
      </c>
      <c r="BC237" s="88">
        <v>0</v>
      </c>
      <c r="BG237" s="88">
        <v>0</v>
      </c>
      <c r="BI237" s="84" t="s">
        <v>276</v>
      </c>
      <c r="BJ237" s="88">
        <v>5980</v>
      </c>
      <c r="BK237" s="88">
        <v>6458.4</v>
      </c>
      <c r="BL237" s="84" t="s">
        <v>863</v>
      </c>
      <c r="BS237" s="88">
        <v>0</v>
      </c>
      <c r="BV237" s="89">
        <v>15876</v>
      </c>
      <c r="BW237" s="89">
        <v>6458.4</v>
      </c>
      <c r="BX237" s="89">
        <v>43412</v>
      </c>
      <c r="BY237" s="89">
        <v>9417.6</v>
      </c>
      <c r="BZ237" s="112">
        <v>59.319727891156461</v>
      </c>
      <c r="CK237" s="88">
        <v>0</v>
      </c>
    </row>
    <row r="238" spans="1:89" x14ac:dyDescent="0.15">
      <c r="A238" s="84">
        <v>2</v>
      </c>
      <c r="B238" s="85">
        <v>43451</v>
      </c>
      <c r="C238" s="85">
        <v>43461</v>
      </c>
      <c r="D238" s="85">
        <v>43487</v>
      </c>
      <c r="F238" s="85">
        <v>43468</v>
      </c>
      <c r="G238" s="85">
        <v>43825</v>
      </c>
      <c r="H238" s="85">
        <v>43464</v>
      </c>
      <c r="I238" s="84" t="s">
        <v>401</v>
      </c>
      <c r="J238" s="84">
        <v>1</v>
      </c>
      <c r="L238" s="84">
        <v>0</v>
      </c>
      <c r="M238" s="85">
        <v>43412</v>
      </c>
      <c r="N238" s="85" t="s">
        <v>265</v>
      </c>
      <c r="O238" s="86" t="s">
        <v>340</v>
      </c>
      <c r="P238" s="84" t="s">
        <v>26</v>
      </c>
      <c r="Q238" s="86" t="s">
        <v>122</v>
      </c>
      <c r="R238" s="86" t="s">
        <v>796</v>
      </c>
      <c r="S238" s="87" t="s">
        <v>575</v>
      </c>
      <c r="T238" s="87" t="s">
        <v>797</v>
      </c>
      <c r="U238" s="88">
        <v>59200</v>
      </c>
      <c r="V238" s="88">
        <v>63936</v>
      </c>
      <c r="W238" s="88">
        <v>47000</v>
      </c>
      <c r="X238" s="88">
        <v>50760</v>
      </c>
      <c r="Y238" s="88">
        <v>12200</v>
      </c>
      <c r="Z238" s="88">
        <v>13176</v>
      </c>
      <c r="AA238" s="85">
        <v>43459</v>
      </c>
      <c r="AB238" s="85">
        <v>43461</v>
      </c>
      <c r="AC238" s="85">
        <v>43461</v>
      </c>
      <c r="AD238" s="84">
        <v>0</v>
      </c>
      <c r="AG238" s="84">
        <v>0</v>
      </c>
      <c r="AJ238" s="84">
        <v>0</v>
      </c>
      <c r="AM238" s="84" t="s">
        <v>290</v>
      </c>
      <c r="AN238" s="84" t="s">
        <v>798</v>
      </c>
      <c r="AR238" s="85">
        <v>43438</v>
      </c>
      <c r="AS238" s="84">
        <v>6001625953</v>
      </c>
      <c r="AT238" s="85">
        <v>43439</v>
      </c>
      <c r="AU238" s="84" t="s">
        <v>1130</v>
      </c>
      <c r="AV238" s="85">
        <v>43461</v>
      </c>
      <c r="AW238" s="123">
        <v>43465</v>
      </c>
      <c r="AX238" s="123">
        <v>43485</v>
      </c>
      <c r="AY238" s="132">
        <v>56832</v>
      </c>
      <c r="AZ238" s="132">
        <f>ROUNDDOWN(AY238+(AY238*MASTER!$A$2/100),0)</f>
        <v>61378</v>
      </c>
      <c r="BA238" s="84" t="s">
        <v>543</v>
      </c>
      <c r="BB238" s="88">
        <v>32000</v>
      </c>
      <c r="BC238" s="88">
        <v>34560</v>
      </c>
      <c r="BD238" s="84" t="s">
        <v>1138</v>
      </c>
      <c r="BG238" s="88">
        <v>0</v>
      </c>
      <c r="BI238" s="84" t="s">
        <v>276</v>
      </c>
      <c r="BJ238" s="88">
        <v>7930</v>
      </c>
      <c r="BK238" s="88">
        <v>8564.4</v>
      </c>
      <c r="BL238" s="84" t="s">
        <v>1421</v>
      </c>
      <c r="BS238" s="88">
        <v>0</v>
      </c>
      <c r="BV238" s="89">
        <v>50760</v>
      </c>
      <c r="BW238" s="89">
        <v>43124.4</v>
      </c>
      <c r="BX238" s="89">
        <v>43412</v>
      </c>
      <c r="BY238" s="89">
        <v>7635.6</v>
      </c>
      <c r="BZ238" s="112">
        <v>15.042553191489358</v>
      </c>
      <c r="CK238" s="88">
        <v>0</v>
      </c>
    </row>
    <row r="239" spans="1:89" x14ac:dyDescent="0.15">
      <c r="A239" s="84">
        <v>2</v>
      </c>
      <c r="B239" s="85">
        <v>43483</v>
      </c>
      <c r="C239" s="85">
        <v>43489</v>
      </c>
      <c r="D239" s="85">
        <v>43521</v>
      </c>
      <c r="F239" s="85">
        <v>43496</v>
      </c>
      <c r="G239" s="85">
        <v>43488</v>
      </c>
      <c r="H239" s="85">
        <v>43492</v>
      </c>
      <c r="I239" s="84" t="s">
        <v>401</v>
      </c>
      <c r="J239" s="84">
        <v>1</v>
      </c>
      <c r="L239" s="84">
        <v>0</v>
      </c>
      <c r="M239" s="85">
        <v>43412</v>
      </c>
      <c r="N239" s="85" t="s">
        <v>265</v>
      </c>
      <c r="O239" s="86" t="s">
        <v>340</v>
      </c>
      <c r="P239" s="84" t="s">
        <v>26</v>
      </c>
      <c r="Q239" s="86" t="s">
        <v>122</v>
      </c>
      <c r="R239" s="86" t="s">
        <v>1311</v>
      </c>
      <c r="S239" s="87" t="s">
        <v>1312</v>
      </c>
      <c r="T239" s="87" t="s">
        <v>1303</v>
      </c>
      <c r="U239" s="88">
        <v>59000</v>
      </c>
      <c r="V239" s="88">
        <v>63720</v>
      </c>
      <c r="W239" s="88">
        <v>47000</v>
      </c>
      <c r="X239" s="88">
        <v>50760</v>
      </c>
      <c r="Y239" s="88">
        <v>12000</v>
      </c>
      <c r="Z239" s="88">
        <v>12960</v>
      </c>
      <c r="AA239" s="85">
        <v>43486</v>
      </c>
      <c r="AB239" s="85">
        <v>43489</v>
      </c>
      <c r="AC239" s="85">
        <v>43489</v>
      </c>
      <c r="AD239" s="84">
        <v>0</v>
      </c>
      <c r="AG239" s="84">
        <v>0</v>
      </c>
      <c r="AJ239" s="84">
        <v>0</v>
      </c>
      <c r="AM239" s="84" t="s">
        <v>290</v>
      </c>
      <c r="AN239" s="84" t="s">
        <v>1313</v>
      </c>
      <c r="AR239" s="85">
        <v>43452</v>
      </c>
      <c r="AS239" s="84">
        <v>6001631390</v>
      </c>
      <c r="AT239" s="85">
        <v>43452</v>
      </c>
      <c r="AU239" s="84" t="s">
        <v>1337</v>
      </c>
      <c r="AV239" s="85">
        <v>43489</v>
      </c>
      <c r="AW239" s="123">
        <v>43496</v>
      </c>
      <c r="AX239" s="123">
        <v>43516</v>
      </c>
      <c r="AY239" s="132">
        <v>56640</v>
      </c>
      <c r="AZ239" s="132">
        <f>ROUNDDOWN(AY239+(AY239*MASTER!$A$2/100),0)</f>
        <v>61171</v>
      </c>
      <c r="BA239" s="84" t="s">
        <v>286</v>
      </c>
      <c r="BB239" s="88">
        <v>21000</v>
      </c>
      <c r="BC239" s="88">
        <v>22680</v>
      </c>
      <c r="BD239" s="84" t="s">
        <v>1233</v>
      </c>
      <c r="BG239" s="88">
        <v>0</v>
      </c>
      <c r="BK239" s="88">
        <v>0</v>
      </c>
      <c r="BS239" s="88">
        <v>0</v>
      </c>
      <c r="BV239" s="89">
        <v>50760</v>
      </c>
      <c r="BW239" s="89">
        <v>22680</v>
      </c>
      <c r="BX239" s="89">
        <v>43412</v>
      </c>
      <c r="BY239" s="89">
        <v>28080</v>
      </c>
      <c r="BZ239" s="112">
        <v>55.319148936170215</v>
      </c>
      <c r="CK239" s="88">
        <v>0</v>
      </c>
    </row>
    <row r="240" spans="1:89" x14ac:dyDescent="0.15">
      <c r="A240" s="84">
        <v>2</v>
      </c>
      <c r="B240" s="85">
        <v>43451</v>
      </c>
      <c r="C240" s="85">
        <v>43461</v>
      </c>
      <c r="D240" s="85">
        <v>43487</v>
      </c>
      <c r="F240" s="85">
        <v>43468</v>
      </c>
      <c r="G240" s="85">
        <v>43826</v>
      </c>
      <c r="H240" s="85">
        <v>43464</v>
      </c>
      <c r="I240" s="84" t="s">
        <v>401</v>
      </c>
      <c r="J240" s="84">
        <v>1</v>
      </c>
      <c r="L240" s="84">
        <v>0</v>
      </c>
      <c r="M240" s="85">
        <v>43412</v>
      </c>
      <c r="N240" s="85" t="s">
        <v>265</v>
      </c>
      <c r="O240" s="86" t="s">
        <v>340</v>
      </c>
      <c r="P240" s="84" t="s">
        <v>26</v>
      </c>
      <c r="Q240" s="86" t="s">
        <v>122</v>
      </c>
      <c r="R240" s="86" t="s">
        <v>1281</v>
      </c>
      <c r="S240" s="87" t="s">
        <v>1282</v>
      </c>
      <c r="T240" s="87" t="s">
        <v>1283</v>
      </c>
      <c r="U240" s="88">
        <v>230800</v>
      </c>
      <c r="V240" s="88">
        <v>249264</v>
      </c>
      <c r="W240" s="88">
        <v>210800</v>
      </c>
      <c r="X240" s="88">
        <v>227664</v>
      </c>
      <c r="Y240" s="88">
        <v>20000</v>
      </c>
      <c r="Z240" s="88">
        <v>21600</v>
      </c>
      <c r="AA240" s="85">
        <v>43458</v>
      </c>
      <c r="AB240" s="85">
        <v>43461</v>
      </c>
      <c r="AC240" s="85">
        <v>43461</v>
      </c>
      <c r="AD240" s="84">
        <v>0</v>
      </c>
      <c r="AG240" s="84">
        <v>0</v>
      </c>
      <c r="AJ240" s="84">
        <v>0</v>
      </c>
      <c r="AM240" s="84" t="s">
        <v>290</v>
      </c>
      <c r="AN240" s="84" t="s">
        <v>1284</v>
      </c>
      <c r="AR240" s="85">
        <v>43439</v>
      </c>
      <c r="AS240" s="84">
        <v>6001626565</v>
      </c>
      <c r="AT240" s="85">
        <v>43439</v>
      </c>
      <c r="AU240" s="84" t="s">
        <v>1132</v>
      </c>
      <c r="AV240" s="85">
        <v>43461</v>
      </c>
      <c r="AW240" s="123">
        <v>43465</v>
      </c>
      <c r="AX240" s="123">
        <v>43485</v>
      </c>
      <c r="AY240" s="132">
        <v>221568</v>
      </c>
      <c r="AZ240" s="132">
        <f>ROUNDDOWN(AY240+(AY240*MASTER!$A$2/100),0)</f>
        <v>239293</v>
      </c>
      <c r="BA240" s="84" t="s">
        <v>543</v>
      </c>
      <c r="BB240" s="88">
        <v>100900</v>
      </c>
      <c r="BC240" s="88">
        <v>108972</v>
      </c>
      <c r="BD240" s="84" t="s">
        <v>1138</v>
      </c>
      <c r="BG240" s="88">
        <v>0</v>
      </c>
      <c r="BI240" s="84" t="s">
        <v>276</v>
      </c>
      <c r="BJ240" s="88">
        <v>13000</v>
      </c>
      <c r="BK240" s="88">
        <v>14040</v>
      </c>
      <c r="BL240" s="84" t="s">
        <v>1421</v>
      </c>
      <c r="BS240" s="88">
        <v>0</v>
      </c>
      <c r="BV240" s="89">
        <v>227664</v>
      </c>
      <c r="BW240" s="89">
        <v>123012</v>
      </c>
      <c r="BX240" s="89">
        <v>43412</v>
      </c>
      <c r="BY240" s="89">
        <v>104652</v>
      </c>
      <c r="BZ240" s="112">
        <v>45.967741935483872</v>
      </c>
      <c r="CK240" s="88">
        <v>6300</v>
      </c>
    </row>
    <row r="241" spans="1:89" x14ac:dyDescent="0.15">
      <c r="A241" s="84">
        <v>1</v>
      </c>
      <c r="B241" s="85">
        <v>43418</v>
      </c>
      <c r="C241" s="85">
        <v>43425</v>
      </c>
      <c r="F241" s="85" t="s">
        <v>338</v>
      </c>
      <c r="H241" s="85" t="s">
        <v>338</v>
      </c>
      <c r="J241" s="84">
        <v>2</v>
      </c>
      <c r="L241" s="84">
        <v>0</v>
      </c>
      <c r="M241" s="85">
        <v>43412</v>
      </c>
      <c r="N241" s="85" t="s">
        <v>265</v>
      </c>
      <c r="O241" s="86" t="s">
        <v>340</v>
      </c>
      <c r="P241" s="84" t="s">
        <v>78</v>
      </c>
      <c r="Q241" s="86" t="s">
        <v>122</v>
      </c>
      <c r="R241" s="86" t="s">
        <v>802</v>
      </c>
      <c r="S241" s="87" t="s">
        <v>407</v>
      </c>
      <c r="T241" s="87" t="s">
        <v>408</v>
      </c>
      <c r="U241" s="88">
        <v>83000</v>
      </c>
      <c r="V241" s="88">
        <v>89640</v>
      </c>
      <c r="W241" s="88">
        <v>83000</v>
      </c>
      <c r="X241" s="88">
        <v>89640</v>
      </c>
      <c r="Z241" s="88">
        <v>0</v>
      </c>
      <c r="AD241" s="84">
        <v>0</v>
      </c>
      <c r="AG241" s="84">
        <v>0</v>
      </c>
      <c r="AJ241" s="84">
        <v>0</v>
      </c>
      <c r="AR241" s="85">
        <v>43412</v>
      </c>
      <c r="AS241" s="84">
        <v>6001617714</v>
      </c>
      <c r="AT241" s="85">
        <v>43412</v>
      </c>
      <c r="AU241" s="84" t="s">
        <v>817</v>
      </c>
      <c r="AV241" s="85">
        <v>43425</v>
      </c>
      <c r="AW241" s="123">
        <v>43434</v>
      </c>
      <c r="AX241" s="123">
        <v>43454</v>
      </c>
      <c r="AY241" s="132">
        <v>79680</v>
      </c>
      <c r="AZ241" s="132">
        <f>ROUNDDOWN(AY241+(AY241*MASTER!$A$2/100),0)</f>
        <v>86054</v>
      </c>
      <c r="BC241" s="88">
        <v>0</v>
      </c>
      <c r="BG241" s="88">
        <v>0</v>
      </c>
      <c r="BK241" s="88">
        <v>0</v>
      </c>
      <c r="BS241" s="88">
        <v>0</v>
      </c>
      <c r="BV241" s="89">
        <v>89640</v>
      </c>
      <c r="BW241" s="89">
        <v>0</v>
      </c>
      <c r="BX241" s="89">
        <v>43412</v>
      </c>
      <c r="BY241" s="89">
        <v>89640</v>
      </c>
      <c r="BZ241" s="112">
        <v>100</v>
      </c>
      <c r="CD241" s="87" t="s">
        <v>867</v>
      </c>
      <c r="CK241" s="88">
        <v>0</v>
      </c>
    </row>
    <row r="242" spans="1:89" x14ac:dyDescent="0.15">
      <c r="A242" s="84">
        <v>1</v>
      </c>
      <c r="B242" s="85">
        <v>43418</v>
      </c>
      <c r="C242" s="85">
        <v>43425</v>
      </c>
      <c r="F242" s="85" t="s">
        <v>338</v>
      </c>
      <c r="H242" s="85" t="s">
        <v>338</v>
      </c>
      <c r="J242" s="84">
        <v>2</v>
      </c>
      <c r="L242" s="84">
        <v>0</v>
      </c>
      <c r="M242" s="85">
        <v>43412</v>
      </c>
      <c r="N242" s="85" t="s">
        <v>265</v>
      </c>
      <c r="O242" s="86" t="s">
        <v>340</v>
      </c>
      <c r="P242" s="84" t="s">
        <v>78</v>
      </c>
      <c r="Q242" s="86" t="s">
        <v>122</v>
      </c>
      <c r="R242" s="86" t="s">
        <v>803</v>
      </c>
      <c r="S242" s="87" t="s">
        <v>407</v>
      </c>
      <c r="T242" s="87" t="s">
        <v>582</v>
      </c>
      <c r="U242" s="88">
        <v>5150</v>
      </c>
      <c r="V242" s="88">
        <v>5562</v>
      </c>
      <c r="W242" s="88">
        <v>5150</v>
      </c>
      <c r="X242" s="88">
        <v>5562</v>
      </c>
      <c r="Z242" s="88">
        <v>0</v>
      </c>
      <c r="AD242" s="84">
        <v>0</v>
      </c>
      <c r="AG242" s="84">
        <v>0</v>
      </c>
      <c r="AJ242" s="84">
        <v>0</v>
      </c>
      <c r="AR242" s="85">
        <v>43412</v>
      </c>
      <c r="AS242" s="84">
        <v>6001617714</v>
      </c>
      <c r="AT242" s="85">
        <v>43412</v>
      </c>
      <c r="AU242" s="84" t="s">
        <v>817</v>
      </c>
      <c r="AV242" s="85">
        <v>43425</v>
      </c>
      <c r="AW242" s="123">
        <v>43434</v>
      </c>
      <c r="AX242" s="123">
        <v>43454</v>
      </c>
      <c r="AY242" s="132">
        <v>4944</v>
      </c>
      <c r="AZ242" s="132">
        <f>ROUNDDOWN(AY242+(AY242*MASTER!$A$2/100),0)</f>
        <v>5339</v>
      </c>
      <c r="BC242" s="88">
        <v>0</v>
      </c>
      <c r="BG242" s="88">
        <v>0</v>
      </c>
      <c r="BK242" s="88">
        <v>0</v>
      </c>
      <c r="BS242" s="88">
        <v>0</v>
      </c>
      <c r="BV242" s="89">
        <v>5562</v>
      </c>
      <c r="BW242" s="89">
        <v>0</v>
      </c>
      <c r="BX242" s="89">
        <v>43412</v>
      </c>
      <c r="BY242" s="89">
        <v>5562</v>
      </c>
      <c r="BZ242" s="112">
        <v>100</v>
      </c>
      <c r="CK242" s="88">
        <v>0</v>
      </c>
    </row>
    <row r="243" spans="1:89" x14ac:dyDescent="0.15">
      <c r="A243" s="84">
        <v>2</v>
      </c>
      <c r="B243" s="85">
        <v>43431</v>
      </c>
      <c r="C243" s="85">
        <v>43440</v>
      </c>
      <c r="D243" s="85">
        <v>43470</v>
      </c>
      <c r="F243" s="85">
        <v>43447</v>
      </c>
      <c r="G243" s="85">
        <v>43444</v>
      </c>
      <c r="H243" s="85">
        <v>43443</v>
      </c>
      <c r="I243" s="84" t="s">
        <v>401</v>
      </c>
      <c r="J243" s="84">
        <v>1</v>
      </c>
      <c r="L243" s="84">
        <v>0</v>
      </c>
      <c r="M243" s="85">
        <v>43412</v>
      </c>
      <c r="N243" s="85" t="s">
        <v>265</v>
      </c>
      <c r="O243" s="86" t="s">
        <v>340</v>
      </c>
      <c r="P243" s="84" t="s">
        <v>26</v>
      </c>
      <c r="Q243" s="86" t="s">
        <v>122</v>
      </c>
      <c r="R243" s="86" t="s">
        <v>1008</v>
      </c>
      <c r="S243" s="87" t="s">
        <v>1009</v>
      </c>
      <c r="T243" s="87" t="s">
        <v>1010</v>
      </c>
      <c r="U243" s="88">
        <v>110500</v>
      </c>
      <c r="V243" s="88">
        <v>119340</v>
      </c>
      <c r="W243" s="88">
        <v>84300</v>
      </c>
      <c r="X243" s="88">
        <v>91044</v>
      </c>
      <c r="Y243" s="88">
        <v>26200</v>
      </c>
      <c r="Z243" s="88">
        <v>28296</v>
      </c>
      <c r="AA243" s="85">
        <v>43438</v>
      </c>
      <c r="AB243" s="85">
        <v>43440</v>
      </c>
      <c r="AC243" s="85">
        <v>43440</v>
      </c>
      <c r="AD243" s="84">
        <v>0</v>
      </c>
      <c r="AG243" s="84">
        <v>0</v>
      </c>
      <c r="AJ243" s="84">
        <v>0</v>
      </c>
      <c r="AM243" s="84" t="s">
        <v>290</v>
      </c>
      <c r="AN243" s="84" t="s">
        <v>1011</v>
      </c>
      <c r="AR243" s="85">
        <v>43424</v>
      </c>
      <c r="AS243" s="84">
        <v>6001621818</v>
      </c>
      <c r="AT243" s="85">
        <v>43425</v>
      </c>
      <c r="AU243" s="84" t="s">
        <v>949</v>
      </c>
      <c r="AV243" s="85">
        <v>43440</v>
      </c>
      <c r="AW243" s="123">
        <v>43465</v>
      </c>
      <c r="AX243" s="123">
        <v>43485</v>
      </c>
      <c r="AY243" s="132">
        <v>106080</v>
      </c>
      <c r="AZ243" s="132">
        <f>ROUNDDOWN(AY243+(AY243*MASTER!$A$2/100),0)</f>
        <v>114566</v>
      </c>
      <c r="BA243" s="84" t="s">
        <v>400</v>
      </c>
      <c r="BB243" s="88">
        <v>53600</v>
      </c>
      <c r="BC243" s="88">
        <v>57888</v>
      </c>
      <c r="BD243" s="84" t="s">
        <v>190</v>
      </c>
      <c r="BG243" s="88">
        <v>0</v>
      </c>
      <c r="BI243" s="84" t="s">
        <v>434</v>
      </c>
      <c r="BJ243" s="88">
        <v>17030</v>
      </c>
      <c r="BK243" s="88">
        <v>18392.400000000001</v>
      </c>
      <c r="BL243" s="84" t="s">
        <v>190</v>
      </c>
      <c r="BS243" s="88">
        <v>0</v>
      </c>
      <c r="BV243" s="89">
        <v>91044</v>
      </c>
      <c r="BW243" s="89">
        <v>76280.399999999994</v>
      </c>
      <c r="BX243" s="89">
        <v>43412</v>
      </c>
      <c r="BY243" s="89">
        <v>14763.6</v>
      </c>
      <c r="BZ243" s="112">
        <v>16.21589561091341</v>
      </c>
      <c r="CK243" s="88">
        <v>6300</v>
      </c>
    </row>
    <row r="244" spans="1:89" x14ac:dyDescent="0.15">
      <c r="A244" s="84">
        <v>2</v>
      </c>
      <c r="B244" s="85">
        <v>43441</v>
      </c>
      <c r="C244" s="85">
        <v>43453</v>
      </c>
      <c r="D244" s="85" t="s">
        <v>374</v>
      </c>
      <c r="F244" s="85">
        <v>43460</v>
      </c>
      <c r="G244" s="85">
        <v>43455</v>
      </c>
      <c r="H244" s="85">
        <v>43456</v>
      </c>
      <c r="I244" s="84" t="s">
        <v>776</v>
      </c>
      <c r="J244" s="84">
        <v>1</v>
      </c>
      <c r="L244" s="84">
        <v>0</v>
      </c>
      <c r="M244" s="85">
        <v>43412</v>
      </c>
      <c r="N244" s="85" t="s">
        <v>265</v>
      </c>
      <c r="O244" s="86" t="s">
        <v>340</v>
      </c>
      <c r="P244" s="84" t="s">
        <v>26</v>
      </c>
      <c r="Q244" s="86" t="s">
        <v>122</v>
      </c>
      <c r="R244" s="86" t="s">
        <v>1162</v>
      </c>
      <c r="S244" s="87" t="s">
        <v>1091</v>
      </c>
      <c r="T244" s="87" t="s">
        <v>1163</v>
      </c>
      <c r="U244" s="88">
        <v>23900</v>
      </c>
      <c r="V244" s="88">
        <v>25812</v>
      </c>
      <c r="W244" s="88">
        <v>14700</v>
      </c>
      <c r="X244" s="88">
        <v>15876</v>
      </c>
      <c r="Y244" s="88">
        <v>9200</v>
      </c>
      <c r="Z244" s="88">
        <v>9936</v>
      </c>
      <c r="AA244" s="85">
        <v>43451</v>
      </c>
      <c r="AB244" s="85">
        <v>43453</v>
      </c>
      <c r="AC244" s="85">
        <v>43453</v>
      </c>
      <c r="AD244" s="84">
        <v>0</v>
      </c>
      <c r="AG244" s="84">
        <v>0</v>
      </c>
      <c r="AJ244" s="84">
        <v>0</v>
      </c>
      <c r="AM244" s="84" t="s">
        <v>290</v>
      </c>
      <c r="AN244" s="84" t="s">
        <v>1164</v>
      </c>
      <c r="AR244" s="85">
        <v>43425</v>
      </c>
      <c r="AS244" s="84">
        <v>6001622000</v>
      </c>
      <c r="AT244" s="85">
        <v>43425</v>
      </c>
      <c r="AU244" s="84" t="s">
        <v>950</v>
      </c>
      <c r="AV244" s="85">
        <v>43453</v>
      </c>
      <c r="AW244" s="123">
        <v>43465</v>
      </c>
      <c r="AX244" s="123">
        <v>43485</v>
      </c>
      <c r="AY244" s="132">
        <v>22944</v>
      </c>
      <c r="AZ244" s="132">
        <f>ROUNDDOWN(AY244+(AY244*MASTER!$A$2/100),0)</f>
        <v>24779</v>
      </c>
      <c r="BA244" s="84" t="s">
        <v>778</v>
      </c>
      <c r="BC244" s="88">
        <v>0</v>
      </c>
      <c r="BG244" s="88">
        <v>0</v>
      </c>
      <c r="BI244" s="84" t="s">
        <v>276</v>
      </c>
      <c r="BJ244" s="88">
        <v>5980</v>
      </c>
      <c r="BK244" s="88">
        <v>6458.4</v>
      </c>
      <c r="BL244" s="84" t="s">
        <v>863</v>
      </c>
      <c r="BS244" s="88">
        <v>0</v>
      </c>
      <c r="BV244" s="89">
        <v>15876</v>
      </c>
      <c r="BW244" s="89">
        <v>6458.4</v>
      </c>
      <c r="BX244" s="89">
        <v>43412</v>
      </c>
      <c r="BY244" s="89">
        <v>9417.6</v>
      </c>
      <c r="BZ244" s="112">
        <v>59.319727891156461</v>
      </c>
      <c r="CK244" s="88">
        <v>0</v>
      </c>
    </row>
    <row r="245" spans="1:89" x14ac:dyDescent="0.15">
      <c r="A245" s="84">
        <v>2</v>
      </c>
      <c r="B245" s="85">
        <v>43446</v>
      </c>
      <c r="C245" s="85">
        <v>43455</v>
      </c>
      <c r="D245" s="85" t="s">
        <v>374</v>
      </c>
      <c r="F245" s="85">
        <v>43462</v>
      </c>
      <c r="G245" s="85">
        <v>43455</v>
      </c>
      <c r="H245" s="85">
        <v>43458</v>
      </c>
      <c r="I245" s="84" t="s">
        <v>776</v>
      </c>
      <c r="J245" s="84">
        <v>1</v>
      </c>
      <c r="L245" s="84">
        <v>0</v>
      </c>
      <c r="M245" s="85">
        <v>43412</v>
      </c>
      <c r="N245" s="85" t="s">
        <v>265</v>
      </c>
      <c r="O245" s="86" t="s">
        <v>340</v>
      </c>
      <c r="P245" s="84" t="s">
        <v>26</v>
      </c>
      <c r="Q245" s="86" t="s">
        <v>122</v>
      </c>
      <c r="R245" s="86" t="s">
        <v>1214</v>
      </c>
      <c r="S245" s="87" t="s">
        <v>1215</v>
      </c>
      <c r="T245" s="87" t="s">
        <v>1216</v>
      </c>
      <c r="U245" s="88">
        <v>23900</v>
      </c>
      <c r="V245" s="88">
        <v>25812</v>
      </c>
      <c r="W245" s="88">
        <v>14700</v>
      </c>
      <c r="X245" s="88">
        <v>15876</v>
      </c>
      <c r="Y245" s="88">
        <v>9200</v>
      </c>
      <c r="Z245" s="88">
        <v>9936</v>
      </c>
      <c r="AA245" s="85">
        <v>43452</v>
      </c>
      <c r="AB245" s="85">
        <v>43455</v>
      </c>
      <c r="AC245" s="85">
        <v>43455</v>
      </c>
      <c r="AD245" s="84">
        <v>0</v>
      </c>
      <c r="AG245" s="84">
        <v>0</v>
      </c>
      <c r="AJ245" s="84">
        <v>0</v>
      </c>
      <c r="AM245" s="84" t="s">
        <v>290</v>
      </c>
      <c r="AN245" s="84" t="s">
        <v>1217</v>
      </c>
      <c r="AR245" s="85">
        <v>43444</v>
      </c>
      <c r="AS245" s="84">
        <v>6001628357</v>
      </c>
      <c r="AT245" s="85">
        <v>43444</v>
      </c>
      <c r="AU245" s="84" t="s">
        <v>1201</v>
      </c>
      <c r="AV245" s="85">
        <v>43455</v>
      </c>
      <c r="AW245" s="123">
        <v>43465</v>
      </c>
      <c r="AX245" s="123">
        <v>43485</v>
      </c>
      <c r="AY245" s="132">
        <v>22944</v>
      </c>
      <c r="AZ245" s="132">
        <f>ROUNDDOWN(AY245+(AY245*MASTER!$A$2/100),0)</f>
        <v>24779</v>
      </c>
      <c r="BA245" s="84" t="s">
        <v>778</v>
      </c>
      <c r="BC245" s="88">
        <v>0</v>
      </c>
      <c r="BG245" s="88">
        <v>0</v>
      </c>
      <c r="BI245" s="84" t="s">
        <v>276</v>
      </c>
      <c r="BJ245" s="88">
        <v>5980</v>
      </c>
      <c r="BK245" s="88">
        <v>6458.4</v>
      </c>
      <c r="BL245" s="84" t="s">
        <v>1421</v>
      </c>
      <c r="BS245" s="88">
        <v>0</v>
      </c>
      <c r="BV245" s="89">
        <v>15876</v>
      </c>
      <c r="BW245" s="89">
        <v>6458.4</v>
      </c>
      <c r="BX245" s="89">
        <v>43412</v>
      </c>
      <c r="BY245" s="89">
        <v>9417.6</v>
      </c>
      <c r="BZ245" s="112">
        <v>59.319727891156461</v>
      </c>
      <c r="CK245" s="88">
        <v>0</v>
      </c>
    </row>
    <row r="246" spans="1:89" x14ac:dyDescent="0.15">
      <c r="A246" s="84">
        <v>2</v>
      </c>
      <c r="B246" s="85">
        <v>43446</v>
      </c>
      <c r="C246" s="85">
        <v>43455</v>
      </c>
      <c r="D246" s="85">
        <v>43470</v>
      </c>
      <c r="F246" s="85">
        <v>43462</v>
      </c>
      <c r="G246" s="85">
        <v>43455</v>
      </c>
      <c r="H246" s="85">
        <v>43458</v>
      </c>
      <c r="I246" s="84" t="s">
        <v>776</v>
      </c>
      <c r="J246" s="84">
        <v>1</v>
      </c>
      <c r="L246" s="84">
        <v>0</v>
      </c>
      <c r="M246" s="85">
        <v>43412</v>
      </c>
      <c r="N246" s="85" t="s">
        <v>265</v>
      </c>
      <c r="O246" s="86" t="s">
        <v>340</v>
      </c>
      <c r="P246" s="84" t="s">
        <v>26</v>
      </c>
      <c r="Q246" s="86" t="s">
        <v>122</v>
      </c>
      <c r="R246" s="86" t="s">
        <v>1185</v>
      </c>
      <c r="S246" s="87" t="s">
        <v>1199</v>
      </c>
      <c r="T246" s="87" t="s">
        <v>1186</v>
      </c>
      <c r="U246" s="88">
        <v>1334200</v>
      </c>
      <c r="V246" s="88">
        <v>1440936</v>
      </c>
      <c r="W246" s="88">
        <v>1325000</v>
      </c>
      <c r="X246" s="88">
        <v>1431000</v>
      </c>
      <c r="Y246" s="88">
        <v>9200</v>
      </c>
      <c r="Z246" s="88">
        <v>9936</v>
      </c>
      <c r="AA246" s="85">
        <v>43451</v>
      </c>
      <c r="AB246" s="85">
        <v>43455</v>
      </c>
      <c r="AC246" s="85">
        <v>43455</v>
      </c>
      <c r="AD246" s="84">
        <v>0</v>
      </c>
      <c r="AG246" s="84">
        <v>0</v>
      </c>
      <c r="AJ246" s="84">
        <v>0</v>
      </c>
      <c r="AM246" s="84" t="s">
        <v>290</v>
      </c>
      <c r="AN246" s="84" t="s">
        <v>1187</v>
      </c>
      <c r="AR246" s="85">
        <v>43444</v>
      </c>
      <c r="AS246" s="84">
        <v>6001628357</v>
      </c>
      <c r="AT246" s="85">
        <v>43444</v>
      </c>
      <c r="AU246" s="84" t="s">
        <v>1201</v>
      </c>
      <c r="AV246" s="85">
        <v>43455</v>
      </c>
      <c r="AW246" s="123">
        <v>43465</v>
      </c>
      <c r="AX246" s="123">
        <v>43485</v>
      </c>
      <c r="AY246" s="132">
        <v>1280832</v>
      </c>
      <c r="AZ246" s="132">
        <f>ROUNDDOWN(AY246+(AY246*MASTER!$A$2/100),0)</f>
        <v>1383298</v>
      </c>
      <c r="BA246" s="84" t="s">
        <v>287</v>
      </c>
      <c r="BB246" s="88">
        <v>333600</v>
      </c>
      <c r="BC246" s="88">
        <v>360288</v>
      </c>
      <c r="BD246" s="84" t="s">
        <v>190</v>
      </c>
      <c r="BG246" s="88">
        <v>0</v>
      </c>
      <c r="BK246" s="88">
        <v>0</v>
      </c>
      <c r="BS246" s="88">
        <v>0</v>
      </c>
      <c r="BV246" s="89">
        <v>1431000</v>
      </c>
      <c r="BW246" s="89">
        <v>360288</v>
      </c>
      <c r="BX246" s="89">
        <v>43412</v>
      </c>
      <c r="BY246" s="89">
        <v>1070712</v>
      </c>
      <c r="BZ246" s="112">
        <v>74.822641509433964</v>
      </c>
      <c r="CK246" s="88">
        <v>31500</v>
      </c>
    </row>
    <row r="247" spans="1:89" x14ac:dyDescent="0.15">
      <c r="A247" s="84">
        <v>1</v>
      </c>
      <c r="B247" s="85">
        <v>43432</v>
      </c>
      <c r="C247" s="85">
        <v>43437</v>
      </c>
      <c r="F247" s="85" t="s">
        <v>338</v>
      </c>
      <c r="H247" s="85" t="s">
        <v>338</v>
      </c>
      <c r="J247" s="84">
        <v>2</v>
      </c>
      <c r="L247" s="84">
        <v>0</v>
      </c>
      <c r="M247" s="85">
        <v>43412</v>
      </c>
      <c r="N247" s="85" t="s">
        <v>265</v>
      </c>
      <c r="O247" s="86" t="s">
        <v>340</v>
      </c>
      <c r="P247" s="84" t="s">
        <v>26</v>
      </c>
      <c r="Q247" s="86" t="s">
        <v>122</v>
      </c>
      <c r="R247" s="86" t="s">
        <v>815</v>
      </c>
      <c r="S247" s="87" t="s">
        <v>351</v>
      </c>
      <c r="T247" s="87" t="s">
        <v>379</v>
      </c>
      <c r="U247" s="88">
        <v>50000</v>
      </c>
      <c r="V247" s="88">
        <v>54000</v>
      </c>
      <c r="W247" s="88">
        <v>50000</v>
      </c>
      <c r="X247" s="88">
        <v>54000</v>
      </c>
      <c r="Z247" s="88">
        <v>0</v>
      </c>
      <c r="AA247" s="85" t="s">
        <v>189</v>
      </c>
      <c r="AD247" s="84">
        <v>0</v>
      </c>
      <c r="AG247" s="84">
        <v>0</v>
      </c>
      <c r="AJ247" s="84">
        <v>0</v>
      </c>
      <c r="AR247" s="85">
        <v>43430</v>
      </c>
      <c r="AS247" s="84">
        <v>6001623400</v>
      </c>
      <c r="AT247" s="85">
        <v>43430</v>
      </c>
      <c r="AU247" s="84" t="s">
        <v>979</v>
      </c>
      <c r="AV247" s="85">
        <v>43437</v>
      </c>
      <c r="AW247" s="123">
        <v>43465</v>
      </c>
      <c r="AX247" s="123">
        <v>43485</v>
      </c>
      <c r="AY247" s="132">
        <v>48000</v>
      </c>
      <c r="AZ247" s="132">
        <f>ROUNDDOWN(AY247+(AY247*MASTER!$A$2/100),0)</f>
        <v>51840</v>
      </c>
      <c r="BC247" s="88">
        <v>0</v>
      </c>
      <c r="BG247" s="88">
        <v>0</v>
      </c>
      <c r="BK247" s="88">
        <v>0</v>
      </c>
      <c r="BS247" s="88">
        <v>0</v>
      </c>
      <c r="BV247" s="89">
        <v>54000</v>
      </c>
      <c r="BW247" s="89">
        <v>0</v>
      </c>
      <c r="BX247" s="89">
        <v>43412</v>
      </c>
      <c r="BY247" s="89">
        <v>54000</v>
      </c>
      <c r="BZ247" s="112">
        <v>100</v>
      </c>
    </row>
    <row r="248" spans="1:89" s="151" customFormat="1" x14ac:dyDescent="0.15">
      <c r="A248" s="141">
        <v>3</v>
      </c>
      <c r="B248" s="142"/>
      <c r="C248" s="142" t="s">
        <v>338</v>
      </c>
      <c r="D248" s="142"/>
      <c r="E248" s="142"/>
      <c r="F248" s="142" t="s">
        <v>338</v>
      </c>
      <c r="G248" s="142"/>
      <c r="H248" s="142" t="s">
        <v>338</v>
      </c>
      <c r="I248" s="141"/>
      <c r="J248" s="141">
        <v>1</v>
      </c>
      <c r="K248" s="142">
        <v>43416</v>
      </c>
      <c r="L248" s="141" t="s">
        <v>818</v>
      </c>
      <c r="M248" s="142">
        <v>43413</v>
      </c>
      <c r="N248" s="142" t="s">
        <v>265</v>
      </c>
      <c r="O248" s="143" t="s">
        <v>340</v>
      </c>
      <c r="P248" s="141" t="s">
        <v>26</v>
      </c>
      <c r="Q248" s="143" t="s">
        <v>122</v>
      </c>
      <c r="R248" s="143" t="s">
        <v>1543</v>
      </c>
      <c r="S248" s="144" t="s">
        <v>740</v>
      </c>
      <c r="T248" s="144" t="s">
        <v>801</v>
      </c>
      <c r="U248" s="145">
        <v>64000</v>
      </c>
      <c r="V248" s="145">
        <v>69120</v>
      </c>
      <c r="W248" s="145">
        <v>50000</v>
      </c>
      <c r="X248" s="145">
        <v>54000</v>
      </c>
      <c r="Y248" s="145">
        <v>14000</v>
      </c>
      <c r="Z248" s="145">
        <v>15120</v>
      </c>
      <c r="AA248" s="142"/>
      <c r="AB248" s="142"/>
      <c r="AC248" s="142"/>
      <c r="AD248" s="141">
        <v>0</v>
      </c>
      <c r="AE248" s="141"/>
      <c r="AF248" s="141"/>
      <c r="AG248" s="141">
        <v>0</v>
      </c>
      <c r="AH248" s="141"/>
      <c r="AI248" s="141"/>
      <c r="AJ248" s="141">
        <v>0</v>
      </c>
      <c r="AK248" s="141"/>
      <c r="AL248" s="141"/>
      <c r="AM248" s="141"/>
      <c r="AN248" s="141" t="s">
        <v>338</v>
      </c>
      <c r="AO248" s="142"/>
      <c r="AP248" s="141"/>
      <c r="AQ248" s="141"/>
      <c r="AR248" s="142"/>
      <c r="AS248" s="141"/>
      <c r="AT248" s="142"/>
      <c r="AU248" s="141"/>
      <c r="AV248" s="142"/>
      <c r="AW248" s="146"/>
      <c r="AX248" s="146"/>
      <c r="AY248" s="147">
        <v>61440</v>
      </c>
      <c r="AZ248" s="132">
        <f>ROUNDDOWN(AY248+(AY248*MASTER!$A$2/100),0)</f>
        <v>66355</v>
      </c>
      <c r="BA248" s="141"/>
      <c r="BB248" s="145"/>
      <c r="BC248" s="145">
        <v>0</v>
      </c>
      <c r="BD248" s="141"/>
      <c r="BE248" s="141"/>
      <c r="BF248" s="145"/>
      <c r="BG248" s="145">
        <v>0</v>
      </c>
      <c r="BH248" s="141"/>
      <c r="BI248" s="141"/>
      <c r="BJ248" s="145"/>
      <c r="BK248" s="145">
        <v>0</v>
      </c>
      <c r="BL248" s="141"/>
      <c r="BM248" s="145"/>
      <c r="BN248" s="145"/>
      <c r="BO248" s="145"/>
      <c r="BP248" s="145"/>
      <c r="BQ248" s="145"/>
      <c r="BR248" s="145"/>
      <c r="BS248" s="145">
        <v>0</v>
      </c>
      <c r="BT248" s="148"/>
      <c r="BU248" s="148"/>
      <c r="BV248" s="149">
        <v>54000</v>
      </c>
      <c r="BW248" s="149">
        <v>0</v>
      </c>
      <c r="BX248" s="149">
        <v>0</v>
      </c>
      <c r="BY248" s="149">
        <v>43416</v>
      </c>
      <c r="BZ248" s="150">
        <v>100</v>
      </c>
      <c r="CA248" s="141"/>
      <c r="CB248" s="141"/>
      <c r="CC248" s="141"/>
      <c r="CD248" s="144" t="s">
        <v>1544</v>
      </c>
      <c r="CE248" s="142"/>
      <c r="CF248" s="142"/>
      <c r="CG248" s="142"/>
      <c r="CH248" s="142"/>
      <c r="CI248" s="142"/>
      <c r="CJ248" s="142"/>
      <c r="CK248" s="145">
        <v>0</v>
      </c>
    </row>
    <row r="249" spans="1:89" s="151" customFormat="1" x14ac:dyDescent="0.15">
      <c r="A249" s="141">
        <v>3</v>
      </c>
      <c r="B249" s="142"/>
      <c r="C249" s="142" t="s">
        <v>338</v>
      </c>
      <c r="D249" s="142"/>
      <c r="E249" s="142"/>
      <c r="F249" s="142" t="s">
        <v>338</v>
      </c>
      <c r="G249" s="142"/>
      <c r="H249" s="142" t="s">
        <v>338</v>
      </c>
      <c r="I249" s="141"/>
      <c r="J249" s="141">
        <v>2</v>
      </c>
      <c r="K249" s="142"/>
      <c r="L249" s="141">
        <v>0</v>
      </c>
      <c r="M249" s="142">
        <v>43413</v>
      </c>
      <c r="N249" s="142" t="s">
        <v>265</v>
      </c>
      <c r="O249" s="143" t="s">
        <v>340</v>
      </c>
      <c r="P249" s="141" t="s">
        <v>26</v>
      </c>
      <c r="Q249" s="143" t="s">
        <v>122</v>
      </c>
      <c r="R249" s="143" t="s">
        <v>868</v>
      </c>
      <c r="S249" s="144" t="s">
        <v>853</v>
      </c>
      <c r="T249" s="144" t="s">
        <v>869</v>
      </c>
      <c r="U249" s="145">
        <v>1405900</v>
      </c>
      <c r="V249" s="145">
        <v>1518372</v>
      </c>
      <c r="W249" s="145">
        <v>1405900</v>
      </c>
      <c r="X249" s="145">
        <v>1518372</v>
      </c>
      <c r="Y249" s="145"/>
      <c r="Z249" s="145">
        <v>0</v>
      </c>
      <c r="AA249" s="142">
        <v>43458</v>
      </c>
      <c r="AB249" s="142">
        <v>43460</v>
      </c>
      <c r="AC249" s="142"/>
      <c r="AD249" s="141">
        <v>0</v>
      </c>
      <c r="AE249" s="141"/>
      <c r="AF249" s="141"/>
      <c r="AG249" s="141">
        <v>0</v>
      </c>
      <c r="AH249" s="141"/>
      <c r="AI249" s="141"/>
      <c r="AJ249" s="141">
        <v>0</v>
      </c>
      <c r="AK249" s="141"/>
      <c r="AL249" s="141"/>
      <c r="AM249" s="141" t="s">
        <v>290</v>
      </c>
      <c r="AN249" s="141" t="s">
        <v>870</v>
      </c>
      <c r="AO249" s="142"/>
      <c r="AP249" s="141"/>
      <c r="AQ249" s="141"/>
      <c r="AR249" s="142"/>
      <c r="AS249" s="141"/>
      <c r="AT249" s="142"/>
      <c r="AU249" s="141"/>
      <c r="AV249" s="142"/>
      <c r="AW249" s="146"/>
      <c r="AX249" s="146"/>
      <c r="AY249" s="147">
        <v>1349664</v>
      </c>
      <c r="AZ249" s="132">
        <f>ROUNDDOWN(AY249+(AY249*MASTER!$A$2/100),0)</f>
        <v>1457637</v>
      </c>
      <c r="BA249" s="141"/>
      <c r="BB249" s="145"/>
      <c r="BC249" s="145">
        <v>0</v>
      </c>
      <c r="BD249" s="141"/>
      <c r="BE249" s="141"/>
      <c r="BF249" s="145"/>
      <c r="BG249" s="145">
        <v>0</v>
      </c>
      <c r="BH249" s="141"/>
      <c r="BI249" s="141"/>
      <c r="BJ249" s="145"/>
      <c r="BK249" s="145">
        <v>0</v>
      </c>
      <c r="BL249" s="141"/>
      <c r="BM249" s="145"/>
      <c r="BN249" s="145"/>
      <c r="BO249" s="145"/>
      <c r="BP249" s="145"/>
      <c r="BQ249" s="145"/>
      <c r="BR249" s="145"/>
      <c r="BS249" s="145">
        <v>0</v>
      </c>
      <c r="BT249" s="148"/>
      <c r="BU249" s="148"/>
      <c r="BV249" s="149">
        <v>1518372</v>
      </c>
      <c r="BW249" s="149">
        <v>0</v>
      </c>
      <c r="BX249" s="149">
        <v>43413</v>
      </c>
      <c r="BY249" s="149">
        <v>1518372</v>
      </c>
      <c r="BZ249" s="150">
        <v>100</v>
      </c>
      <c r="CA249" s="141"/>
      <c r="CB249" s="141"/>
      <c r="CC249" s="141"/>
      <c r="CD249" s="144" t="s">
        <v>871</v>
      </c>
      <c r="CE249" s="142"/>
      <c r="CF249" s="142"/>
      <c r="CG249" s="142"/>
      <c r="CH249" s="142"/>
      <c r="CI249" s="142"/>
      <c r="CJ249" s="142"/>
      <c r="CK249" s="145">
        <v>31500</v>
      </c>
    </row>
    <row r="250" spans="1:89" x14ac:dyDescent="0.15">
      <c r="A250" s="84">
        <v>2</v>
      </c>
      <c r="B250" s="85">
        <v>43441</v>
      </c>
      <c r="C250" s="85">
        <v>43453</v>
      </c>
      <c r="F250" s="85">
        <v>43460</v>
      </c>
      <c r="G250" s="85">
        <v>43454</v>
      </c>
      <c r="H250" s="85">
        <v>43456</v>
      </c>
      <c r="I250" s="84" t="s">
        <v>401</v>
      </c>
      <c r="J250" s="84">
        <v>1</v>
      </c>
      <c r="L250" s="84">
        <v>0</v>
      </c>
      <c r="M250" s="85">
        <v>43413</v>
      </c>
      <c r="N250" s="85" t="s">
        <v>265</v>
      </c>
      <c r="O250" s="86" t="s">
        <v>340</v>
      </c>
      <c r="P250" s="84" t="s">
        <v>26</v>
      </c>
      <c r="Q250" s="86" t="s">
        <v>122</v>
      </c>
      <c r="R250" s="86" t="s">
        <v>1092</v>
      </c>
      <c r="S250" s="87" t="s">
        <v>1093</v>
      </c>
      <c r="T250" s="87" t="s">
        <v>721</v>
      </c>
      <c r="U250" s="88">
        <v>23900</v>
      </c>
      <c r="V250" s="88">
        <v>25812</v>
      </c>
      <c r="W250" s="88">
        <v>14700</v>
      </c>
      <c r="X250" s="88">
        <v>15876</v>
      </c>
      <c r="Y250" s="88">
        <v>9200</v>
      </c>
      <c r="Z250" s="88">
        <v>9936</v>
      </c>
      <c r="AA250" s="85">
        <v>43452</v>
      </c>
      <c r="AB250" s="85">
        <v>43453</v>
      </c>
      <c r="AC250" s="85">
        <v>43453</v>
      </c>
      <c r="AD250" s="84">
        <v>0</v>
      </c>
      <c r="AG250" s="84">
        <v>0</v>
      </c>
      <c r="AJ250" s="84">
        <v>0</v>
      </c>
      <c r="AM250" s="84" t="s">
        <v>290</v>
      </c>
      <c r="AN250" s="84" t="s">
        <v>1094</v>
      </c>
      <c r="AR250" s="85">
        <v>43425</v>
      </c>
      <c r="AS250" s="84">
        <v>6001622000</v>
      </c>
      <c r="AT250" s="85">
        <v>43425</v>
      </c>
      <c r="AU250" s="84" t="s">
        <v>950</v>
      </c>
      <c r="AV250" s="85">
        <v>43453</v>
      </c>
      <c r="AW250" s="123">
        <v>43465</v>
      </c>
      <c r="AX250" s="123">
        <v>43485</v>
      </c>
      <c r="AY250" s="132">
        <v>22944</v>
      </c>
      <c r="AZ250" s="132">
        <f>ROUNDDOWN(AY250+(AY250*MASTER!$A$2/100),0)</f>
        <v>24779</v>
      </c>
      <c r="BA250" s="84" t="s">
        <v>778</v>
      </c>
      <c r="BC250" s="88">
        <v>0</v>
      </c>
      <c r="BG250" s="88">
        <v>0</v>
      </c>
      <c r="BI250" s="84" t="s">
        <v>276</v>
      </c>
      <c r="BJ250" s="88">
        <v>3250</v>
      </c>
      <c r="BK250" s="88">
        <v>3510</v>
      </c>
      <c r="BL250" s="84" t="s">
        <v>863</v>
      </c>
      <c r="BS250" s="88">
        <v>0</v>
      </c>
      <c r="BV250" s="89">
        <v>15876</v>
      </c>
      <c r="BW250" s="89">
        <v>3510</v>
      </c>
      <c r="BX250" s="89">
        <v>43413</v>
      </c>
      <c r="BY250" s="89">
        <v>12366</v>
      </c>
      <c r="BZ250" s="112">
        <v>77.89115646258503</v>
      </c>
      <c r="CK250" s="88">
        <v>0</v>
      </c>
    </row>
    <row r="251" spans="1:89" x14ac:dyDescent="0.15">
      <c r="A251" s="84">
        <v>1</v>
      </c>
      <c r="B251" s="85">
        <v>43420</v>
      </c>
      <c r="C251" s="85">
        <v>43426</v>
      </c>
      <c r="F251" s="85" t="s">
        <v>338</v>
      </c>
      <c r="H251" s="85" t="s">
        <v>338</v>
      </c>
      <c r="J251" s="84">
        <v>3</v>
      </c>
      <c r="L251" s="84">
        <v>0</v>
      </c>
      <c r="M251" s="85">
        <v>43416</v>
      </c>
      <c r="N251" s="85" t="s">
        <v>265</v>
      </c>
      <c r="O251" s="86" t="s">
        <v>340</v>
      </c>
      <c r="P251" s="84" t="s">
        <v>26</v>
      </c>
      <c r="Q251" s="86" t="s">
        <v>122</v>
      </c>
      <c r="R251" s="86" t="s">
        <v>835</v>
      </c>
      <c r="S251" s="87" t="s">
        <v>562</v>
      </c>
      <c r="T251" s="87" t="s">
        <v>836</v>
      </c>
      <c r="U251" s="88">
        <v>35000</v>
      </c>
      <c r="V251" s="88">
        <v>37800</v>
      </c>
      <c r="X251" s="88">
        <v>0</v>
      </c>
      <c r="Y251" s="88">
        <v>35000</v>
      </c>
      <c r="Z251" s="88">
        <v>37800</v>
      </c>
      <c r="AD251" s="84">
        <v>0</v>
      </c>
      <c r="AG251" s="84">
        <v>0</v>
      </c>
      <c r="AJ251" s="84">
        <v>0</v>
      </c>
      <c r="AN251" s="84" t="s">
        <v>338</v>
      </c>
      <c r="AR251" s="85">
        <v>43418</v>
      </c>
      <c r="AS251" s="84">
        <v>6001619467</v>
      </c>
      <c r="AT251" s="85">
        <v>43418</v>
      </c>
      <c r="AU251" s="84" t="s">
        <v>880</v>
      </c>
      <c r="AV251" s="85">
        <v>43426</v>
      </c>
      <c r="AW251" s="123">
        <v>43434</v>
      </c>
      <c r="AX251" s="123">
        <v>43454</v>
      </c>
      <c r="AY251" s="132">
        <v>33600</v>
      </c>
      <c r="AZ251" s="132">
        <f>ROUNDDOWN(AY251+(AY251*MASTER!$A$2/100),0)</f>
        <v>36288</v>
      </c>
      <c r="BC251" s="88">
        <v>0</v>
      </c>
      <c r="BG251" s="88">
        <v>0</v>
      </c>
      <c r="BI251" s="84" t="s">
        <v>276</v>
      </c>
      <c r="BJ251" s="88">
        <v>22750</v>
      </c>
      <c r="BK251" s="88">
        <v>24570</v>
      </c>
      <c r="BL251" s="84" t="s">
        <v>677</v>
      </c>
      <c r="BS251" s="88">
        <v>0</v>
      </c>
      <c r="BV251" s="89">
        <v>0</v>
      </c>
      <c r="BW251" s="89">
        <v>24570</v>
      </c>
      <c r="BX251" s="89">
        <v>43416</v>
      </c>
      <c r="BY251" s="89">
        <v>-24570</v>
      </c>
      <c r="BZ251" s="112" t="s">
        <v>338</v>
      </c>
    </row>
    <row r="252" spans="1:89" x14ac:dyDescent="0.15">
      <c r="A252" s="84">
        <v>1</v>
      </c>
      <c r="B252" s="85">
        <v>43438</v>
      </c>
      <c r="C252" s="85">
        <v>43441</v>
      </c>
      <c r="F252" s="85" t="s">
        <v>338</v>
      </c>
      <c r="H252" s="85" t="s">
        <v>338</v>
      </c>
      <c r="J252" s="84">
        <v>2</v>
      </c>
      <c r="L252" s="84">
        <v>0</v>
      </c>
      <c r="M252" s="85">
        <v>43416</v>
      </c>
      <c r="N252" s="85" t="s">
        <v>265</v>
      </c>
      <c r="O252" s="86" t="s">
        <v>340</v>
      </c>
      <c r="P252" s="84" t="s">
        <v>78</v>
      </c>
      <c r="Q252" s="86" t="s">
        <v>122</v>
      </c>
      <c r="R252" s="86" t="s">
        <v>859</v>
      </c>
      <c r="S252" s="87" t="s">
        <v>407</v>
      </c>
      <c r="T252" s="87" t="s">
        <v>408</v>
      </c>
      <c r="U252" s="88">
        <v>8300</v>
      </c>
      <c r="V252" s="88">
        <v>8964</v>
      </c>
      <c r="W252" s="88">
        <v>8300</v>
      </c>
      <c r="X252" s="88">
        <v>8964</v>
      </c>
      <c r="Z252" s="88">
        <v>0</v>
      </c>
      <c r="AD252" s="84">
        <v>0</v>
      </c>
      <c r="AG252" s="84">
        <v>0</v>
      </c>
      <c r="AJ252" s="84">
        <v>0</v>
      </c>
      <c r="AR252" s="85">
        <v>43416</v>
      </c>
      <c r="AS252" s="84">
        <v>6001618644</v>
      </c>
      <c r="AT252" s="85">
        <v>43417</v>
      </c>
      <c r="AU252" s="84" t="s">
        <v>1136</v>
      </c>
      <c r="AV252" s="85">
        <v>43441</v>
      </c>
      <c r="AW252" s="123">
        <v>43465</v>
      </c>
      <c r="AX252" s="123">
        <v>43485</v>
      </c>
      <c r="AY252" s="132">
        <v>7968</v>
      </c>
      <c r="AZ252" s="132">
        <f>ROUNDDOWN(AY252+(AY252*MASTER!$A$2/100),0)</f>
        <v>8605</v>
      </c>
      <c r="BC252" s="88">
        <v>0</v>
      </c>
      <c r="BG252" s="88">
        <v>0</v>
      </c>
      <c r="BK252" s="88">
        <v>0</v>
      </c>
      <c r="BS252" s="88">
        <v>0</v>
      </c>
      <c r="BV252" s="89">
        <v>8964</v>
      </c>
      <c r="BW252" s="89">
        <v>0</v>
      </c>
      <c r="BX252" s="89">
        <v>43416</v>
      </c>
      <c r="BY252" s="89">
        <v>8964</v>
      </c>
      <c r="BZ252" s="112">
        <v>100</v>
      </c>
      <c r="CK252" s="88">
        <v>0</v>
      </c>
    </row>
    <row r="253" spans="1:89" x14ac:dyDescent="0.15">
      <c r="A253" s="84">
        <v>1</v>
      </c>
      <c r="B253" s="85">
        <v>43438</v>
      </c>
      <c r="C253" s="85">
        <v>43441</v>
      </c>
      <c r="F253" s="85" t="s">
        <v>338</v>
      </c>
      <c r="H253" s="85" t="s">
        <v>338</v>
      </c>
      <c r="J253" s="84">
        <v>2</v>
      </c>
      <c r="L253" s="84">
        <v>0</v>
      </c>
      <c r="M253" s="85">
        <v>43416</v>
      </c>
      <c r="N253" s="85" t="s">
        <v>265</v>
      </c>
      <c r="O253" s="86" t="s">
        <v>340</v>
      </c>
      <c r="P253" s="84" t="s">
        <v>78</v>
      </c>
      <c r="Q253" s="86" t="s">
        <v>122</v>
      </c>
      <c r="R253" s="86" t="s">
        <v>837</v>
      </c>
      <c r="S253" s="87" t="s">
        <v>407</v>
      </c>
      <c r="T253" s="87" t="s">
        <v>408</v>
      </c>
      <c r="U253" s="88">
        <v>8300</v>
      </c>
      <c r="V253" s="88">
        <v>8964</v>
      </c>
      <c r="W253" s="88">
        <v>8300</v>
      </c>
      <c r="X253" s="88">
        <v>8964</v>
      </c>
      <c r="Z253" s="88">
        <v>0</v>
      </c>
      <c r="AD253" s="84">
        <v>0</v>
      </c>
      <c r="AG253" s="84">
        <v>0</v>
      </c>
      <c r="AJ253" s="84">
        <v>0</v>
      </c>
      <c r="AR253" s="85">
        <v>43416</v>
      </c>
      <c r="AS253" s="84">
        <v>6001618644</v>
      </c>
      <c r="AT253" s="85">
        <v>43417</v>
      </c>
      <c r="AU253" s="84" t="s">
        <v>1136</v>
      </c>
      <c r="AV253" s="85">
        <v>43441</v>
      </c>
      <c r="AW253" s="123">
        <v>43465</v>
      </c>
      <c r="AX253" s="123">
        <v>43485</v>
      </c>
      <c r="AY253" s="132">
        <v>7968</v>
      </c>
      <c r="AZ253" s="132">
        <f>ROUNDDOWN(AY253+(AY253*MASTER!$A$2/100),0)</f>
        <v>8605</v>
      </c>
      <c r="BC253" s="88">
        <v>0</v>
      </c>
      <c r="BG253" s="88">
        <v>0</v>
      </c>
      <c r="BK253" s="88">
        <v>0</v>
      </c>
      <c r="BS253" s="88">
        <v>0</v>
      </c>
      <c r="BV253" s="89">
        <v>8964</v>
      </c>
      <c r="BW253" s="89">
        <v>0</v>
      </c>
      <c r="BX253" s="89">
        <v>43416</v>
      </c>
      <c r="BY253" s="89">
        <v>8964</v>
      </c>
      <c r="BZ253" s="112">
        <v>100</v>
      </c>
      <c r="CK253" s="88">
        <v>0</v>
      </c>
    </row>
    <row r="254" spans="1:89" x14ac:dyDescent="0.15">
      <c r="A254" s="84">
        <v>1</v>
      </c>
      <c r="B254" s="85">
        <v>43438</v>
      </c>
      <c r="C254" s="85">
        <v>43441</v>
      </c>
      <c r="F254" s="85" t="s">
        <v>338</v>
      </c>
      <c r="H254" s="85" t="s">
        <v>338</v>
      </c>
      <c r="J254" s="84">
        <v>2</v>
      </c>
      <c r="L254" s="84">
        <v>0</v>
      </c>
      <c r="M254" s="85">
        <v>43416</v>
      </c>
      <c r="N254" s="85" t="s">
        <v>265</v>
      </c>
      <c r="O254" s="86" t="s">
        <v>340</v>
      </c>
      <c r="P254" s="84" t="s">
        <v>78</v>
      </c>
      <c r="Q254" s="86" t="s">
        <v>122</v>
      </c>
      <c r="R254" s="86" t="s">
        <v>838</v>
      </c>
      <c r="S254" s="87" t="s">
        <v>407</v>
      </c>
      <c r="T254" s="87" t="s">
        <v>408</v>
      </c>
      <c r="U254" s="88">
        <v>8300</v>
      </c>
      <c r="V254" s="88">
        <v>8964</v>
      </c>
      <c r="W254" s="88">
        <v>8300</v>
      </c>
      <c r="X254" s="88">
        <v>8964</v>
      </c>
      <c r="Z254" s="88">
        <v>0</v>
      </c>
      <c r="AD254" s="84">
        <v>0</v>
      </c>
      <c r="AG254" s="84">
        <v>0</v>
      </c>
      <c r="AJ254" s="84">
        <v>0</v>
      </c>
      <c r="AR254" s="85">
        <v>43416</v>
      </c>
      <c r="AS254" s="84">
        <v>6001618644</v>
      </c>
      <c r="AT254" s="85">
        <v>43417</v>
      </c>
      <c r="AU254" s="84" t="s">
        <v>1136</v>
      </c>
      <c r="AV254" s="85">
        <v>43441</v>
      </c>
      <c r="AW254" s="123">
        <v>43465</v>
      </c>
      <c r="AX254" s="123">
        <v>43485</v>
      </c>
      <c r="AY254" s="132">
        <v>7968</v>
      </c>
      <c r="AZ254" s="132">
        <f>ROUNDDOWN(AY254+(AY254*MASTER!$A$2/100),0)</f>
        <v>8605</v>
      </c>
      <c r="BC254" s="88">
        <v>0</v>
      </c>
      <c r="BG254" s="88">
        <v>0</v>
      </c>
      <c r="BK254" s="88">
        <v>0</v>
      </c>
      <c r="BS254" s="88">
        <v>0</v>
      </c>
      <c r="BV254" s="89">
        <v>8964</v>
      </c>
      <c r="BW254" s="89">
        <v>0</v>
      </c>
      <c r="BX254" s="89">
        <v>43416</v>
      </c>
      <c r="BY254" s="89">
        <v>8964</v>
      </c>
      <c r="BZ254" s="112">
        <v>100</v>
      </c>
      <c r="CK254" s="88">
        <v>0</v>
      </c>
    </row>
    <row r="255" spans="1:89" x14ac:dyDescent="0.15">
      <c r="A255" s="84">
        <v>1</v>
      </c>
      <c r="B255" s="85">
        <v>43430</v>
      </c>
      <c r="C255" s="85">
        <v>43420</v>
      </c>
      <c r="F255" s="85" t="s">
        <v>338</v>
      </c>
      <c r="H255" s="85" t="s">
        <v>338</v>
      </c>
      <c r="J255" s="84">
        <v>2</v>
      </c>
      <c r="L255" s="84">
        <v>0</v>
      </c>
      <c r="M255" s="85">
        <v>43416</v>
      </c>
      <c r="N255" s="85" t="s">
        <v>265</v>
      </c>
      <c r="O255" s="86" t="s">
        <v>340</v>
      </c>
      <c r="P255" s="84" t="s">
        <v>272</v>
      </c>
      <c r="Q255" s="86" t="s">
        <v>122</v>
      </c>
      <c r="R255" s="86" t="s">
        <v>882</v>
      </c>
      <c r="S255" s="87" t="s">
        <v>883</v>
      </c>
      <c r="T255" s="87" t="s">
        <v>884</v>
      </c>
      <c r="U255" s="88">
        <v>7000</v>
      </c>
      <c r="V255" s="88">
        <v>7560</v>
      </c>
      <c r="W255" s="88">
        <v>7000</v>
      </c>
      <c r="X255" s="88">
        <v>7560</v>
      </c>
      <c r="Z255" s="88">
        <v>0</v>
      </c>
      <c r="AD255" s="84">
        <v>0</v>
      </c>
      <c r="AG255" s="84">
        <v>0</v>
      </c>
      <c r="AJ255" s="84">
        <v>0</v>
      </c>
      <c r="AR255" s="85">
        <v>43419</v>
      </c>
      <c r="AS255" s="84">
        <v>6001620047</v>
      </c>
      <c r="AT255" s="85">
        <v>43419</v>
      </c>
      <c r="AU255" s="84" t="s">
        <v>886</v>
      </c>
      <c r="AV255" s="85">
        <v>43420</v>
      </c>
      <c r="AW255" s="123">
        <v>43434</v>
      </c>
      <c r="AX255" s="123">
        <v>43454</v>
      </c>
      <c r="AY255" s="132">
        <v>6720</v>
      </c>
      <c r="AZ255" s="132">
        <f>ROUNDDOWN(AY255+(AY255*MASTER!$A$2/100),0)</f>
        <v>7257</v>
      </c>
      <c r="BC255" s="88">
        <v>0</v>
      </c>
      <c r="BG255" s="88">
        <v>0</v>
      </c>
      <c r="BK255" s="88">
        <v>0</v>
      </c>
      <c r="BS255" s="88">
        <v>0</v>
      </c>
      <c r="BV255" s="89">
        <v>7560</v>
      </c>
      <c r="BW255" s="89">
        <v>0</v>
      </c>
      <c r="BX255" s="89">
        <v>43416</v>
      </c>
      <c r="BY255" s="89">
        <v>7560</v>
      </c>
      <c r="BZ255" s="112">
        <v>100</v>
      </c>
      <c r="CK255" s="88">
        <v>0</v>
      </c>
    </row>
    <row r="256" spans="1:89" x14ac:dyDescent="0.15">
      <c r="A256" s="84">
        <v>1</v>
      </c>
      <c r="B256" s="85">
        <v>43437</v>
      </c>
      <c r="C256" s="85">
        <v>43459</v>
      </c>
      <c r="F256" s="85" t="s">
        <v>338</v>
      </c>
      <c r="H256" s="85" t="s">
        <v>338</v>
      </c>
      <c r="J256" s="84">
        <v>2</v>
      </c>
      <c r="L256" s="84">
        <v>0</v>
      </c>
      <c r="M256" s="85">
        <v>43416</v>
      </c>
      <c r="N256" s="85" t="s">
        <v>265</v>
      </c>
      <c r="O256" s="86" t="s">
        <v>340</v>
      </c>
      <c r="P256" s="84" t="s">
        <v>6</v>
      </c>
      <c r="Q256" s="86" t="s">
        <v>122</v>
      </c>
      <c r="R256" s="86" t="s">
        <v>841</v>
      </c>
      <c r="S256" s="87" t="s">
        <v>562</v>
      </c>
      <c r="T256" s="87" t="s">
        <v>846</v>
      </c>
      <c r="U256" s="88">
        <v>60250</v>
      </c>
      <c r="V256" s="88">
        <v>65070</v>
      </c>
      <c r="W256" s="88">
        <v>60250</v>
      </c>
      <c r="X256" s="88">
        <v>65070</v>
      </c>
      <c r="Z256" s="88">
        <v>0</v>
      </c>
      <c r="AD256" s="84">
        <v>0</v>
      </c>
      <c r="AG256" s="84">
        <v>0</v>
      </c>
      <c r="AJ256" s="84">
        <v>0</v>
      </c>
      <c r="AR256" s="85">
        <v>43419</v>
      </c>
      <c r="AS256" s="84">
        <v>6001619965</v>
      </c>
      <c r="AT256" s="85">
        <v>43420</v>
      </c>
      <c r="AU256" s="84" t="s">
        <v>892</v>
      </c>
      <c r="AV256" s="85">
        <v>43459</v>
      </c>
      <c r="AW256" s="123">
        <v>43465</v>
      </c>
      <c r="AX256" s="123">
        <v>43485</v>
      </c>
      <c r="AY256" s="132">
        <v>57840</v>
      </c>
      <c r="AZ256" s="132">
        <f>ROUNDDOWN(AY256+(AY256*MASTER!$A$2/100),0)</f>
        <v>62467</v>
      </c>
      <c r="BC256" s="88">
        <v>0</v>
      </c>
      <c r="BG256" s="88">
        <v>0</v>
      </c>
      <c r="BK256" s="88">
        <v>0</v>
      </c>
      <c r="BS256" s="88">
        <v>0</v>
      </c>
      <c r="BV256" s="89">
        <v>65070</v>
      </c>
      <c r="BW256" s="89">
        <v>0</v>
      </c>
      <c r="BX256" s="89">
        <v>43416</v>
      </c>
      <c r="BY256" s="89">
        <v>65070</v>
      </c>
      <c r="BZ256" s="112">
        <v>100</v>
      </c>
      <c r="CD256" s="87" t="s">
        <v>1122</v>
      </c>
    </row>
    <row r="257" spans="1:89" x14ac:dyDescent="0.15">
      <c r="A257" s="84">
        <v>1</v>
      </c>
      <c r="B257" s="85">
        <v>43437</v>
      </c>
      <c r="C257" s="85">
        <v>43459</v>
      </c>
      <c r="F257" s="85" t="s">
        <v>338</v>
      </c>
      <c r="H257" s="85" t="s">
        <v>338</v>
      </c>
      <c r="J257" s="84">
        <v>2</v>
      </c>
      <c r="L257" s="84">
        <v>0</v>
      </c>
      <c r="M257" s="85">
        <v>43416</v>
      </c>
      <c r="N257" s="85" t="s">
        <v>265</v>
      </c>
      <c r="O257" s="86" t="s">
        <v>340</v>
      </c>
      <c r="P257" s="84" t="s">
        <v>6</v>
      </c>
      <c r="Q257" s="86" t="s">
        <v>122</v>
      </c>
      <c r="R257" s="86" t="s">
        <v>842</v>
      </c>
      <c r="S257" s="87" t="s">
        <v>562</v>
      </c>
      <c r="T257" s="87" t="s">
        <v>847</v>
      </c>
      <c r="U257" s="88">
        <v>61000</v>
      </c>
      <c r="V257" s="88">
        <v>65880</v>
      </c>
      <c r="W257" s="88">
        <v>61000</v>
      </c>
      <c r="X257" s="88">
        <v>65880</v>
      </c>
      <c r="Z257" s="88">
        <v>0</v>
      </c>
      <c r="AD257" s="84">
        <v>0</v>
      </c>
      <c r="AG257" s="84">
        <v>0</v>
      </c>
      <c r="AJ257" s="84">
        <v>0</v>
      </c>
      <c r="AR257" s="85">
        <v>43419</v>
      </c>
      <c r="AS257" s="84">
        <v>6001619965</v>
      </c>
      <c r="AT257" s="85">
        <v>43420</v>
      </c>
      <c r="AU257" s="84" t="s">
        <v>892</v>
      </c>
      <c r="AV257" s="85">
        <v>43459</v>
      </c>
      <c r="AW257" s="123">
        <v>43465</v>
      </c>
      <c r="AX257" s="123">
        <v>43485</v>
      </c>
      <c r="AY257" s="132">
        <v>58560</v>
      </c>
      <c r="AZ257" s="132">
        <f>ROUNDDOWN(AY257+(AY257*MASTER!$A$2/100),0)</f>
        <v>63244</v>
      </c>
      <c r="BC257" s="88">
        <v>0</v>
      </c>
      <c r="BG257" s="88">
        <v>0</v>
      </c>
      <c r="BK257" s="88">
        <v>0</v>
      </c>
      <c r="BS257" s="88">
        <v>0</v>
      </c>
      <c r="BV257" s="89">
        <v>65880</v>
      </c>
      <c r="BW257" s="89">
        <v>0</v>
      </c>
      <c r="BX257" s="89">
        <v>43416</v>
      </c>
      <c r="BY257" s="89">
        <v>65880</v>
      </c>
      <c r="BZ257" s="112">
        <v>100</v>
      </c>
      <c r="CD257" s="87" t="s">
        <v>1122</v>
      </c>
    </row>
    <row r="258" spans="1:89" x14ac:dyDescent="0.15">
      <c r="A258" s="84">
        <v>1</v>
      </c>
      <c r="B258" s="85">
        <v>43438</v>
      </c>
      <c r="C258" s="85">
        <v>43441</v>
      </c>
      <c r="F258" s="85" t="s">
        <v>338</v>
      </c>
      <c r="H258" s="85" t="s">
        <v>338</v>
      </c>
      <c r="J258" s="84">
        <v>2</v>
      </c>
      <c r="L258" s="84">
        <v>0</v>
      </c>
      <c r="M258" s="85">
        <v>43417</v>
      </c>
      <c r="N258" s="85" t="s">
        <v>265</v>
      </c>
      <c r="O258" s="86" t="s">
        <v>340</v>
      </c>
      <c r="P258" s="84" t="s">
        <v>78</v>
      </c>
      <c r="Q258" s="86" t="s">
        <v>122</v>
      </c>
      <c r="R258" s="86" t="s">
        <v>858</v>
      </c>
      <c r="S258" s="87" t="s">
        <v>407</v>
      </c>
      <c r="T258" s="87" t="s">
        <v>408</v>
      </c>
      <c r="U258" s="88">
        <v>8300</v>
      </c>
      <c r="V258" s="88">
        <v>8964</v>
      </c>
      <c r="W258" s="88">
        <v>8300</v>
      </c>
      <c r="X258" s="88">
        <v>8964</v>
      </c>
      <c r="Z258" s="88">
        <v>0</v>
      </c>
      <c r="AD258" s="84">
        <v>0</v>
      </c>
      <c r="AG258" s="84">
        <v>0</v>
      </c>
      <c r="AJ258" s="84">
        <v>0</v>
      </c>
      <c r="AR258" s="85">
        <v>43417</v>
      </c>
      <c r="AS258" s="84">
        <v>6001619017</v>
      </c>
      <c r="AT258" s="85">
        <v>43417</v>
      </c>
      <c r="AU258" s="84" t="s">
        <v>1137</v>
      </c>
      <c r="AV258" s="85">
        <v>43441</v>
      </c>
      <c r="AW258" s="123">
        <v>43465</v>
      </c>
      <c r="AX258" s="123">
        <v>43485</v>
      </c>
      <c r="AY258" s="132">
        <v>7968</v>
      </c>
      <c r="AZ258" s="132">
        <f>ROUNDDOWN(AY258+(AY258*MASTER!$A$2/100),0)</f>
        <v>8605</v>
      </c>
      <c r="BC258" s="88">
        <v>0</v>
      </c>
      <c r="BG258" s="88">
        <v>0</v>
      </c>
      <c r="BK258" s="88">
        <v>0</v>
      </c>
      <c r="BS258" s="88">
        <v>0</v>
      </c>
      <c r="BV258" s="89">
        <v>8964</v>
      </c>
      <c r="BW258" s="89">
        <v>0</v>
      </c>
      <c r="BX258" s="89">
        <v>43417</v>
      </c>
      <c r="BY258" s="89">
        <v>8964</v>
      </c>
      <c r="BZ258" s="112">
        <v>100</v>
      </c>
      <c r="CK258" s="88">
        <v>0</v>
      </c>
    </row>
    <row r="259" spans="1:89" x14ac:dyDescent="0.15">
      <c r="A259" s="84">
        <v>2</v>
      </c>
      <c r="B259" s="85">
        <v>43430</v>
      </c>
      <c r="C259" s="85">
        <v>43426</v>
      </c>
      <c r="D259" s="85">
        <v>43424</v>
      </c>
      <c r="E259" s="85">
        <v>43424</v>
      </c>
      <c r="F259" s="85" t="s">
        <v>338</v>
      </c>
      <c r="G259" s="85">
        <v>43424</v>
      </c>
      <c r="H259" s="85" t="s">
        <v>338</v>
      </c>
      <c r="I259" s="84" t="s">
        <v>547</v>
      </c>
      <c r="J259" s="84">
        <v>2</v>
      </c>
      <c r="L259" s="84">
        <v>0</v>
      </c>
      <c r="M259" s="85">
        <v>43417</v>
      </c>
      <c r="N259" s="85" t="s">
        <v>265</v>
      </c>
      <c r="O259" s="86" t="s">
        <v>340</v>
      </c>
      <c r="P259" s="84" t="s">
        <v>6</v>
      </c>
      <c r="Q259" s="86" t="s">
        <v>122</v>
      </c>
      <c r="R259" s="86" t="s">
        <v>848</v>
      </c>
      <c r="S259" s="87" t="s">
        <v>849</v>
      </c>
      <c r="T259" s="87" t="s">
        <v>342</v>
      </c>
      <c r="U259" s="88">
        <v>35000</v>
      </c>
      <c r="V259" s="88">
        <v>37800</v>
      </c>
      <c r="W259" s="88">
        <v>35000</v>
      </c>
      <c r="X259" s="88">
        <v>37800</v>
      </c>
      <c r="Z259" s="88">
        <v>0</v>
      </c>
      <c r="AA259" s="85">
        <v>43419</v>
      </c>
      <c r="AB259" s="85">
        <v>43419</v>
      </c>
      <c r="AD259" s="84">
        <v>0</v>
      </c>
      <c r="AG259" s="84">
        <v>0</v>
      </c>
      <c r="AJ259" s="84">
        <v>0</v>
      </c>
      <c r="AN259" s="84" t="s">
        <v>338</v>
      </c>
      <c r="AR259" s="85">
        <v>43423</v>
      </c>
      <c r="AS259" s="84">
        <v>6001620861</v>
      </c>
      <c r="AT259" s="85">
        <v>43426</v>
      </c>
      <c r="AU259" s="84" t="s">
        <v>953</v>
      </c>
      <c r="AV259" s="85">
        <v>43426</v>
      </c>
      <c r="AW259" s="123">
        <v>43434</v>
      </c>
      <c r="AX259" s="123">
        <v>43454</v>
      </c>
      <c r="AY259" s="132">
        <v>33600</v>
      </c>
      <c r="AZ259" s="132">
        <f>ROUNDDOWN(AY259+(AY259*MASTER!$A$2/100),0)</f>
        <v>36288</v>
      </c>
      <c r="BA259" s="84" t="s">
        <v>985</v>
      </c>
      <c r="BB259" s="88">
        <v>30000</v>
      </c>
      <c r="BC259" s="88">
        <v>32400</v>
      </c>
      <c r="BD259" s="84" t="s">
        <v>677</v>
      </c>
      <c r="BG259" s="88">
        <v>0</v>
      </c>
      <c r="BK259" s="88">
        <v>0</v>
      </c>
      <c r="BS259" s="88">
        <v>0</v>
      </c>
      <c r="BV259" s="89">
        <v>37800</v>
      </c>
      <c r="BW259" s="89">
        <v>32400</v>
      </c>
      <c r="BX259" s="89">
        <v>43417</v>
      </c>
      <c r="BY259" s="89">
        <v>5400</v>
      </c>
      <c r="BZ259" s="112">
        <v>14.285714285714285</v>
      </c>
      <c r="CK259" s="88">
        <v>0</v>
      </c>
    </row>
    <row r="260" spans="1:89" s="151" customFormat="1" x14ac:dyDescent="0.15">
      <c r="A260" s="141">
        <v>3</v>
      </c>
      <c r="B260" s="142"/>
      <c r="C260" s="142" t="s">
        <v>338</v>
      </c>
      <c r="D260" s="142"/>
      <c r="E260" s="142"/>
      <c r="F260" s="142" t="s">
        <v>338</v>
      </c>
      <c r="G260" s="142"/>
      <c r="H260" s="142" t="s">
        <v>338</v>
      </c>
      <c r="I260" s="141"/>
      <c r="J260" s="141">
        <v>2</v>
      </c>
      <c r="K260" s="142"/>
      <c r="L260" s="141">
        <v>0</v>
      </c>
      <c r="M260" s="142">
        <v>43417</v>
      </c>
      <c r="N260" s="142" t="s">
        <v>265</v>
      </c>
      <c r="O260" s="143" t="s">
        <v>340</v>
      </c>
      <c r="P260" s="141" t="s">
        <v>272</v>
      </c>
      <c r="Q260" s="143" t="s">
        <v>122</v>
      </c>
      <c r="R260" s="143" t="s">
        <v>852</v>
      </c>
      <c r="S260" s="144" t="s">
        <v>853</v>
      </c>
      <c r="T260" s="144" t="s">
        <v>854</v>
      </c>
      <c r="U260" s="145">
        <v>3500</v>
      </c>
      <c r="V260" s="145">
        <v>3780</v>
      </c>
      <c r="W260" s="145">
        <v>3500</v>
      </c>
      <c r="X260" s="145">
        <v>3780</v>
      </c>
      <c r="Y260" s="145"/>
      <c r="Z260" s="145">
        <v>0</v>
      </c>
      <c r="AA260" s="142"/>
      <c r="AB260" s="142"/>
      <c r="AC260" s="142"/>
      <c r="AD260" s="141">
        <v>0</v>
      </c>
      <c r="AE260" s="141"/>
      <c r="AF260" s="141"/>
      <c r="AG260" s="141">
        <v>0</v>
      </c>
      <c r="AH260" s="141"/>
      <c r="AI260" s="141"/>
      <c r="AJ260" s="141">
        <v>0</v>
      </c>
      <c r="AK260" s="141"/>
      <c r="AL260" s="141"/>
      <c r="AM260" s="141"/>
      <c r="AN260" s="141"/>
      <c r="AO260" s="142"/>
      <c r="AP260" s="141"/>
      <c r="AQ260" s="141"/>
      <c r="AR260" s="142">
        <v>43419</v>
      </c>
      <c r="AS260" s="141">
        <v>6001620048</v>
      </c>
      <c r="AT260" s="142"/>
      <c r="AU260" s="141"/>
      <c r="AV260" s="142"/>
      <c r="AW260" s="146"/>
      <c r="AX260" s="146"/>
      <c r="AY260" s="147">
        <v>3360</v>
      </c>
      <c r="AZ260" s="132">
        <f>ROUNDDOWN(AY260+(AY260*MASTER!$A$2/100),0)</f>
        <v>3628</v>
      </c>
      <c r="BA260" s="141"/>
      <c r="BB260" s="145"/>
      <c r="BC260" s="145">
        <v>0</v>
      </c>
      <c r="BD260" s="141"/>
      <c r="BE260" s="141"/>
      <c r="BF260" s="145"/>
      <c r="BG260" s="145">
        <v>0</v>
      </c>
      <c r="BH260" s="141"/>
      <c r="BI260" s="141"/>
      <c r="BJ260" s="145"/>
      <c r="BK260" s="145">
        <v>0</v>
      </c>
      <c r="BL260" s="141"/>
      <c r="BM260" s="145"/>
      <c r="BN260" s="145"/>
      <c r="BO260" s="145"/>
      <c r="BP260" s="145"/>
      <c r="BQ260" s="145"/>
      <c r="BR260" s="145"/>
      <c r="BS260" s="145">
        <v>0</v>
      </c>
      <c r="BT260" s="148"/>
      <c r="BU260" s="148"/>
      <c r="BV260" s="149">
        <v>3780</v>
      </c>
      <c r="BW260" s="149">
        <v>0</v>
      </c>
      <c r="BX260" s="149">
        <v>43417</v>
      </c>
      <c r="BY260" s="149">
        <v>3780</v>
      </c>
      <c r="BZ260" s="150">
        <v>100</v>
      </c>
      <c r="CA260" s="141"/>
      <c r="CB260" s="141"/>
      <c r="CC260" s="141"/>
      <c r="CD260" s="144"/>
      <c r="CE260" s="142"/>
      <c r="CF260" s="142"/>
      <c r="CG260" s="142"/>
      <c r="CH260" s="142"/>
      <c r="CI260" s="142"/>
      <c r="CJ260" s="142"/>
      <c r="CK260" s="145"/>
    </row>
    <row r="261" spans="1:89" x14ac:dyDescent="0.15">
      <c r="A261" s="84">
        <v>1</v>
      </c>
      <c r="B261" s="85">
        <v>43424</v>
      </c>
      <c r="C261" s="85">
        <v>43426</v>
      </c>
      <c r="F261" s="85" t="s">
        <v>338</v>
      </c>
      <c r="H261" s="85" t="s">
        <v>338</v>
      </c>
      <c r="J261" s="84">
        <v>2</v>
      </c>
      <c r="L261" s="84">
        <v>0</v>
      </c>
      <c r="M261" s="85">
        <v>43418</v>
      </c>
      <c r="N261" s="85" t="s">
        <v>265</v>
      </c>
      <c r="O261" s="86" t="s">
        <v>340</v>
      </c>
      <c r="P261" s="84" t="s">
        <v>26</v>
      </c>
      <c r="Q261" s="86" t="s">
        <v>122</v>
      </c>
      <c r="R261" s="86" t="s">
        <v>937</v>
      </c>
      <c r="S261" s="87" t="s">
        <v>351</v>
      </c>
      <c r="T261" s="87" t="s">
        <v>679</v>
      </c>
      <c r="U261" s="88">
        <v>10000</v>
      </c>
      <c r="V261" s="88">
        <v>10800</v>
      </c>
      <c r="W261" s="88">
        <v>10000</v>
      </c>
      <c r="X261" s="88">
        <v>10800</v>
      </c>
      <c r="Z261" s="88">
        <v>0</v>
      </c>
      <c r="AA261" s="85">
        <v>43416</v>
      </c>
      <c r="AB261" s="85">
        <v>43416</v>
      </c>
      <c r="AD261" s="84">
        <v>0</v>
      </c>
      <c r="AG261" s="84">
        <v>0</v>
      </c>
      <c r="AJ261" s="84">
        <v>0</v>
      </c>
      <c r="AN261" s="84" t="s">
        <v>338</v>
      </c>
      <c r="AR261" s="85">
        <v>43423</v>
      </c>
      <c r="AS261" s="84">
        <v>6001620859</v>
      </c>
      <c r="AT261" s="85">
        <v>43423</v>
      </c>
      <c r="AU261" s="84" t="s">
        <v>906</v>
      </c>
      <c r="AV261" s="85">
        <v>43426</v>
      </c>
      <c r="AW261" s="123">
        <v>43434</v>
      </c>
      <c r="AX261" s="123">
        <v>43454</v>
      </c>
      <c r="AY261" s="152">
        <v>10000</v>
      </c>
      <c r="AZ261" s="132">
        <f>ROUNDDOWN(AY261+(AY261*MASTER!$A$2/100),0)</f>
        <v>10800</v>
      </c>
      <c r="BC261" s="88">
        <v>0</v>
      </c>
      <c r="BG261" s="88">
        <v>0</v>
      </c>
      <c r="BK261" s="88">
        <v>0</v>
      </c>
      <c r="BS261" s="88">
        <v>0</v>
      </c>
      <c r="BV261" s="89">
        <v>10800</v>
      </c>
      <c r="BW261" s="89">
        <v>0</v>
      </c>
      <c r="BX261" s="89">
        <v>43418</v>
      </c>
      <c r="BY261" s="89">
        <v>10800</v>
      </c>
      <c r="BZ261" s="112">
        <v>100</v>
      </c>
      <c r="CK261" s="88">
        <v>0</v>
      </c>
    </row>
    <row r="262" spans="1:89" x14ac:dyDescent="0.15">
      <c r="A262" s="84">
        <v>1</v>
      </c>
      <c r="B262" s="85">
        <v>43424</v>
      </c>
      <c r="C262" s="85">
        <v>43426</v>
      </c>
      <c r="F262" s="85" t="s">
        <v>338</v>
      </c>
      <c r="H262" s="85" t="s">
        <v>338</v>
      </c>
      <c r="J262" s="84">
        <v>2</v>
      </c>
      <c r="L262" s="84">
        <v>0</v>
      </c>
      <c r="M262" s="85">
        <v>43418</v>
      </c>
      <c r="N262" s="85" t="s">
        <v>265</v>
      </c>
      <c r="O262" s="86" t="s">
        <v>340</v>
      </c>
      <c r="P262" s="84" t="s">
        <v>26</v>
      </c>
      <c r="Q262" s="86" t="s">
        <v>122</v>
      </c>
      <c r="R262" s="86" t="s">
        <v>938</v>
      </c>
      <c r="S262" s="87" t="s">
        <v>351</v>
      </c>
      <c r="T262" s="87" t="s">
        <v>681</v>
      </c>
      <c r="U262" s="88">
        <v>10000</v>
      </c>
      <c r="V262" s="88">
        <v>10800</v>
      </c>
      <c r="W262" s="88">
        <v>10000</v>
      </c>
      <c r="X262" s="88">
        <v>10800</v>
      </c>
      <c r="Z262" s="88">
        <v>0</v>
      </c>
      <c r="AA262" s="85">
        <v>43416</v>
      </c>
      <c r="AB262" s="85">
        <v>43416</v>
      </c>
      <c r="AD262" s="84">
        <v>0</v>
      </c>
      <c r="AG262" s="84">
        <v>0</v>
      </c>
      <c r="AJ262" s="84">
        <v>0</v>
      </c>
      <c r="AN262" s="84" t="s">
        <v>338</v>
      </c>
      <c r="AR262" s="85">
        <v>43423</v>
      </c>
      <c r="AS262" s="84">
        <v>6001620859</v>
      </c>
      <c r="AT262" s="85">
        <v>43423</v>
      </c>
      <c r="AU262" s="84" t="s">
        <v>906</v>
      </c>
      <c r="AV262" s="85">
        <v>43426</v>
      </c>
      <c r="AW262" s="123">
        <v>43434</v>
      </c>
      <c r="AX262" s="123">
        <v>43454</v>
      </c>
      <c r="AY262" s="152">
        <v>10000</v>
      </c>
      <c r="AZ262" s="132">
        <f>ROUNDDOWN(AY262+(AY262*MASTER!$A$2/100),0)</f>
        <v>10800</v>
      </c>
      <c r="BC262" s="88">
        <v>0</v>
      </c>
      <c r="BG262" s="88">
        <v>0</v>
      </c>
      <c r="BK262" s="88">
        <v>0</v>
      </c>
      <c r="BS262" s="88">
        <v>0</v>
      </c>
      <c r="BV262" s="89">
        <v>10800</v>
      </c>
      <c r="BW262" s="89">
        <v>0</v>
      </c>
      <c r="BX262" s="89">
        <v>43418</v>
      </c>
      <c r="BY262" s="89">
        <v>10800</v>
      </c>
      <c r="BZ262" s="112">
        <v>100</v>
      </c>
      <c r="CK262" s="88">
        <v>0</v>
      </c>
    </row>
    <row r="263" spans="1:89" x14ac:dyDescent="0.15">
      <c r="A263" s="84">
        <v>1</v>
      </c>
      <c r="B263" s="85">
        <v>43424</v>
      </c>
      <c r="C263" s="85">
        <v>43426</v>
      </c>
      <c r="F263" s="85" t="s">
        <v>338</v>
      </c>
      <c r="H263" s="85" t="s">
        <v>338</v>
      </c>
      <c r="J263" s="84">
        <v>2</v>
      </c>
      <c r="L263" s="84">
        <v>0</v>
      </c>
      <c r="M263" s="85">
        <v>43418</v>
      </c>
      <c r="N263" s="85" t="s">
        <v>265</v>
      </c>
      <c r="O263" s="86" t="s">
        <v>340</v>
      </c>
      <c r="P263" s="84" t="s">
        <v>26</v>
      </c>
      <c r="Q263" s="86" t="s">
        <v>122</v>
      </c>
      <c r="R263" s="86" t="s">
        <v>939</v>
      </c>
      <c r="S263" s="87" t="s">
        <v>351</v>
      </c>
      <c r="T263" s="87" t="s">
        <v>734</v>
      </c>
      <c r="U263" s="88">
        <v>10000</v>
      </c>
      <c r="V263" s="88">
        <v>10800</v>
      </c>
      <c r="W263" s="88">
        <v>10000</v>
      </c>
      <c r="X263" s="88">
        <v>10800</v>
      </c>
      <c r="Z263" s="88">
        <v>0</v>
      </c>
      <c r="AA263" s="85">
        <v>43416</v>
      </c>
      <c r="AB263" s="85">
        <v>43416</v>
      </c>
      <c r="AD263" s="84">
        <v>0</v>
      </c>
      <c r="AG263" s="84">
        <v>0</v>
      </c>
      <c r="AJ263" s="84">
        <v>0</v>
      </c>
      <c r="AN263" s="84" t="s">
        <v>338</v>
      </c>
      <c r="AR263" s="85">
        <v>43423</v>
      </c>
      <c r="AS263" s="84">
        <v>6001620859</v>
      </c>
      <c r="AT263" s="85">
        <v>43423</v>
      </c>
      <c r="AU263" s="84" t="s">
        <v>906</v>
      </c>
      <c r="AV263" s="85">
        <v>43426</v>
      </c>
      <c r="AW263" s="123">
        <v>43434</v>
      </c>
      <c r="AX263" s="123">
        <v>43454</v>
      </c>
      <c r="AY263" s="152">
        <v>10000</v>
      </c>
      <c r="AZ263" s="132">
        <f>ROUNDDOWN(AY263+(AY263*MASTER!$A$2/100),0)</f>
        <v>10800</v>
      </c>
      <c r="BC263" s="88">
        <v>0</v>
      </c>
      <c r="BG263" s="88">
        <v>0</v>
      </c>
      <c r="BK263" s="88">
        <v>0</v>
      </c>
      <c r="BS263" s="88">
        <v>0</v>
      </c>
      <c r="BV263" s="89">
        <v>10800</v>
      </c>
      <c r="BW263" s="89">
        <v>0</v>
      </c>
      <c r="BX263" s="89">
        <v>43418</v>
      </c>
      <c r="BY263" s="89">
        <v>10800</v>
      </c>
      <c r="BZ263" s="112">
        <v>100</v>
      </c>
      <c r="CK263" s="88">
        <v>0</v>
      </c>
    </row>
    <row r="264" spans="1:89" x14ac:dyDescent="0.15">
      <c r="A264" s="84">
        <v>1</v>
      </c>
      <c r="B264" s="85">
        <v>43424</v>
      </c>
      <c r="C264" s="85">
        <v>43426</v>
      </c>
      <c r="F264" s="85" t="s">
        <v>338</v>
      </c>
      <c r="H264" s="85" t="s">
        <v>338</v>
      </c>
      <c r="J264" s="84">
        <v>2</v>
      </c>
      <c r="L264" s="84">
        <v>0</v>
      </c>
      <c r="M264" s="85">
        <v>43418</v>
      </c>
      <c r="N264" s="85" t="s">
        <v>265</v>
      </c>
      <c r="O264" s="86" t="s">
        <v>340</v>
      </c>
      <c r="P264" s="84" t="s">
        <v>26</v>
      </c>
      <c r="Q264" s="86" t="s">
        <v>122</v>
      </c>
      <c r="R264" s="86" t="s">
        <v>940</v>
      </c>
      <c r="S264" s="87" t="s">
        <v>351</v>
      </c>
      <c r="T264" s="87" t="s">
        <v>941</v>
      </c>
      <c r="U264" s="88">
        <v>2500</v>
      </c>
      <c r="V264" s="88">
        <v>2700</v>
      </c>
      <c r="W264" s="88">
        <v>2500</v>
      </c>
      <c r="X264" s="88">
        <v>2700</v>
      </c>
      <c r="Z264" s="88">
        <v>0</v>
      </c>
      <c r="AA264" s="85">
        <v>43416</v>
      </c>
      <c r="AB264" s="85">
        <v>43416</v>
      </c>
      <c r="AD264" s="84">
        <v>0</v>
      </c>
      <c r="AG264" s="84">
        <v>0</v>
      </c>
      <c r="AJ264" s="84">
        <v>0</v>
      </c>
      <c r="AN264" s="84" t="s">
        <v>338</v>
      </c>
      <c r="AR264" s="85">
        <v>43423</v>
      </c>
      <c r="AS264" s="84">
        <v>6001620859</v>
      </c>
      <c r="AT264" s="85">
        <v>43423</v>
      </c>
      <c r="AU264" s="84" t="s">
        <v>906</v>
      </c>
      <c r="AV264" s="85">
        <v>43426</v>
      </c>
      <c r="AW264" s="123">
        <v>43434</v>
      </c>
      <c r="AX264" s="123">
        <v>43454</v>
      </c>
      <c r="AY264" s="152">
        <v>2500</v>
      </c>
      <c r="AZ264" s="132">
        <f>ROUNDDOWN(AY264+(AY264*MASTER!$A$2/100),0)</f>
        <v>2700</v>
      </c>
      <c r="BC264" s="88">
        <v>0</v>
      </c>
      <c r="BG264" s="88">
        <v>0</v>
      </c>
      <c r="BK264" s="88">
        <v>0</v>
      </c>
      <c r="BS264" s="88">
        <v>0</v>
      </c>
      <c r="BV264" s="89">
        <v>2700</v>
      </c>
      <c r="BW264" s="89">
        <v>0</v>
      </c>
      <c r="BX264" s="89">
        <v>43418</v>
      </c>
      <c r="BY264" s="89">
        <v>2700</v>
      </c>
      <c r="BZ264" s="112">
        <v>100</v>
      </c>
      <c r="CK264" s="88">
        <v>0</v>
      </c>
    </row>
    <row r="265" spans="1:89" x14ac:dyDescent="0.15">
      <c r="A265" s="84">
        <v>2</v>
      </c>
      <c r="B265" s="85">
        <v>43454</v>
      </c>
      <c r="C265" s="85">
        <v>43476</v>
      </c>
      <c r="D265" s="85">
        <v>43512</v>
      </c>
      <c r="F265" s="85">
        <v>43483</v>
      </c>
      <c r="G265" s="85">
        <v>43476</v>
      </c>
      <c r="H265" s="85">
        <v>43479</v>
      </c>
      <c r="I265" s="84" t="s">
        <v>1191</v>
      </c>
      <c r="J265" s="84">
        <v>1</v>
      </c>
      <c r="L265" s="84">
        <v>0</v>
      </c>
      <c r="M265" s="85">
        <v>43418</v>
      </c>
      <c r="N265" s="85" t="s">
        <v>265</v>
      </c>
      <c r="O265" s="86" t="s">
        <v>340</v>
      </c>
      <c r="P265" s="84" t="s">
        <v>26</v>
      </c>
      <c r="Q265" s="86" t="s">
        <v>122</v>
      </c>
      <c r="R265" s="86" t="s">
        <v>1433</v>
      </c>
      <c r="S265" s="87" t="s">
        <v>913</v>
      </c>
      <c r="T265" s="87" t="s">
        <v>861</v>
      </c>
      <c r="U265" s="88">
        <v>59000</v>
      </c>
      <c r="V265" s="88">
        <v>63720</v>
      </c>
      <c r="W265" s="88">
        <v>47000</v>
      </c>
      <c r="X265" s="88">
        <v>50760</v>
      </c>
      <c r="Y265" s="88">
        <v>12000</v>
      </c>
      <c r="Z265" s="88">
        <v>12960</v>
      </c>
      <c r="AA265" s="85">
        <v>43474</v>
      </c>
      <c r="AB265" s="85">
        <v>43476</v>
      </c>
      <c r="AC265" s="85">
        <v>43476</v>
      </c>
      <c r="AD265" s="84">
        <v>0</v>
      </c>
      <c r="AG265" s="84">
        <v>0</v>
      </c>
      <c r="AJ265" s="84">
        <v>0</v>
      </c>
      <c r="AM265" s="84" t="s">
        <v>290</v>
      </c>
      <c r="AN265" s="84" t="s">
        <v>1434</v>
      </c>
      <c r="AR265" s="85">
        <v>43451</v>
      </c>
      <c r="AS265" s="84">
        <v>6001630849</v>
      </c>
      <c r="AT265" s="85">
        <v>43451</v>
      </c>
      <c r="AU265" s="84" t="s">
        <v>1314</v>
      </c>
      <c r="AV265" s="85">
        <v>43476</v>
      </c>
      <c r="AW265" s="123">
        <v>43496</v>
      </c>
      <c r="AX265" s="123">
        <v>43516</v>
      </c>
      <c r="AY265" s="132">
        <v>56640</v>
      </c>
      <c r="AZ265" s="132">
        <f>ROUNDDOWN(AY265+(AY265*MASTER!$A$2/100),0)</f>
        <v>61171</v>
      </c>
      <c r="BA265" s="84" t="s">
        <v>287</v>
      </c>
      <c r="BB265" s="88">
        <v>32000</v>
      </c>
      <c r="BC265" s="88">
        <v>34560</v>
      </c>
      <c r="BD265" s="84" t="s">
        <v>1138</v>
      </c>
      <c r="BG265" s="88">
        <v>0</v>
      </c>
      <c r="BI265" s="84" t="s">
        <v>1497</v>
      </c>
      <c r="BK265" s="88">
        <v>0</v>
      </c>
      <c r="BS265" s="88">
        <v>0</v>
      </c>
      <c r="BV265" s="89">
        <v>50760</v>
      </c>
      <c r="BW265" s="89">
        <v>34560</v>
      </c>
      <c r="BX265" s="89">
        <v>43418</v>
      </c>
      <c r="BY265" s="89">
        <v>16200</v>
      </c>
      <c r="BZ265" s="112">
        <v>31.914893617021278</v>
      </c>
      <c r="CK265" s="88">
        <v>0</v>
      </c>
    </row>
    <row r="266" spans="1:89" x14ac:dyDescent="0.15">
      <c r="A266" s="84">
        <v>2</v>
      </c>
      <c r="B266" s="85">
        <v>43441</v>
      </c>
      <c r="C266" s="85">
        <v>43453</v>
      </c>
      <c r="D266" s="85">
        <v>43470</v>
      </c>
      <c r="F266" s="85">
        <v>43460</v>
      </c>
      <c r="G266" s="85">
        <v>43455</v>
      </c>
      <c r="H266" s="85">
        <v>43456</v>
      </c>
      <c r="I266" s="84" t="s">
        <v>401</v>
      </c>
      <c r="J266" s="84">
        <v>1</v>
      </c>
      <c r="L266" s="84">
        <v>0</v>
      </c>
      <c r="M266" s="85">
        <v>43418</v>
      </c>
      <c r="N266" s="85" t="s">
        <v>265</v>
      </c>
      <c r="O266" s="86" t="s">
        <v>340</v>
      </c>
      <c r="P266" s="84" t="s">
        <v>26</v>
      </c>
      <c r="Q266" s="86" t="s">
        <v>122</v>
      </c>
      <c r="R266" s="86" t="s">
        <v>1157</v>
      </c>
      <c r="S266" s="87" t="s">
        <v>676</v>
      </c>
      <c r="T266" s="87" t="s">
        <v>1158</v>
      </c>
      <c r="U266" s="88">
        <v>172800</v>
      </c>
      <c r="V266" s="88">
        <v>186624</v>
      </c>
      <c r="W266" s="88">
        <v>84300</v>
      </c>
      <c r="X266" s="88">
        <v>91044</v>
      </c>
      <c r="Y266" s="88">
        <v>88500</v>
      </c>
      <c r="Z266" s="88">
        <v>95580</v>
      </c>
      <c r="AA266" s="85">
        <v>43452</v>
      </c>
      <c r="AB266" s="85">
        <v>43453</v>
      </c>
      <c r="AC266" s="85">
        <v>43453</v>
      </c>
      <c r="AD266" s="84">
        <v>0</v>
      </c>
      <c r="AG266" s="84">
        <v>0</v>
      </c>
      <c r="AJ266" s="84">
        <v>0</v>
      </c>
      <c r="AM266" s="84" t="s">
        <v>290</v>
      </c>
      <c r="AN266" s="84" t="s">
        <v>1159</v>
      </c>
      <c r="AR266" s="85">
        <v>43438</v>
      </c>
      <c r="AS266" s="84">
        <v>6001625953</v>
      </c>
      <c r="AT266" s="85">
        <v>43439</v>
      </c>
      <c r="AU266" s="84" t="s">
        <v>1130</v>
      </c>
      <c r="AV266" s="85">
        <v>43453</v>
      </c>
      <c r="AW266" s="123">
        <v>43465</v>
      </c>
      <c r="AX266" s="123">
        <v>43485</v>
      </c>
      <c r="AY266" s="132">
        <v>165888</v>
      </c>
      <c r="AZ266" s="132">
        <f>ROUNDDOWN(AY266+(AY266*MASTER!$A$2/100),0)</f>
        <v>179159</v>
      </c>
      <c r="BA266" s="84" t="s">
        <v>400</v>
      </c>
      <c r="BB266" s="88">
        <v>26000</v>
      </c>
      <c r="BC266" s="88">
        <v>28080</v>
      </c>
      <c r="BD266" s="84" t="s">
        <v>190</v>
      </c>
      <c r="BG266" s="88">
        <v>0</v>
      </c>
      <c r="BI266" s="84" t="s">
        <v>434</v>
      </c>
      <c r="BJ266" s="88">
        <v>57525</v>
      </c>
      <c r="BK266" s="88">
        <v>62127</v>
      </c>
      <c r="BL266" s="84" t="s">
        <v>190</v>
      </c>
      <c r="BS266" s="88">
        <v>0</v>
      </c>
      <c r="BV266" s="89">
        <v>91044</v>
      </c>
      <c r="BW266" s="89">
        <v>90207</v>
      </c>
      <c r="BX266" s="89">
        <v>43418</v>
      </c>
      <c r="BY266" s="89">
        <v>837</v>
      </c>
      <c r="BZ266" s="112">
        <v>0.91933570581257418</v>
      </c>
      <c r="CK266" s="88">
        <v>6300</v>
      </c>
    </row>
    <row r="267" spans="1:89" x14ac:dyDescent="0.15">
      <c r="A267" s="84">
        <v>2</v>
      </c>
      <c r="B267" s="85">
        <v>43441</v>
      </c>
      <c r="C267" s="85">
        <v>43455</v>
      </c>
      <c r="F267" s="85">
        <v>43462</v>
      </c>
      <c r="G267" s="85">
        <v>43460</v>
      </c>
      <c r="H267" s="85">
        <v>43458</v>
      </c>
      <c r="I267" s="84" t="s">
        <v>776</v>
      </c>
      <c r="J267" s="84">
        <v>1</v>
      </c>
      <c r="L267" s="84">
        <v>0</v>
      </c>
      <c r="M267" s="85">
        <v>43418</v>
      </c>
      <c r="N267" s="85" t="s">
        <v>265</v>
      </c>
      <c r="O267" s="86" t="s">
        <v>340</v>
      </c>
      <c r="P267" s="84" t="s">
        <v>26</v>
      </c>
      <c r="Q267" s="86" t="s">
        <v>122</v>
      </c>
      <c r="R267" s="86" t="s">
        <v>1175</v>
      </c>
      <c r="S267" s="87" t="s">
        <v>1176</v>
      </c>
      <c r="T267" s="87" t="s">
        <v>1177</v>
      </c>
      <c r="U267" s="88">
        <v>56000</v>
      </c>
      <c r="V267" s="88">
        <v>60480</v>
      </c>
      <c r="W267" s="88">
        <v>47000</v>
      </c>
      <c r="X267" s="88">
        <v>50760</v>
      </c>
      <c r="Y267" s="88">
        <v>9000</v>
      </c>
      <c r="Z267" s="88">
        <v>9720</v>
      </c>
      <c r="AA267" s="85">
        <v>43452</v>
      </c>
      <c r="AB267" s="85">
        <v>43455</v>
      </c>
      <c r="AC267" s="85">
        <v>43455</v>
      </c>
      <c r="AD267" s="84">
        <v>0</v>
      </c>
      <c r="AG267" s="84">
        <v>0</v>
      </c>
      <c r="AJ267" s="84">
        <v>0</v>
      </c>
      <c r="AM267" s="84" t="s">
        <v>290</v>
      </c>
      <c r="AN267" s="84" t="s">
        <v>1178</v>
      </c>
      <c r="AR267" s="85">
        <v>43439</v>
      </c>
      <c r="AS267" s="84">
        <v>6001626565</v>
      </c>
      <c r="AT267" s="85">
        <v>43439</v>
      </c>
      <c r="AU267" s="84" t="s">
        <v>1132</v>
      </c>
      <c r="AV267" s="85">
        <v>43455</v>
      </c>
      <c r="AW267" s="123">
        <v>43465</v>
      </c>
      <c r="AX267" s="123">
        <v>43485</v>
      </c>
      <c r="AY267" s="132">
        <v>53760</v>
      </c>
      <c r="AZ267" s="132">
        <f>ROUNDDOWN(AY267+(AY267*MASTER!$A$2/100),0)</f>
        <v>58060</v>
      </c>
      <c r="BA267" s="84" t="s">
        <v>778</v>
      </c>
      <c r="BC267" s="88">
        <v>0</v>
      </c>
      <c r="BG267" s="88">
        <v>0</v>
      </c>
      <c r="BI267" s="84" t="s">
        <v>276</v>
      </c>
      <c r="BJ267" s="88">
        <v>5850</v>
      </c>
      <c r="BK267" s="88">
        <v>6318</v>
      </c>
      <c r="BL267" s="84" t="s">
        <v>1421</v>
      </c>
      <c r="BS267" s="88">
        <v>0</v>
      </c>
      <c r="BV267" s="89">
        <v>50760</v>
      </c>
      <c r="BW267" s="89">
        <v>6318</v>
      </c>
      <c r="BX267" s="89">
        <v>43418</v>
      </c>
      <c r="BY267" s="89">
        <v>44442</v>
      </c>
      <c r="BZ267" s="112">
        <v>87.553191489361708</v>
      </c>
      <c r="CK267" s="88">
        <v>0</v>
      </c>
    </row>
    <row r="268" spans="1:89" x14ac:dyDescent="0.15">
      <c r="A268" s="84">
        <v>2</v>
      </c>
      <c r="B268" s="85">
        <v>43451</v>
      </c>
      <c r="C268" s="85">
        <v>43460</v>
      </c>
      <c r="D268" s="85">
        <v>43512</v>
      </c>
      <c r="F268" s="85">
        <v>43467</v>
      </c>
      <c r="G268" s="85">
        <v>43459</v>
      </c>
      <c r="H268" s="85">
        <v>43463</v>
      </c>
      <c r="I268" s="84" t="s">
        <v>776</v>
      </c>
      <c r="J268" s="84">
        <v>1</v>
      </c>
      <c r="L268" s="84">
        <v>0</v>
      </c>
      <c r="M268" s="85">
        <v>43418</v>
      </c>
      <c r="N268" s="85" t="s">
        <v>265</v>
      </c>
      <c r="O268" s="86" t="s">
        <v>340</v>
      </c>
      <c r="P268" s="84" t="s">
        <v>26</v>
      </c>
      <c r="Q268" s="86" t="s">
        <v>122</v>
      </c>
      <c r="R268" s="86" t="s">
        <v>1247</v>
      </c>
      <c r="S268" s="87" t="s">
        <v>1248</v>
      </c>
      <c r="T268" s="87" t="s">
        <v>1010</v>
      </c>
      <c r="U268" s="88">
        <v>110500</v>
      </c>
      <c r="V268" s="88">
        <v>119340</v>
      </c>
      <c r="W268" s="88">
        <v>84300</v>
      </c>
      <c r="X268" s="88">
        <v>91044</v>
      </c>
      <c r="Y268" s="88">
        <v>26200</v>
      </c>
      <c r="Z268" s="88">
        <v>28296</v>
      </c>
      <c r="AA268" s="85">
        <v>43458</v>
      </c>
      <c r="AB268" s="85">
        <v>43460</v>
      </c>
      <c r="AC268" s="85">
        <v>43460</v>
      </c>
      <c r="AD268" s="84">
        <v>0</v>
      </c>
      <c r="AG268" s="84">
        <v>0</v>
      </c>
      <c r="AJ268" s="84">
        <v>0</v>
      </c>
      <c r="AM268" s="84" t="s">
        <v>290</v>
      </c>
      <c r="AN268" s="84" t="s">
        <v>1249</v>
      </c>
      <c r="AR268" s="85">
        <v>43439</v>
      </c>
      <c r="AS268" s="84">
        <v>6001626565</v>
      </c>
      <c r="AT268" s="85">
        <v>43439</v>
      </c>
      <c r="AU268" s="84" t="s">
        <v>1132</v>
      </c>
      <c r="AV268" s="85">
        <v>43460</v>
      </c>
      <c r="AW268" s="123">
        <v>43465</v>
      </c>
      <c r="AX268" s="123">
        <v>43485</v>
      </c>
      <c r="AY268" s="132">
        <v>106080</v>
      </c>
      <c r="AZ268" s="132">
        <f>ROUNDDOWN(AY268+(AY268*MASTER!$A$2/100),0)</f>
        <v>114566</v>
      </c>
      <c r="BA268" s="84" t="s">
        <v>287</v>
      </c>
      <c r="BB268" s="88">
        <v>31600</v>
      </c>
      <c r="BC268" s="88">
        <v>34128</v>
      </c>
      <c r="BD268" s="84" t="s">
        <v>1138</v>
      </c>
      <c r="BG268" s="88">
        <v>0</v>
      </c>
      <c r="BI268" s="84" t="s">
        <v>434</v>
      </c>
      <c r="BJ268" s="88">
        <v>17030</v>
      </c>
      <c r="BK268" s="88">
        <v>18392.400000000001</v>
      </c>
      <c r="BL268" s="84" t="s">
        <v>190</v>
      </c>
      <c r="BS268" s="88">
        <v>0</v>
      </c>
      <c r="BV268" s="89">
        <v>91044</v>
      </c>
      <c r="BW268" s="89">
        <v>52520.4</v>
      </c>
      <c r="BX268" s="89">
        <v>43418</v>
      </c>
      <c r="BY268" s="89">
        <v>38523.599999999999</v>
      </c>
      <c r="BZ268" s="112">
        <v>42.313167259786475</v>
      </c>
      <c r="CK268" s="88">
        <v>6300</v>
      </c>
    </row>
    <row r="269" spans="1:89" s="151" customFormat="1" x14ac:dyDescent="0.15">
      <c r="A269" s="141">
        <v>3</v>
      </c>
      <c r="B269" s="142"/>
      <c r="C269" s="142" t="s">
        <v>338</v>
      </c>
      <c r="D269" s="142"/>
      <c r="E269" s="142"/>
      <c r="F269" s="142" t="s">
        <v>338</v>
      </c>
      <c r="G269" s="142"/>
      <c r="H269" s="142" t="s">
        <v>338</v>
      </c>
      <c r="I269" s="141"/>
      <c r="J269" s="141">
        <v>1</v>
      </c>
      <c r="K269" s="142"/>
      <c r="L269" s="141">
        <v>0</v>
      </c>
      <c r="M269" s="142">
        <v>43418</v>
      </c>
      <c r="N269" s="142" t="s">
        <v>265</v>
      </c>
      <c r="O269" s="143" t="s">
        <v>340</v>
      </c>
      <c r="P269" s="141" t="s">
        <v>26</v>
      </c>
      <c r="Q269" s="143" t="s">
        <v>122</v>
      </c>
      <c r="R269" s="143" t="s">
        <v>1141</v>
      </c>
      <c r="S269" s="144" t="s">
        <v>1142</v>
      </c>
      <c r="T269" s="144" t="s">
        <v>1143</v>
      </c>
      <c r="U269" s="145">
        <v>23900</v>
      </c>
      <c r="V269" s="145">
        <v>25812</v>
      </c>
      <c r="W269" s="145">
        <v>14700</v>
      </c>
      <c r="X269" s="145">
        <v>15876</v>
      </c>
      <c r="Y269" s="145">
        <v>9200</v>
      </c>
      <c r="Z269" s="145">
        <v>9936</v>
      </c>
      <c r="AA269" s="142">
        <v>43452</v>
      </c>
      <c r="AB269" s="142">
        <v>43454</v>
      </c>
      <c r="AC269" s="142"/>
      <c r="AD269" s="141">
        <v>0</v>
      </c>
      <c r="AE269" s="141"/>
      <c r="AF269" s="141"/>
      <c r="AG269" s="141">
        <v>0</v>
      </c>
      <c r="AH269" s="141"/>
      <c r="AI269" s="141"/>
      <c r="AJ269" s="141">
        <v>0</v>
      </c>
      <c r="AK269" s="141"/>
      <c r="AL269" s="141"/>
      <c r="AM269" s="141" t="s">
        <v>290</v>
      </c>
      <c r="AN269" s="141" t="s">
        <v>1144</v>
      </c>
      <c r="AO269" s="142"/>
      <c r="AP269" s="141"/>
      <c r="AQ269" s="141"/>
      <c r="AR269" s="142"/>
      <c r="AS269" s="141"/>
      <c r="AT269" s="142"/>
      <c r="AU269" s="141"/>
      <c r="AV269" s="142"/>
      <c r="AW269" s="146"/>
      <c r="AX269" s="146"/>
      <c r="AY269" s="147">
        <v>22944</v>
      </c>
      <c r="AZ269" s="132">
        <f>ROUNDDOWN(AY269+(AY269*MASTER!$A$2/100),0)</f>
        <v>24779</v>
      </c>
      <c r="BA269" s="141"/>
      <c r="BB269" s="145"/>
      <c r="BC269" s="145">
        <v>0</v>
      </c>
      <c r="BD269" s="141"/>
      <c r="BE269" s="141"/>
      <c r="BF269" s="145"/>
      <c r="BG269" s="145">
        <v>0</v>
      </c>
      <c r="BH269" s="141"/>
      <c r="BI269" s="141"/>
      <c r="BJ269" s="145"/>
      <c r="BK269" s="145">
        <v>0</v>
      </c>
      <c r="BL269" s="141"/>
      <c r="BM269" s="145"/>
      <c r="BN269" s="145"/>
      <c r="BO269" s="145"/>
      <c r="BP269" s="145"/>
      <c r="BQ269" s="145"/>
      <c r="BR269" s="145"/>
      <c r="BS269" s="145">
        <v>0</v>
      </c>
      <c r="BT269" s="148"/>
      <c r="BU269" s="148"/>
      <c r="BV269" s="149">
        <v>15876</v>
      </c>
      <c r="BW269" s="149">
        <v>0</v>
      </c>
      <c r="BX269" s="149">
        <v>43418</v>
      </c>
      <c r="BY269" s="149">
        <v>15876</v>
      </c>
      <c r="BZ269" s="150">
        <v>100</v>
      </c>
      <c r="CA269" s="141"/>
      <c r="CB269" s="141"/>
      <c r="CC269" s="141"/>
      <c r="CD269" s="144" t="s">
        <v>1145</v>
      </c>
      <c r="CE269" s="142"/>
      <c r="CF269" s="142"/>
      <c r="CG269" s="142"/>
      <c r="CH269" s="142"/>
      <c r="CI269" s="142"/>
      <c r="CJ269" s="142"/>
      <c r="CK269" s="145">
        <v>0</v>
      </c>
    </row>
    <row r="270" spans="1:89" x14ac:dyDescent="0.15">
      <c r="A270" s="84">
        <v>2</v>
      </c>
      <c r="B270" s="85">
        <v>43441</v>
      </c>
      <c r="C270" s="85">
        <v>43453</v>
      </c>
      <c r="D270" s="85">
        <v>43470</v>
      </c>
      <c r="F270" s="85">
        <v>43460</v>
      </c>
      <c r="G270" s="85">
        <v>43453</v>
      </c>
      <c r="H270" s="85">
        <v>43456</v>
      </c>
      <c r="I270" s="84" t="s">
        <v>776</v>
      </c>
      <c r="J270" s="84">
        <v>1</v>
      </c>
      <c r="L270" s="84">
        <v>0</v>
      </c>
      <c r="M270" s="85">
        <v>43418</v>
      </c>
      <c r="N270" s="85" t="s">
        <v>265</v>
      </c>
      <c r="O270" s="86" t="s">
        <v>340</v>
      </c>
      <c r="P270" s="84" t="s">
        <v>26</v>
      </c>
      <c r="Q270" s="86" t="s">
        <v>122</v>
      </c>
      <c r="R270" s="86" t="s">
        <v>1168</v>
      </c>
      <c r="S270" s="87" t="s">
        <v>691</v>
      </c>
      <c r="T270" s="87" t="s">
        <v>594</v>
      </c>
      <c r="U270" s="88">
        <v>158500</v>
      </c>
      <c r="V270" s="88">
        <v>171180</v>
      </c>
      <c r="W270" s="88">
        <v>132300</v>
      </c>
      <c r="X270" s="88">
        <v>142884</v>
      </c>
      <c r="Y270" s="88">
        <v>26200</v>
      </c>
      <c r="Z270" s="88">
        <v>28296</v>
      </c>
      <c r="AA270" s="85">
        <v>43451</v>
      </c>
      <c r="AB270" s="85">
        <v>43453</v>
      </c>
      <c r="AC270" s="85">
        <v>43453</v>
      </c>
      <c r="AD270" s="84">
        <v>0</v>
      </c>
      <c r="AG270" s="84">
        <v>0</v>
      </c>
      <c r="AJ270" s="84">
        <v>0</v>
      </c>
      <c r="AM270" s="84" t="s">
        <v>290</v>
      </c>
      <c r="AN270" s="84" t="s">
        <v>1169</v>
      </c>
      <c r="AR270" s="85">
        <v>43439</v>
      </c>
      <c r="AS270" s="84">
        <v>6001626565</v>
      </c>
      <c r="AT270" s="85">
        <v>43439</v>
      </c>
      <c r="AU270" s="84" t="s">
        <v>1132</v>
      </c>
      <c r="AV270" s="85">
        <v>43453</v>
      </c>
      <c r="AW270" s="123">
        <v>43465</v>
      </c>
      <c r="AX270" s="123">
        <v>43485</v>
      </c>
      <c r="AY270" s="132">
        <v>152160</v>
      </c>
      <c r="AZ270" s="132">
        <f>ROUNDDOWN(AY270+(AY270*MASTER!$A$2/100),0)</f>
        <v>164332</v>
      </c>
      <c r="BA270" s="84" t="s">
        <v>287</v>
      </c>
      <c r="BB270" s="88">
        <v>73600</v>
      </c>
      <c r="BC270" s="88">
        <v>79488</v>
      </c>
      <c r="BD270" s="84" t="s">
        <v>190</v>
      </c>
      <c r="BG270" s="88">
        <v>0</v>
      </c>
      <c r="BI270" s="84" t="s">
        <v>434</v>
      </c>
      <c r="BJ270" s="88">
        <v>17030</v>
      </c>
      <c r="BK270" s="88">
        <v>18392.400000000001</v>
      </c>
      <c r="BL270" s="84" t="s">
        <v>190</v>
      </c>
      <c r="BS270" s="88">
        <v>0</v>
      </c>
      <c r="BV270" s="89">
        <v>142884</v>
      </c>
      <c r="BW270" s="89">
        <v>97880.4</v>
      </c>
      <c r="BX270" s="89">
        <v>43418</v>
      </c>
      <c r="BY270" s="89">
        <v>45003.6</v>
      </c>
      <c r="BZ270" s="112">
        <v>31.496598639455787</v>
      </c>
      <c r="CK270" s="88">
        <v>6300</v>
      </c>
    </row>
    <row r="271" spans="1:89" x14ac:dyDescent="0.15">
      <c r="A271" s="84">
        <v>2</v>
      </c>
      <c r="B271" s="85">
        <v>43454</v>
      </c>
      <c r="C271" s="85">
        <v>43476</v>
      </c>
      <c r="D271" s="85">
        <v>43497</v>
      </c>
      <c r="F271" s="85">
        <v>43483</v>
      </c>
      <c r="G271" s="85">
        <v>43480</v>
      </c>
      <c r="H271" s="85">
        <v>43479</v>
      </c>
      <c r="I271" s="84" t="s">
        <v>1191</v>
      </c>
      <c r="J271" s="84">
        <v>1</v>
      </c>
      <c r="L271" s="84">
        <v>0</v>
      </c>
      <c r="M271" s="85">
        <v>43419</v>
      </c>
      <c r="N271" s="85" t="s">
        <v>265</v>
      </c>
      <c r="O271" s="86" t="s">
        <v>340</v>
      </c>
      <c r="P271" s="84" t="s">
        <v>26</v>
      </c>
      <c r="Q271" s="86" t="s">
        <v>122</v>
      </c>
      <c r="R271" s="86" t="s">
        <v>1362</v>
      </c>
      <c r="S271" s="87" t="s">
        <v>417</v>
      </c>
      <c r="T271" s="87" t="s">
        <v>1363</v>
      </c>
      <c r="U271" s="88">
        <v>1136700</v>
      </c>
      <c r="V271" s="88">
        <v>1227636</v>
      </c>
      <c r="W271" s="88">
        <v>1017000</v>
      </c>
      <c r="X271" s="88">
        <v>1098360</v>
      </c>
      <c r="Y271" s="88">
        <v>119700</v>
      </c>
      <c r="Z271" s="88">
        <v>129276</v>
      </c>
      <c r="AA271" s="85">
        <v>43472</v>
      </c>
      <c r="AB271" s="85">
        <v>43476</v>
      </c>
      <c r="AC271" s="85">
        <v>43476</v>
      </c>
      <c r="AD271" s="84">
        <v>0</v>
      </c>
      <c r="AG271" s="84">
        <v>0</v>
      </c>
      <c r="AJ271" s="84">
        <v>0</v>
      </c>
      <c r="AM271" s="84" t="s">
        <v>290</v>
      </c>
      <c r="AN271" s="84" t="s">
        <v>1364</v>
      </c>
      <c r="AR271" s="85">
        <v>43446</v>
      </c>
      <c r="AS271" s="84">
        <v>6001629413</v>
      </c>
      <c r="AT271" s="85">
        <v>43447</v>
      </c>
      <c r="AU271" s="84" t="s">
        <v>1238</v>
      </c>
      <c r="AV271" s="85">
        <v>43476</v>
      </c>
      <c r="AW271" s="123">
        <v>43496</v>
      </c>
      <c r="AX271" s="123">
        <v>43516</v>
      </c>
      <c r="AY271" s="132">
        <v>1091232</v>
      </c>
      <c r="AZ271" s="132">
        <f>ROUNDDOWN(AY271+(AY271*MASTER!$A$2/100),0)</f>
        <v>1178530</v>
      </c>
      <c r="BA271" s="84" t="s">
        <v>14</v>
      </c>
      <c r="BB271" s="88">
        <v>330640</v>
      </c>
      <c r="BC271" s="88">
        <v>357091.2</v>
      </c>
      <c r="BD271" s="84" t="s">
        <v>1138</v>
      </c>
      <c r="BG271" s="88">
        <v>0</v>
      </c>
      <c r="BI271" s="84" t="s">
        <v>434</v>
      </c>
      <c r="BJ271" s="88">
        <v>77805</v>
      </c>
      <c r="BK271" s="88">
        <v>84029.4</v>
      </c>
      <c r="BL271" s="84" t="s">
        <v>1138</v>
      </c>
      <c r="BS271" s="88">
        <v>0</v>
      </c>
      <c r="BV271" s="89">
        <v>1098360</v>
      </c>
      <c r="BW271" s="89">
        <v>441120.6</v>
      </c>
      <c r="BX271" s="89">
        <v>43419</v>
      </c>
      <c r="BY271" s="89">
        <v>657239.4</v>
      </c>
      <c r="BZ271" s="112">
        <v>59.83824975417896</v>
      </c>
      <c r="CK271" s="88">
        <v>105000</v>
      </c>
    </row>
    <row r="272" spans="1:89" x14ac:dyDescent="0.15">
      <c r="A272" s="84">
        <v>2</v>
      </c>
      <c r="B272" s="85">
        <v>43432</v>
      </c>
      <c r="C272" s="85">
        <v>43440</v>
      </c>
      <c r="D272" s="85">
        <v>43446</v>
      </c>
      <c r="F272" s="85">
        <v>43447</v>
      </c>
      <c r="G272" s="85">
        <v>43441</v>
      </c>
      <c r="H272" s="85">
        <v>43443</v>
      </c>
      <c r="I272" s="84" t="s">
        <v>1191</v>
      </c>
      <c r="J272" s="84">
        <v>2</v>
      </c>
      <c r="L272" s="84">
        <v>0</v>
      </c>
      <c r="M272" s="85">
        <v>43419</v>
      </c>
      <c r="N272" s="85" t="s">
        <v>265</v>
      </c>
      <c r="O272" s="86" t="s">
        <v>340</v>
      </c>
      <c r="P272" s="84" t="s">
        <v>26</v>
      </c>
      <c r="Q272" s="86" t="s">
        <v>122</v>
      </c>
      <c r="R272" s="86" t="s">
        <v>1074</v>
      </c>
      <c r="S272" s="87" t="s">
        <v>800</v>
      </c>
      <c r="T272" s="87" t="s">
        <v>1075</v>
      </c>
      <c r="U272" s="88">
        <v>81900</v>
      </c>
      <c r="V272" s="88">
        <v>88452</v>
      </c>
      <c r="W272" s="88">
        <v>81900</v>
      </c>
      <c r="X272" s="88">
        <v>88452</v>
      </c>
      <c r="Z272" s="88">
        <v>0</v>
      </c>
      <c r="AA272" s="85">
        <v>43439</v>
      </c>
      <c r="AB272" s="85">
        <v>43440</v>
      </c>
      <c r="AC272" s="85">
        <v>43440</v>
      </c>
      <c r="AD272" s="84">
        <v>0</v>
      </c>
      <c r="AG272" s="84">
        <v>0</v>
      </c>
      <c r="AJ272" s="84">
        <v>0</v>
      </c>
      <c r="AM272" s="84" t="s">
        <v>290</v>
      </c>
      <c r="AN272" s="84" t="s">
        <v>1076</v>
      </c>
      <c r="AR272" s="85">
        <v>43431</v>
      </c>
      <c r="AS272" s="84">
        <v>6001623789</v>
      </c>
      <c r="AT272" s="85">
        <v>43431</v>
      </c>
      <c r="AU272" s="84" t="s">
        <v>1025</v>
      </c>
      <c r="AV272" s="85">
        <v>43440</v>
      </c>
      <c r="AW272" s="123">
        <v>43465</v>
      </c>
      <c r="AX272" s="123">
        <v>43485</v>
      </c>
      <c r="AY272" s="132">
        <v>78624</v>
      </c>
      <c r="AZ272" s="132">
        <f>ROUNDDOWN(AY272+(AY272*MASTER!$A$2/100),0)</f>
        <v>84913</v>
      </c>
      <c r="BA272" s="84" t="s">
        <v>14</v>
      </c>
      <c r="BB272" s="88">
        <v>56000</v>
      </c>
      <c r="BC272" s="88">
        <v>60480</v>
      </c>
      <c r="BD272" s="84" t="s">
        <v>190</v>
      </c>
      <c r="BG272" s="88">
        <v>0</v>
      </c>
      <c r="BK272" s="88">
        <v>0</v>
      </c>
      <c r="BS272" s="88">
        <v>0</v>
      </c>
      <c r="BV272" s="89">
        <v>88452</v>
      </c>
      <c r="BW272" s="89">
        <v>60480</v>
      </c>
      <c r="BX272" s="89">
        <v>43419</v>
      </c>
      <c r="BY272" s="89">
        <v>27972</v>
      </c>
      <c r="BZ272" s="112">
        <v>31.623931623931622</v>
      </c>
      <c r="CK272" s="88">
        <v>0</v>
      </c>
    </row>
    <row r="273" spans="1:89" x14ac:dyDescent="0.15">
      <c r="A273" s="84">
        <v>2</v>
      </c>
      <c r="B273" s="85">
        <v>43451</v>
      </c>
      <c r="C273" s="85">
        <v>43459</v>
      </c>
      <c r="D273" s="85">
        <v>43487</v>
      </c>
      <c r="F273" s="85">
        <v>43466</v>
      </c>
      <c r="G273" s="85">
        <v>43482</v>
      </c>
      <c r="H273" s="85">
        <v>43462</v>
      </c>
      <c r="I273" s="84" t="s">
        <v>401</v>
      </c>
      <c r="J273" s="84">
        <v>1</v>
      </c>
      <c r="L273" s="84">
        <v>0</v>
      </c>
      <c r="M273" s="85">
        <v>43419</v>
      </c>
      <c r="N273" s="85" t="s">
        <v>265</v>
      </c>
      <c r="O273" s="86" t="s">
        <v>340</v>
      </c>
      <c r="P273" s="84" t="s">
        <v>26</v>
      </c>
      <c r="Q273" s="86" t="s">
        <v>122</v>
      </c>
      <c r="R273" s="86" t="s">
        <v>1269</v>
      </c>
      <c r="S273" s="87" t="s">
        <v>1270</v>
      </c>
      <c r="T273" s="87" t="s">
        <v>1271</v>
      </c>
      <c r="U273" s="88">
        <v>201800</v>
      </c>
      <c r="V273" s="88">
        <v>217944</v>
      </c>
      <c r="W273" s="88">
        <v>84300</v>
      </c>
      <c r="X273" s="88">
        <v>91044</v>
      </c>
      <c r="Y273" s="88">
        <v>117500</v>
      </c>
      <c r="Z273" s="88">
        <v>126900</v>
      </c>
      <c r="AA273" s="85">
        <v>43458</v>
      </c>
      <c r="AB273" s="85">
        <v>43459</v>
      </c>
      <c r="AC273" s="85">
        <v>43459</v>
      </c>
      <c r="AD273" s="84">
        <v>0</v>
      </c>
      <c r="AG273" s="84">
        <v>0</v>
      </c>
      <c r="AJ273" s="84">
        <v>0</v>
      </c>
      <c r="AM273" s="84" t="s">
        <v>290</v>
      </c>
      <c r="AN273" s="84" t="s">
        <v>1272</v>
      </c>
      <c r="AR273" s="85">
        <v>43438</v>
      </c>
      <c r="AS273" s="84">
        <v>6001625953</v>
      </c>
      <c r="AT273" s="85">
        <v>43439</v>
      </c>
      <c r="AU273" s="84" t="s">
        <v>1130</v>
      </c>
      <c r="AV273" s="85">
        <v>43459</v>
      </c>
      <c r="AW273" s="123">
        <v>43465</v>
      </c>
      <c r="AX273" s="123">
        <v>43485</v>
      </c>
      <c r="AY273" s="132">
        <v>193728</v>
      </c>
      <c r="AZ273" s="132">
        <f>ROUNDDOWN(AY273+(AY273*MASTER!$A$2/100),0)</f>
        <v>209226</v>
      </c>
      <c r="BA273" s="84" t="s">
        <v>543</v>
      </c>
      <c r="BB273" s="88">
        <v>28000</v>
      </c>
      <c r="BC273" s="88">
        <v>30240</v>
      </c>
      <c r="BD273" s="84" t="s">
        <v>1138</v>
      </c>
      <c r="BG273" s="88">
        <v>0</v>
      </c>
      <c r="BI273" s="84" t="s">
        <v>276</v>
      </c>
      <c r="BJ273" s="88">
        <v>76375</v>
      </c>
      <c r="BK273" s="88">
        <v>82485</v>
      </c>
      <c r="BL273" s="84" t="s">
        <v>1421</v>
      </c>
      <c r="BS273" s="88">
        <v>0</v>
      </c>
      <c r="BV273" s="89">
        <v>91044</v>
      </c>
      <c r="BW273" s="89">
        <v>112725</v>
      </c>
      <c r="BX273" s="89">
        <v>43419</v>
      </c>
      <c r="BY273" s="89">
        <v>-21681</v>
      </c>
      <c r="BZ273" s="112">
        <v>-23.81376037959668</v>
      </c>
      <c r="CK273" s="88">
        <v>6300</v>
      </c>
    </row>
    <row r="274" spans="1:89" x14ac:dyDescent="0.15">
      <c r="A274" s="84">
        <v>2</v>
      </c>
      <c r="B274" s="85">
        <v>43451</v>
      </c>
      <c r="C274" s="85">
        <v>43460</v>
      </c>
      <c r="D274" s="85">
        <v>43512</v>
      </c>
      <c r="F274" s="85">
        <v>43467</v>
      </c>
      <c r="G274" s="85">
        <v>43459</v>
      </c>
      <c r="H274" s="85">
        <v>43463</v>
      </c>
      <c r="I274" s="84" t="s">
        <v>776</v>
      </c>
      <c r="J274" s="84">
        <v>2</v>
      </c>
      <c r="L274" s="84">
        <v>0</v>
      </c>
      <c r="M274" s="85">
        <v>43419</v>
      </c>
      <c r="N274" s="85" t="s">
        <v>265</v>
      </c>
      <c r="O274" s="86" t="s">
        <v>340</v>
      </c>
      <c r="P274" s="84" t="s">
        <v>26</v>
      </c>
      <c r="Q274" s="86" t="s">
        <v>122</v>
      </c>
      <c r="R274" s="86" t="s">
        <v>1296</v>
      </c>
      <c r="S274" s="87" t="s">
        <v>1108</v>
      </c>
      <c r="T274" s="87" t="s">
        <v>1297</v>
      </c>
      <c r="U274" s="88">
        <v>1659000</v>
      </c>
      <c r="V274" s="88">
        <v>1791720</v>
      </c>
      <c r="W274" s="88">
        <v>1659000</v>
      </c>
      <c r="X274" s="88">
        <v>1791720</v>
      </c>
      <c r="Z274" s="88">
        <v>0</v>
      </c>
      <c r="AA274" s="85">
        <v>43458</v>
      </c>
      <c r="AB274" s="85">
        <v>43460</v>
      </c>
      <c r="AC274" s="85">
        <v>43460</v>
      </c>
      <c r="AD274" s="84">
        <v>0</v>
      </c>
      <c r="AG274" s="84">
        <v>0</v>
      </c>
      <c r="AJ274" s="84">
        <v>0</v>
      </c>
      <c r="AM274" s="84" t="s">
        <v>290</v>
      </c>
      <c r="AN274" s="84" t="s">
        <v>1298</v>
      </c>
      <c r="AR274" s="85">
        <v>43441</v>
      </c>
      <c r="AS274" s="84">
        <v>6001627803</v>
      </c>
      <c r="AT274" s="85">
        <v>43441</v>
      </c>
      <c r="AU274" s="84" t="s">
        <v>1189</v>
      </c>
      <c r="AV274" s="85">
        <v>43460</v>
      </c>
      <c r="AW274" s="123">
        <v>43465</v>
      </c>
      <c r="AX274" s="123">
        <v>43485</v>
      </c>
      <c r="AY274" s="132">
        <v>1592640</v>
      </c>
      <c r="AZ274" s="132">
        <f>ROUNDDOWN(AY274+(AY274*MASTER!$A$2/100),0)</f>
        <v>1720051</v>
      </c>
      <c r="BA274" s="84" t="s">
        <v>287</v>
      </c>
      <c r="BB274" s="88">
        <v>449700</v>
      </c>
      <c r="BC274" s="88">
        <v>485676</v>
      </c>
      <c r="BD274" s="84" t="s">
        <v>1138</v>
      </c>
      <c r="BG274" s="88">
        <v>0</v>
      </c>
      <c r="BK274" s="88">
        <v>0</v>
      </c>
      <c r="BS274" s="88">
        <v>0</v>
      </c>
      <c r="BV274" s="89">
        <v>1791720</v>
      </c>
      <c r="BW274" s="89">
        <v>485676</v>
      </c>
      <c r="BX274" s="89">
        <v>43419</v>
      </c>
      <c r="BY274" s="89">
        <v>1306044</v>
      </c>
      <c r="BZ274" s="112">
        <v>72.893309222423142</v>
      </c>
      <c r="CK274" s="88">
        <v>105000</v>
      </c>
    </row>
    <row r="275" spans="1:89" x14ac:dyDescent="0.15">
      <c r="A275" s="84">
        <v>2</v>
      </c>
      <c r="B275" s="85">
        <v>43441</v>
      </c>
      <c r="C275" s="85">
        <v>43459</v>
      </c>
      <c r="D275" s="85" t="s">
        <v>374</v>
      </c>
      <c r="F275" s="85">
        <v>43466</v>
      </c>
      <c r="G275" s="85">
        <v>43461</v>
      </c>
      <c r="H275" s="85">
        <v>43462</v>
      </c>
      <c r="I275" s="84" t="s">
        <v>776</v>
      </c>
      <c r="J275" s="84">
        <v>1</v>
      </c>
      <c r="L275" s="84">
        <v>0</v>
      </c>
      <c r="M275" s="85">
        <v>43419</v>
      </c>
      <c r="N275" s="85" t="s">
        <v>265</v>
      </c>
      <c r="O275" s="86" t="s">
        <v>340</v>
      </c>
      <c r="P275" s="84" t="s">
        <v>26</v>
      </c>
      <c r="Q275" s="86" t="s">
        <v>122</v>
      </c>
      <c r="R275" s="86" t="s">
        <v>1183</v>
      </c>
      <c r="S275" s="87" t="s">
        <v>459</v>
      </c>
      <c r="T275" s="87" t="s">
        <v>1143</v>
      </c>
      <c r="U275" s="88">
        <v>23900</v>
      </c>
      <c r="V275" s="88">
        <v>25812</v>
      </c>
      <c r="W275" s="88">
        <v>14700</v>
      </c>
      <c r="X275" s="88">
        <v>15876</v>
      </c>
      <c r="Y275" s="88">
        <v>9200</v>
      </c>
      <c r="Z275" s="88">
        <v>9936</v>
      </c>
      <c r="AA275" s="85">
        <v>43458</v>
      </c>
      <c r="AB275" s="85">
        <v>43459</v>
      </c>
      <c r="AC275" s="85">
        <v>43459</v>
      </c>
      <c r="AD275" s="84">
        <v>0</v>
      </c>
      <c r="AG275" s="84">
        <v>0</v>
      </c>
      <c r="AJ275" s="84">
        <v>0</v>
      </c>
      <c r="AM275" s="84" t="s">
        <v>290</v>
      </c>
      <c r="AN275" s="84" t="s">
        <v>1184</v>
      </c>
      <c r="AR275" s="85">
        <v>43440</v>
      </c>
      <c r="AS275" s="84">
        <v>6001627236</v>
      </c>
      <c r="AT275" s="85">
        <v>43440</v>
      </c>
      <c r="AU275" s="84" t="s">
        <v>1146</v>
      </c>
      <c r="AV275" s="85">
        <v>43459</v>
      </c>
      <c r="AW275" s="123">
        <v>43465</v>
      </c>
      <c r="AX275" s="123">
        <v>43485</v>
      </c>
      <c r="AY275" s="132">
        <v>22944</v>
      </c>
      <c r="AZ275" s="132">
        <f>ROUNDDOWN(AY275+(AY275*MASTER!$A$2/100),0)</f>
        <v>24779</v>
      </c>
      <c r="BA275" s="84" t="s">
        <v>778</v>
      </c>
      <c r="BC275" s="88">
        <v>0</v>
      </c>
      <c r="BG275" s="88">
        <v>0</v>
      </c>
      <c r="BI275" s="84" t="s">
        <v>276</v>
      </c>
      <c r="BJ275" s="88">
        <v>5980</v>
      </c>
      <c r="BK275" s="88">
        <v>6458.4</v>
      </c>
      <c r="BL275" s="84" t="s">
        <v>1421</v>
      </c>
      <c r="BS275" s="88">
        <v>0</v>
      </c>
      <c r="BV275" s="89">
        <v>15876</v>
      </c>
      <c r="BW275" s="89">
        <v>6458.4</v>
      </c>
      <c r="BX275" s="89">
        <v>43419</v>
      </c>
      <c r="BY275" s="89">
        <v>9417.6</v>
      </c>
      <c r="BZ275" s="112">
        <v>59.319727891156461</v>
      </c>
      <c r="CK275" s="88">
        <v>0</v>
      </c>
    </row>
    <row r="276" spans="1:89" x14ac:dyDescent="0.15">
      <c r="A276" s="84">
        <v>1</v>
      </c>
      <c r="B276" s="85">
        <v>43438</v>
      </c>
      <c r="C276" s="85">
        <v>43441</v>
      </c>
      <c r="F276" s="85" t="s">
        <v>338</v>
      </c>
      <c r="H276" s="85" t="s">
        <v>338</v>
      </c>
      <c r="J276" s="84">
        <v>2</v>
      </c>
      <c r="L276" s="84" t="s">
        <v>584</v>
      </c>
      <c r="M276" s="85">
        <v>43420</v>
      </c>
      <c r="N276" s="85" t="s">
        <v>265</v>
      </c>
      <c r="O276" s="86" t="s">
        <v>340</v>
      </c>
      <c r="P276" s="84" t="s">
        <v>78</v>
      </c>
      <c r="Q276" s="86" t="s">
        <v>122</v>
      </c>
      <c r="R276" s="86" t="s">
        <v>885</v>
      </c>
      <c r="S276" s="87" t="s">
        <v>407</v>
      </c>
      <c r="T276" s="87" t="s">
        <v>408</v>
      </c>
      <c r="U276" s="88">
        <v>8300</v>
      </c>
      <c r="V276" s="88">
        <v>8964</v>
      </c>
      <c r="W276" s="88">
        <v>8300</v>
      </c>
      <c r="X276" s="88">
        <v>8964</v>
      </c>
      <c r="Z276" s="88">
        <v>0</v>
      </c>
      <c r="AD276" s="84">
        <v>0</v>
      </c>
      <c r="AG276" s="84">
        <v>0</v>
      </c>
      <c r="AJ276" s="84">
        <v>0</v>
      </c>
      <c r="AR276" s="85">
        <v>43420</v>
      </c>
      <c r="AS276" s="84">
        <v>6001620446</v>
      </c>
      <c r="AT276" s="85">
        <v>43420</v>
      </c>
      <c r="AU276" s="84" t="s">
        <v>890</v>
      </c>
      <c r="AV276" s="85">
        <v>43441</v>
      </c>
      <c r="AW276" s="123">
        <v>43465</v>
      </c>
      <c r="AX276" s="123">
        <v>43485</v>
      </c>
      <c r="AY276" s="132">
        <v>7968</v>
      </c>
      <c r="AZ276" s="132">
        <f>ROUNDDOWN(AY276+(AY276*MASTER!$A$2/100),0)</f>
        <v>8605</v>
      </c>
      <c r="BC276" s="88">
        <v>0</v>
      </c>
      <c r="BG276" s="88">
        <v>0</v>
      </c>
      <c r="BK276" s="88">
        <v>0</v>
      </c>
      <c r="BS276" s="88">
        <v>0</v>
      </c>
      <c r="BV276" s="89">
        <v>8964</v>
      </c>
      <c r="BW276" s="89">
        <v>0</v>
      </c>
      <c r="BX276" s="89">
        <v>43420</v>
      </c>
      <c r="BY276" s="89">
        <v>8964</v>
      </c>
      <c r="BZ276" s="112">
        <v>100</v>
      </c>
      <c r="CK276" s="88">
        <v>0</v>
      </c>
    </row>
    <row r="277" spans="1:89" x14ac:dyDescent="0.15">
      <c r="A277" s="84">
        <v>1</v>
      </c>
      <c r="B277" s="85">
        <v>43426</v>
      </c>
      <c r="C277" s="85">
        <v>43430</v>
      </c>
      <c r="F277" s="85" t="s">
        <v>338</v>
      </c>
      <c r="H277" s="85" t="s">
        <v>338</v>
      </c>
      <c r="J277" s="84">
        <v>2</v>
      </c>
      <c r="L277" s="84">
        <v>0</v>
      </c>
      <c r="M277" s="85">
        <v>43423</v>
      </c>
      <c r="N277" s="85" t="s">
        <v>265</v>
      </c>
      <c r="O277" s="86" t="s">
        <v>340</v>
      </c>
      <c r="P277" s="84" t="s">
        <v>78</v>
      </c>
      <c r="Q277" s="86" t="s">
        <v>122</v>
      </c>
      <c r="R277" s="86" t="s">
        <v>893</v>
      </c>
      <c r="S277" s="87" t="s">
        <v>407</v>
      </c>
      <c r="T277" s="87" t="s">
        <v>408</v>
      </c>
      <c r="U277" s="88">
        <v>66400</v>
      </c>
      <c r="V277" s="88">
        <v>71712</v>
      </c>
      <c r="W277" s="88">
        <v>66400</v>
      </c>
      <c r="X277" s="88">
        <v>71712</v>
      </c>
      <c r="Z277" s="88">
        <v>0</v>
      </c>
      <c r="AD277" s="84">
        <v>0</v>
      </c>
      <c r="AG277" s="84">
        <v>0</v>
      </c>
      <c r="AJ277" s="84">
        <v>0</v>
      </c>
      <c r="AR277" s="85">
        <v>43423</v>
      </c>
      <c r="AS277" s="84">
        <v>6001620879</v>
      </c>
      <c r="AT277" s="85">
        <v>43424</v>
      </c>
      <c r="AU277" s="84" t="s">
        <v>934</v>
      </c>
      <c r="AV277" s="85">
        <v>43430</v>
      </c>
      <c r="AW277" s="123">
        <v>43434</v>
      </c>
      <c r="AX277" s="123">
        <v>43454</v>
      </c>
      <c r="AY277" s="132">
        <v>63744</v>
      </c>
      <c r="AZ277" s="132">
        <f>ROUNDDOWN(AY277+(AY277*MASTER!$A$2/100),0)</f>
        <v>68843</v>
      </c>
      <c r="BC277" s="88">
        <v>0</v>
      </c>
      <c r="BG277" s="88">
        <v>0</v>
      </c>
      <c r="BK277" s="88">
        <v>0</v>
      </c>
      <c r="BS277" s="88">
        <v>0</v>
      </c>
      <c r="BV277" s="89">
        <v>71712</v>
      </c>
      <c r="BW277" s="89">
        <v>0</v>
      </c>
      <c r="BX277" s="89">
        <v>43423</v>
      </c>
      <c r="BY277" s="89">
        <v>71712</v>
      </c>
      <c r="BZ277" s="112">
        <v>100</v>
      </c>
      <c r="CD277" s="87" t="s">
        <v>951</v>
      </c>
      <c r="CK277" s="88">
        <v>0</v>
      </c>
    </row>
    <row r="278" spans="1:89" x14ac:dyDescent="0.15">
      <c r="A278" s="84">
        <v>1</v>
      </c>
      <c r="B278" s="85">
        <v>43426</v>
      </c>
      <c r="C278" s="85">
        <v>43430</v>
      </c>
      <c r="F278" s="85" t="s">
        <v>338</v>
      </c>
      <c r="H278" s="85" t="s">
        <v>338</v>
      </c>
      <c r="J278" s="84">
        <v>2</v>
      </c>
      <c r="L278" s="84">
        <v>0</v>
      </c>
      <c r="M278" s="85">
        <v>43423</v>
      </c>
      <c r="N278" s="85" t="s">
        <v>265</v>
      </c>
      <c r="O278" s="86" t="s">
        <v>340</v>
      </c>
      <c r="P278" s="84" t="s">
        <v>78</v>
      </c>
      <c r="Q278" s="86" t="s">
        <v>122</v>
      </c>
      <c r="R278" s="86" t="s">
        <v>894</v>
      </c>
      <c r="S278" s="87" t="s">
        <v>407</v>
      </c>
      <c r="T278" s="87" t="s">
        <v>582</v>
      </c>
      <c r="U278" s="88">
        <v>10300</v>
      </c>
      <c r="V278" s="88">
        <v>11124</v>
      </c>
      <c r="W278" s="88">
        <v>10300</v>
      </c>
      <c r="X278" s="88">
        <v>11124</v>
      </c>
      <c r="Z278" s="88">
        <v>0</v>
      </c>
      <c r="AD278" s="84">
        <v>0</v>
      </c>
      <c r="AG278" s="84">
        <v>0</v>
      </c>
      <c r="AJ278" s="84">
        <v>0</v>
      </c>
      <c r="AR278" s="85">
        <v>43423</v>
      </c>
      <c r="AS278" s="84">
        <v>6001620879</v>
      </c>
      <c r="AT278" s="85">
        <v>43424</v>
      </c>
      <c r="AU278" s="84" t="s">
        <v>934</v>
      </c>
      <c r="AV278" s="85">
        <v>43430</v>
      </c>
      <c r="AW278" s="123">
        <v>43434</v>
      </c>
      <c r="AX278" s="123">
        <v>43454</v>
      </c>
      <c r="AY278" s="132">
        <v>9888</v>
      </c>
      <c r="AZ278" s="132">
        <f>ROUNDDOWN(AY278+(AY278*MASTER!$A$2/100),0)</f>
        <v>10679</v>
      </c>
      <c r="BC278" s="88">
        <v>0</v>
      </c>
      <c r="BG278" s="88">
        <v>0</v>
      </c>
      <c r="BK278" s="88">
        <v>0</v>
      </c>
      <c r="BS278" s="88">
        <v>0</v>
      </c>
      <c r="BV278" s="89">
        <v>11124</v>
      </c>
      <c r="BW278" s="89">
        <v>0</v>
      </c>
      <c r="BX278" s="89">
        <v>43423</v>
      </c>
      <c r="BY278" s="89">
        <v>11124</v>
      </c>
      <c r="BZ278" s="112">
        <v>100</v>
      </c>
      <c r="CD278" s="87" t="s">
        <v>952</v>
      </c>
      <c r="CK278" s="88">
        <v>0</v>
      </c>
    </row>
    <row r="279" spans="1:89" s="151" customFormat="1" x14ac:dyDescent="0.15">
      <c r="A279" s="141">
        <v>3</v>
      </c>
      <c r="B279" s="142"/>
      <c r="C279" s="142" t="s">
        <v>338</v>
      </c>
      <c r="D279" s="142"/>
      <c r="E279" s="142"/>
      <c r="F279" s="142" t="s">
        <v>338</v>
      </c>
      <c r="G279" s="142"/>
      <c r="H279" s="142" t="s">
        <v>338</v>
      </c>
      <c r="I279" s="141"/>
      <c r="J279" s="141">
        <v>2</v>
      </c>
      <c r="K279" s="142"/>
      <c r="L279" s="141">
        <v>0</v>
      </c>
      <c r="M279" s="142">
        <v>43423</v>
      </c>
      <c r="N279" s="142" t="s">
        <v>265</v>
      </c>
      <c r="O279" s="143" t="s">
        <v>340</v>
      </c>
      <c r="P279" s="141" t="s">
        <v>272</v>
      </c>
      <c r="Q279" s="143" t="s">
        <v>122</v>
      </c>
      <c r="R279" s="143" t="s">
        <v>895</v>
      </c>
      <c r="S279" s="144" t="s">
        <v>853</v>
      </c>
      <c r="T279" s="144" t="s">
        <v>896</v>
      </c>
      <c r="U279" s="145">
        <v>700</v>
      </c>
      <c r="V279" s="145">
        <v>756</v>
      </c>
      <c r="W279" s="145">
        <v>700</v>
      </c>
      <c r="X279" s="145">
        <v>756</v>
      </c>
      <c r="Y279" s="145"/>
      <c r="Z279" s="145">
        <v>0</v>
      </c>
      <c r="AA279" s="142"/>
      <c r="AB279" s="142"/>
      <c r="AC279" s="142"/>
      <c r="AD279" s="141">
        <v>0</v>
      </c>
      <c r="AE279" s="141"/>
      <c r="AF279" s="141"/>
      <c r="AG279" s="141">
        <v>0</v>
      </c>
      <c r="AH279" s="141"/>
      <c r="AI279" s="141"/>
      <c r="AJ279" s="141">
        <v>0</v>
      </c>
      <c r="AK279" s="141"/>
      <c r="AL279" s="141"/>
      <c r="AM279" s="141"/>
      <c r="AN279" s="141"/>
      <c r="AO279" s="142"/>
      <c r="AP279" s="141"/>
      <c r="AQ279" s="141"/>
      <c r="AR279" s="142"/>
      <c r="AS279" s="141"/>
      <c r="AT279" s="142"/>
      <c r="AU279" s="141"/>
      <c r="AV279" s="142"/>
      <c r="AW279" s="146"/>
      <c r="AX279" s="146"/>
      <c r="AY279" s="147">
        <v>672</v>
      </c>
      <c r="AZ279" s="132">
        <f>ROUNDDOWN(AY279+(AY279*MASTER!$A$2/100),0)</f>
        <v>725</v>
      </c>
      <c r="BA279" s="141"/>
      <c r="BB279" s="145"/>
      <c r="BC279" s="145">
        <v>0</v>
      </c>
      <c r="BD279" s="141"/>
      <c r="BE279" s="141"/>
      <c r="BF279" s="145"/>
      <c r="BG279" s="145">
        <v>0</v>
      </c>
      <c r="BH279" s="141"/>
      <c r="BI279" s="141"/>
      <c r="BJ279" s="145"/>
      <c r="BK279" s="145">
        <v>0</v>
      </c>
      <c r="BL279" s="141"/>
      <c r="BM279" s="145"/>
      <c r="BN279" s="145"/>
      <c r="BO279" s="145"/>
      <c r="BP279" s="145"/>
      <c r="BQ279" s="145"/>
      <c r="BR279" s="145"/>
      <c r="BS279" s="145">
        <v>0</v>
      </c>
      <c r="BT279" s="148"/>
      <c r="BU279" s="148"/>
      <c r="BV279" s="149">
        <v>756</v>
      </c>
      <c r="BW279" s="149">
        <v>0</v>
      </c>
      <c r="BX279" s="149">
        <v>43423</v>
      </c>
      <c r="BY279" s="149">
        <v>756</v>
      </c>
      <c r="BZ279" s="150">
        <v>100</v>
      </c>
      <c r="CA279" s="141"/>
      <c r="CB279" s="141"/>
      <c r="CC279" s="141"/>
      <c r="CD279" s="144" t="s">
        <v>909</v>
      </c>
      <c r="CE279" s="142"/>
      <c r="CF279" s="142"/>
      <c r="CG279" s="142"/>
      <c r="CH279" s="142"/>
      <c r="CI279" s="142"/>
      <c r="CJ279" s="142"/>
      <c r="CK279" s="145"/>
    </row>
    <row r="280" spans="1:89" s="151" customFormat="1" x14ac:dyDescent="0.15">
      <c r="A280" s="141">
        <v>3</v>
      </c>
      <c r="B280" s="142"/>
      <c r="C280" s="142" t="s">
        <v>338</v>
      </c>
      <c r="D280" s="142"/>
      <c r="E280" s="142"/>
      <c r="F280" s="142" t="s">
        <v>338</v>
      </c>
      <c r="G280" s="142"/>
      <c r="H280" s="142" t="s">
        <v>338</v>
      </c>
      <c r="I280" s="141"/>
      <c r="J280" s="141">
        <v>3</v>
      </c>
      <c r="K280" s="142"/>
      <c r="L280" s="141">
        <v>0</v>
      </c>
      <c r="M280" s="142">
        <v>43423</v>
      </c>
      <c r="N280" s="142" t="s">
        <v>265</v>
      </c>
      <c r="O280" s="143" t="s">
        <v>340</v>
      </c>
      <c r="P280" s="141" t="s">
        <v>6</v>
      </c>
      <c r="Q280" s="143" t="s">
        <v>122</v>
      </c>
      <c r="R280" s="143" t="s">
        <v>1500</v>
      </c>
      <c r="S280" s="144" t="s">
        <v>709</v>
      </c>
      <c r="T280" s="144" t="s">
        <v>1499</v>
      </c>
      <c r="U280" s="145">
        <v>18000</v>
      </c>
      <c r="V280" s="145">
        <v>19440</v>
      </c>
      <c r="W280" s="145"/>
      <c r="X280" s="145">
        <v>0</v>
      </c>
      <c r="Y280" s="145">
        <v>18000</v>
      </c>
      <c r="Z280" s="145">
        <v>19440</v>
      </c>
      <c r="AA280" s="142"/>
      <c r="AB280" s="142"/>
      <c r="AC280" s="142"/>
      <c r="AD280" s="141">
        <v>0</v>
      </c>
      <c r="AE280" s="141"/>
      <c r="AF280" s="141"/>
      <c r="AG280" s="141">
        <v>0</v>
      </c>
      <c r="AH280" s="141"/>
      <c r="AI280" s="141"/>
      <c r="AJ280" s="141">
        <v>0</v>
      </c>
      <c r="AK280" s="141"/>
      <c r="AL280" s="141"/>
      <c r="AM280" s="141"/>
      <c r="AN280" s="141"/>
      <c r="AO280" s="142"/>
      <c r="AP280" s="141"/>
      <c r="AQ280" s="141"/>
      <c r="AR280" s="142"/>
      <c r="AS280" s="141"/>
      <c r="AT280" s="142"/>
      <c r="AU280" s="141"/>
      <c r="AV280" s="142"/>
      <c r="AW280" s="146"/>
      <c r="AX280" s="146"/>
      <c r="AY280" s="147">
        <v>17280</v>
      </c>
      <c r="AZ280" s="132">
        <f>ROUNDDOWN(AY280+(AY280*MASTER!$A$2/100),0)</f>
        <v>18662</v>
      </c>
      <c r="BA280" s="141"/>
      <c r="BB280" s="145"/>
      <c r="BC280" s="145">
        <v>0</v>
      </c>
      <c r="BD280" s="141"/>
      <c r="BE280" s="141"/>
      <c r="BF280" s="145"/>
      <c r="BG280" s="145">
        <v>0</v>
      </c>
      <c r="BH280" s="141"/>
      <c r="BI280" s="141"/>
      <c r="BJ280" s="145"/>
      <c r="BK280" s="145">
        <v>0</v>
      </c>
      <c r="BL280" s="141"/>
      <c r="BM280" s="145"/>
      <c r="BN280" s="145"/>
      <c r="BO280" s="145"/>
      <c r="BP280" s="145"/>
      <c r="BQ280" s="145"/>
      <c r="BR280" s="145"/>
      <c r="BS280" s="145">
        <v>0</v>
      </c>
      <c r="BT280" s="148"/>
      <c r="BU280" s="148"/>
      <c r="BV280" s="149">
        <v>0</v>
      </c>
      <c r="BW280" s="149">
        <v>0</v>
      </c>
      <c r="BX280" s="149">
        <v>43423</v>
      </c>
      <c r="BY280" s="149">
        <v>0</v>
      </c>
      <c r="BZ280" s="150" t="s">
        <v>338</v>
      </c>
      <c r="CA280" s="141"/>
      <c r="CB280" s="141"/>
      <c r="CC280" s="141"/>
      <c r="CD280" s="144" t="s">
        <v>1501</v>
      </c>
      <c r="CE280" s="142"/>
      <c r="CF280" s="142"/>
      <c r="CG280" s="142"/>
      <c r="CH280" s="142"/>
      <c r="CI280" s="142"/>
      <c r="CJ280" s="142"/>
      <c r="CK280" s="145"/>
    </row>
    <row r="281" spans="1:89" s="151" customFormat="1" x14ac:dyDescent="0.15">
      <c r="A281" s="141">
        <v>3</v>
      </c>
      <c r="B281" s="142"/>
      <c r="C281" s="142" t="s">
        <v>338</v>
      </c>
      <c r="D281" s="142"/>
      <c r="E281" s="142"/>
      <c r="F281" s="142" t="s">
        <v>338</v>
      </c>
      <c r="G281" s="142"/>
      <c r="H281" s="142" t="s">
        <v>338</v>
      </c>
      <c r="I281" s="141"/>
      <c r="J281" s="141">
        <v>3</v>
      </c>
      <c r="K281" s="142"/>
      <c r="L281" s="141">
        <v>0</v>
      </c>
      <c r="M281" s="142">
        <v>43423</v>
      </c>
      <c r="N281" s="142" t="s">
        <v>265</v>
      </c>
      <c r="O281" s="143" t="s">
        <v>340</v>
      </c>
      <c r="P281" s="141" t="s">
        <v>6</v>
      </c>
      <c r="Q281" s="143" t="s">
        <v>122</v>
      </c>
      <c r="R281" s="143" t="s">
        <v>1502</v>
      </c>
      <c r="S281" s="144" t="s">
        <v>709</v>
      </c>
      <c r="T281" s="144" t="s">
        <v>1503</v>
      </c>
      <c r="U281" s="145">
        <v>9000</v>
      </c>
      <c r="V281" s="145">
        <v>9720</v>
      </c>
      <c r="W281" s="145"/>
      <c r="X281" s="145">
        <v>0</v>
      </c>
      <c r="Y281" s="145">
        <v>9000</v>
      </c>
      <c r="Z281" s="145">
        <v>9720</v>
      </c>
      <c r="AA281" s="142"/>
      <c r="AB281" s="142"/>
      <c r="AC281" s="142"/>
      <c r="AD281" s="141">
        <v>0</v>
      </c>
      <c r="AE281" s="141"/>
      <c r="AF281" s="141"/>
      <c r="AG281" s="141">
        <v>0</v>
      </c>
      <c r="AH281" s="141"/>
      <c r="AI281" s="141"/>
      <c r="AJ281" s="141">
        <v>0</v>
      </c>
      <c r="AK281" s="141"/>
      <c r="AL281" s="141"/>
      <c r="AM281" s="141"/>
      <c r="AN281" s="141"/>
      <c r="AO281" s="142"/>
      <c r="AP281" s="141"/>
      <c r="AQ281" s="141"/>
      <c r="AR281" s="142"/>
      <c r="AS281" s="141"/>
      <c r="AT281" s="142"/>
      <c r="AU281" s="141"/>
      <c r="AV281" s="142"/>
      <c r="AW281" s="146"/>
      <c r="AX281" s="146"/>
      <c r="AY281" s="147">
        <v>8640</v>
      </c>
      <c r="AZ281" s="132">
        <f>ROUNDDOWN(AY281+(AY281*MASTER!$A$2/100),0)</f>
        <v>9331</v>
      </c>
      <c r="BA281" s="141"/>
      <c r="BB281" s="145"/>
      <c r="BC281" s="145">
        <v>0</v>
      </c>
      <c r="BD281" s="141"/>
      <c r="BE281" s="141"/>
      <c r="BF281" s="145"/>
      <c r="BG281" s="145">
        <v>0</v>
      </c>
      <c r="BH281" s="141"/>
      <c r="BI281" s="141"/>
      <c r="BJ281" s="145"/>
      <c r="BK281" s="145">
        <v>0</v>
      </c>
      <c r="BL281" s="141"/>
      <c r="BM281" s="145"/>
      <c r="BN281" s="145"/>
      <c r="BO281" s="145"/>
      <c r="BP281" s="145"/>
      <c r="BQ281" s="145"/>
      <c r="BR281" s="145"/>
      <c r="BS281" s="145">
        <v>0</v>
      </c>
      <c r="BT281" s="148"/>
      <c r="BU281" s="148"/>
      <c r="BV281" s="149">
        <v>0</v>
      </c>
      <c r="BW281" s="149">
        <v>0</v>
      </c>
      <c r="BX281" s="149">
        <v>43423</v>
      </c>
      <c r="BY281" s="149">
        <v>0</v>
      </c>
      <c r="BZ281" s="150" t="s">
        <v>338</v>
      </c>
      <c r="CA281" s="141"/>
      <c r="CB281" s="141"/>
      <c r="CC281" s="141"/>
      <c r="CD281" s="144" t="s">
        <v>1504</v>
      </c>
      <c r="CE281" s="142"/>
      <c r="CF281" s="142"/>
      <c r="CG281" s="142"/>
      <c r="CH281" s="142"/>
      <c r="CI281" s="142"/>
      <c r="CJ281" s="142"/>
      <c r="CK281" s="145"/>
    </row>
    <row r="282" spans="1:89" x14ac:dyDescent="0.15">
      <c r="A282" s="84">
        <v>2</v>
      </c>
      <c r="B282" s="85">
        <v>43451</v>
      </c>
      <c r="C282" s="85">
        <v>43454</v>
      </c>
      <c r="F282" s="85" t="s">
        <v>338</v>
      </c>
      <c r="H282" s="85" t="s">
        <v>338</v>
      </c>
      <c r="J282" s="84">
        <v>1</v>
      </c>
      <c r="L282" s="84">
        <v>0</v>
      </c>
      <c r="M282" s="85">
        <v>43424</v>
      </c>
      <c r="N282" s="85" t="s">
        <v>265</v>
      </c>
      <c r="O282" s="86" t="s">
        <v>340</v>
      </c>
      <c r="P282" s="84" t="s">
        <v>6</v>
      </c>
      <c r="Q282" s="86" t="s">
        <v>122</v>
      </c>
      <c r="R282" s="86" t="s">
        <v>907</v>
      </c>
      <c r="S282" s="87" t="s">
        <v>908</v>
      </c>
      <c r="T282" s="87" t="s">
        <v>563</v>
      </c>
      <c r="U282" s="88">
        <v>117250</v>
      </c>
      <c r="V282" s="88">
        <v>126630</v>
      </c>
      <c r="W282" s="88">
        <v>61250</v>
      </c>
      <c r="X282" s="88">
        <v>66150</v>
      </c>
      <c r="Y282" s="88">
        <v>56000</v>
      </c>
      <c r="Z282" s="88">
        <v>60480</v>
      </c>
      <c r="AA282" s="85">
        <v>43437</v>
      </c>
      <c r="AD282" s="84">
        <v>0</v>
      </c>
      <c r="AG282" s="84">
        <v>0</v>
      </c>
      <c r="AJ282" s="84">
        <v>0</v>
      </c>
      <c r="AR282" s="85">
        <v>43448</v>
      </c>
      <c r="AS282" s="84">
        <v>6001630339</v>
      </c>
      <c r="AT282" s="85">
        <v>43448</v>
      </c>
      <c r="AU282" s="84" t="s">
        <v>1262</v>
      </c>
      <c r="AV282" s="85">
        <v>43454</v>
      </c>
      <c r="AW282" s="123">
        <v>43465</v>
      </c>
      <c r="AX282" s="123">
        <v>43485</v>
      </c>
      <c r="AY282" s="132">
        <v>112560</v>
      </c>
      <c r="AZ282" s="132">
        <f>ROUNDDOWN(AY282+(AY282*MASTER!$A$2/100),0)</f>
        <v>121564</v>
      </c>
      <c r="BA282" s="84" t="s">
        <v>477</v>
      </c>
      <c r="BB282" s="88">
        <v>35000</v>
      </c>
      <c r="BC282" s="88">
        <v>37800</v>
      </c>
      <c r="BD282" s="84" t="s">
        <v>190</v>
      </c>
      <c r="BG282" s="88">
        <v>0</v>
      </c>
      <c r="BK282" s="88">
        <v>0</v>
      </c>
      <c r="BS282" s="88">
        <v>0</v>
      </c>
      <c r="BV282" s="89">
        <v>66150</v>
      </c>
      <c r="BW282" s="89">
        <v>37800</v>
      </c>
      <c r="BX282" s="89">
        <v>43424</v>
      </c>
      <c r="BY282" s="89">
        <v>28350</v>
      </c>
      <c r="BZ282" s="112">
        <v>42.857142857142854</v>
      </c>
    </row>
    <row r="283" spans="1:89" x14ac:dyDescent="0.15">
      <c r="A283" s="84">
        <v>1</v>
      </c>
      <c r="B283" s="85">
        <v>43425</v>
      </c>
      <c r="C283" s="85">
        <v>43426</v>
      </c>
      <c r="F283" s="85" t="s">
        <v>338</v>
      </c>
      <c r="H283" s="85" t="s">
        <v>338</v>
      </c>
      <c r="J283" s="84">
        <v>2</v>
      </c>
      <c r="L283" s="84">
        <v>0</v>
      </c>
      <c r="M283" s="85">
        <v>43425</v>
      </c>
      <c r="N283" s="85" t="s">
        <v>265</v>
      </c>
      <c r="O283" s="86" t="s">
        <v>340</v>
      </c>
      <c r="P283" s="84" t="s">
        <v>272</v>
      </c>
      <c r="Q283" s="86" t="s">
        <v>122</v>
      </c>
      <c r="R283" s="86" t="s">
        <v>930</v>
      </c>
      <c r="S283" s="87" t="s">
        <v>351</v>
      </c>
      <c r="T283" s="87" t="s">
        <v>931</v>
      </c>
      <c r="U283" s="88">
        <v>700</v>
      </c>
      <c r="V283" s="88">
        <v>756</v>
      </c>
      <c r="W283" s="88">
        <v>700</v>
      </c>
      <c r="X283" s="88">
        <v>756</v>
      </c>
      <c r="Z283" s="88">
        <v>0</v>
      </c>
      <c r="AD283" s="84">
        <v>0</v>
      </c>
      <c r="AG283" s="84">
        <v>0</v>
      </c>
      <c r="AJ283" s="84">
        <v>0</v>
      </c>
      <c r="AR283" s="85">
        <v>43424</v>
      </c>
      <c r="AS283" s="84">
        <v>6001621469</v>
      </c>
      <c r="AT283" s="85">
        <v>43424</v>
      </c>
      <c r="AU283" s="84" t="s">
        <v>933</v>
      </c>
      <c r="AV283" s="85">
        <v>43426</v>
      </c>
      <c r="AW283" s="123">
        <v>43434</v>
      </c>
      <c r="AX283" s="123">
        <v>43454</v>
      </c>
      <c r="AY283" s="132">
        <v>672</v>
      </c>
      <c r="AZ283" s="132">
        <f>ROUNDDOWN(AY283+(AY283*MASTER!$A$2/100),0)</f>
        <v>725</v>
      </c>
      <c r="BC283" s="88">
        <v>0</v>
      </c>
      <c r="BG283" s="88">
        <v>0</v>
      </c>
      <c r="BK283" s="88">
        <v>0</v>
      </c>
      <c r="BS283" s="88">
        <v>0</v>
      </c>
      <c r="BV283" s="89">
        <v>756</v>
      </c>
      <c r="BW283" s="89">
        <v>0</v>
      </c>
      <c r="BX283" s="89">
        <v>43425</v>
      </c>
      <c r="BY283" s="89">
        <v>756</v>
      </c>
      <c r="BZ283" s="112">
        <v>100</v>
      </c>
      <c r="CD283" s="87" t="s">
        <v>932</v>
      </c>
      <c r="CK283" s="88">
        <v>0</v>
      </c>
    </row>
    <row r="284" spans="1:89" x14ac:dyDescent="0.15">
      <c r="A284" s="84">
        <v>2</v>
      </c>
      <c r="B284" s="85">
        <v>43441</v>
      </c>
      <c r="C284" s="85">
        <v>43449</v>
      </c>
      <c r="F284" s="85">
        <v>43456</v>
      </c>
      <c r="G284" s="85">
        <v>43452</v>
      </c>
      <c r="H284" s="85">
        <v>43452</v>
      </c>
      <c r="I284" s="84" t="s">
        <v>401</v>
      </c>
      <c r="J284" s="84">
        <v>1</v>
      </c>
      <c r="L284" s="84">
        <v>0</v>
      </c>
      <c r="M284" s="85">
        <v>43424</v>
      </c>
      <c r="N284" s="85" t="s">
        <v>265</v>
      </c>
      <c r="O284" s="86" t="s">
        <v>340</v>
      </c>
      <c r="P284" s="84" t="s">
        <v>26</v>
      </c>
      <c r="Q284" s="86" t="s">
        <v>122</v>
      </c>
      <c r="R284" s="86" t="s">
        <v>1147</v>
      </c>
      <c r="S284" s="87" t="s">
        <v>1148</v>
      </c>
      <c r="T284" s="87" t="s">
        <v>794</v>
      </c>
      <c r="U284" s="88">
        <v>23900</v>
      </c>
      <c r="V284" s="88">
        <v>25812</v>
      </c>
      <c r="W284" s="88">
        <v>14700</v>
      </c>
      <c r="X284" s="88">
        <v>15876</v>
      </c>
      <c r="Y284" s="88">
        <v>9200</v>
      </c>
      <c r="Z284" s="88">
        <v>9936</v>
      </c>
      <c r="AA284" s="85">
        <v>43448</v>
      </c>
      <c r="AB284" s="85">
        <v>43449</v>
      </c>
      <c r="AC284" s="85">
        <v>43449</v>
      </c>
      <c r="AD284" s="84">
        <v>0</v>
      </c>
      <c r="AG284" s="84">
        <v>0</v>
      </c>
      <c r="AJ284" s="84">
        <v>0</v>
      </c>
      <c r="AM284" s="84" t="s">
        <v>290</v>
      </c>
      <c r="AN284" s="84" t="s">
        <v>1149</v>
      </c>
      <c r="AR284" s="85">
        <v>43438</v>
      </c>
      <c r="AS284" s="84">
        <v>6001625953</v>
      </c>
      <c r="AT284" s="85">
        <v>43439</v>
      </c>
      <c r="AU284" s="84" t="s">
        <v>1130</v>
      </c>
      <c r="AV284" s="85">
        <v>43449</v>
      </c>
      <c r="AW284" s="123">
        <v>43465</v>
      </c>
      <c r="AX284" s="123">
        <v>43485</v>
      </c>
      <c r="AY284" s="132">
        <v>22944</v>
      </c>
      <c r="AZ284" s="132">
        <f>ROUNDDOWN(AY284+(AY284*MASTER!$A$2/100),0)</f>
        <v>24779</v>
      </c>
      <c r="BA284" s="84" t="s">
        <v>778</v>
      </c>
      <c r="BC284" s="88">
        <v>0</v>
      </c>
      <c r="BG284" s="88">
        <v>0</v>
      </c>
      <c r="BI284" s="84" t="s">
        <v>276</v>
      </c>
      <c r="BJ284" s="88">
        <v>5980</v>
      </c>
      <c r="BK284" s="88">
        <v>6458.4</v>
      </c>
      <c r="BL284" s="84" t="s">
        <v>863</v>
      </c>
      <c r="BS284" s="88">
        <v>0</v>
      </c>
      <c r="BV284" s="89">
        <v>15876</v>
      </c>
      <c r="BW284" s="89">
        <v>6458.4</v>
      </c>
      <c r="BX284" s="89">
        <v>43424</v>
      </c>
      <c r="BY284" s="89">
        <v>9417.6</v>
      </c>
      <c r="BZ284" s="112">
        <v>59.319727891156461</v>
      </c>
      <c r="CK284" s="88">
        <v>0</v>
      </c>
    </row>
    <row r="285" spans="1:89" x14ac:dyDescent="0.15">
      <c r="A285" s="84">
        <v>2</v>
      </c>
      <c r="B285" s="85">
        <v>43454</v>
      </c>
      <c r="C285" s="85">
        <v>43474</v>
      </c>
      <c r="D285" s="85">
        <v>43512</v>
      </c>
      <c r="F285" s="85">
        <v>43481</v>
      </c>
      <c r="G285" s="85">
        <v>43474</v>
      </c>
      <c r="H285" s="85">
        <v>43477</v>
      </c>
      <c r="I285" s="84" t="s">
        <v>1191</v>
      </c>
      <c r="J285" s="84">
        <v>1</v>
      </c>
      <c r="L285" s="84">
        <v>0</v>
      </c>
      <c r="M285" s="85">
        <v>43424</v>
      </c>
      <c r="N285" s="85" t="s">
        <v>265</v>
      </c>
      <c r="O285" s="86" t="s">
        <v>340</v>
      </c>
      <c r="P285" s="84" t="s">
        <v>26</v>
      </c>
      <c r="Q285" s="86" t="s">
        <v>122</v>
      </c>
      <c r="R285" s="86" t="s">
        <v>1355</v>
      </c>
      <c r="S285" s="87" t="s">
        <v>1356</v>
      </c>
      <c r="T285" s="87" t="s">
        <v>1010</v>
      </c>
      <c r="U285" s="88">
        <v>110500</v>
      </c>
      <c r="V285" s="88">
        <v>119340</v>
      </c>
      <c r="W285" s="88">
        <v>84300</v>
      </c>
      <c r="X285" s="88">
        <v>91044</v>
      </c>
      <c r="Y285" s="88">
        <v>26200</v>
      </c>
      <c r="Z285" s="88">
        <v>28296</v>
      </c>
      <c r="AA285" s="85">
        <v>43472</v>
      </c>
      <c r="AB285" s="85">
        <v>43474</v>
      </c>
      <c r="AC285" s="85">
        <v>43474</v>
      </c>
      <c r="AD285" s="84">
        <v>0</v>
      </c>
      <c r="AG285" s="84">
        <v>0</v>
      </c>
      <c r="AJ285" s="84">
        <v>0</v>
      </c>
      <c r="AM285" s="84" t="s">
        <v>290</v>
      </c>
      <c r="AN285" s="84" t="s">
        <v>1357</v>
      </c>
      <c r="AR285" s="85">
        <v>43447</v>
      </c>
      <c r="AS285" s="84">
        <v>6001629835</v>
      </c>
      <c r="AT285" s="85">
        <v>43447</v>
      </c>
      <c r="AU285" s="84" t="s">
        <v>1236</v>
      </c>
      <c r="AV285" s="85">
        <v>43474</v>
      </c>
      <c r="AW285" s="123">
        <v>43496</v>
      </c>
      <c r="AX285" s="123">
        <v>43516</v>
      </c>
      <c r="AY285" s="132">
        <v>106080</v>
      </c>
      <c r="AZ285" s="132">
        <f>ROUNDDOWN(AY285+(AY285*MASTER!$A$2/100),0)</f>
        <v>114566</v>
      </c>
      <c r="BA285" s="84" t="s">
        <v>287</v>
      </c>
      <c r="BB285" s="88">
        <v>51600</v>
      </c>
      <c r="BC285" s="88">
        <v>55728</v>
      </c>
      <c r="BD285" s="84" t="s">
        <v>1138</v>
      </c>
      <c r="BG285" s="88">
        <v>0</v>
      </c>
      <c r="BI285" s="84" t="s">
        <v>434</v>
      </c>
      <c r="BJ285" s="88">
        <v>17030</v>
      </c>
      <c r="BK285" s="88">
        <v>18392.400000000001</v>
      </c>
      <c r="BL285" s="84" t="s">
        <v>1138</v>
      </c>
      <c r="BS285" s="88">
        <v>0</v>
      </c>
      <c r="BV285" s="89">
        <v>91044</v>
      </c>
      <c r="BW285" s="89">
        <v>74120.399999999994</v>
      </c>
      <c r="BX285" s="89">
        <v>43424</v>
      </c>
      <c r="BY285" s="89">
        <v>16923.599999999999</v>
      </c>
      <c r="BZ285" s="112">
        <v>18.588374851720054</v>
      </c>
      <c r="CK285" s="88">
        <v>6300</v>
      </c>
    </row>
    <row r="286" spans="1:89" x14ac:dyDescent="0.15">
      <c r="A286" s="84">
        <v>1</v>
      </c>
      <c r="B286" s="85">
        <v>43440</v>
      </c>
      <c r="C286" s="85">
        <v>43439</v>
      </c>
      <c r="F286" s="85" t="s">
        <v>338</v>
      </c>
      <c r="H286" s="85" t="s">
        <v>338</v>
      </c>
      <c r="J286" s="84">
        <v>2</v>
      </c>
      <c r="L286" s="84">
        <v>0</v>
      </c>
      <c r="M286" s="85">
        <v>43424</v>
      </c>
      <c r="N286" s="85" t="s">
        <v>265</v>
      </c>
      <c r="O286" s="86" t="s">
        <v>340</v>
      </c>
      <c r="P286" s="84" t="s">
        <v>78</v>
      </c>
      <c r="Q286" s="86" t="s">
        <v>122</v>
      </c>
      <c r="R286" s="86" t="s">
        <v>1046</v>
      </c>
      <c r="S286" s="87" t="s">
        <v>1047</v>
      </c>
      <c r="T286" s="87" t="s">
        <v>726</v>
      </c>
      <c r="U286" s="88">
        <v>65000</v>
      </c>
      <c r="V286" s="88">
        <v>70200</v>
      </c>
      <c r="W286" s="88">
        <v>65000</v>
      </c>
      <c r="X286" s="88">
        <v>70200</v>
      </c>
      <c r="Z286" s="88">
        <v>0</v>
      </c>
      <c r="AA286" s="85">
        <v>43437</v>
      </c>
      <c r="AB286" s="85">
        <v>43438</v>
      </c>
      <c r="AD286" s="84">
        <v>0</v>
      </c>
      <c r="AG286" s="84">
        <v>0</v>
      </c>
      <c r="AJ286" s="84">
        <v>0</v>
      </c>
      <c r="AN286" s="84" t="s">
        <v>338</v>
      </c>
      <c r="AR286" s="85">
        <v>43438</v>
      </c>
      <c r="AS286" s="84">
        <v>6001626050</v>
      </c>
      <c r="AT286" s="85">
        <v>43439</v>
      </c>
      <c r="AU286" s="84" t="s">
        <v>1131</v>
      </c>
      <c r="AV286" s="85">
        <v>43439</v>
      </c>
      <c r="AW286" s="123">
        <v>43465</v>
      </c>
      <c r="AX286" s="123">
        <v>43485</v>
      </c>
      <c r="AY286" s="132">
        <v>62400</v>
      </c>
      <c r="AZ286" s="132">
        <f>ROUNDDOWN(AY286+(AY286*MASTER!$A$2/100),0)</f>
        <v>67392</v>
      </c>
      <c r="BC286" s="88">
        <v>0</v>
      </c>
      <c r="BG286" s="88">
        <v>0</v>
      </c>
      <c r="BK286" s="88">
        <v>0</v>
      </c>
      <c r="BS286" s="88">
        <v>0</v>
      </c>
      <c r="BV286" s="89">
        <v>70200</v>
      </c>
      <c r="BW286" s="89">
        <v>0</v>
      </c>
      <c r="BX286" s="89">
        <v>43424</v>
      </c>
      <c r="BY286" s="89">
        <v>70200</v>
      </c>
      <c r="BZ286" s="112">
        <v>100</v>
      </c>
      <c r="CK286" s="88">
        <v>0</v>
      </c>
    </row>
    <row r="287" spans="1:89" x14ac:dyDescent="0.15">
      <c r="A287" s="84">
        <v>1</v>
      </c>
      <c r="B287" s="85">
        <v>43440</v>
      </c>
      <c r="C287" s="85">
        <v>43439</v>
      </c>
      <c r="F287" s="85" t="s">
        <v>338</v>
      </c>
      <c r="H287" s="85" t="s">
        <v>338</v>
      </c>
      <c r="J287" s="84">
        <v>2</v>
      </c>
      <c r="L287" s="84">
        <v>0</v>
      </c>
      <c r="M287" s="85">
        <v>43424</v>
      </c>
      <c r="N287" s="85" t="s">
        <v>265</v>
      </c>
      <c r="O287" s="86" t="s">
        <v>340</v>
      </c>
      <c r="P287" s="84" t="s">
        <v>78</v>
      </c>
      <c r="Q287" s="86" t="s">
        <v>122</v>
      </c>
      <c r="R287" s="86" t="s">
        <v>1048</v>
      </c>
      <c r="S287" s="87" t="s">
        <v>1049</v>
      </c>
      <c r="T287" s="87" t="s">
        <v>726</v>
      </c>
      <c r="U287" s="88">
        <v>65000</v>
      </c>
      <c r="V287" s="88">
        <v>70200</v>
      </c>
      <c r="W287" s="88">
        <v>65000</v>
      </c>
      <c r="X287" s="88">
        <v>70200</v>
      </c>
      <c r="Z287" s="88">
        <v>0</v>
      </c>
      <c r="AA287" s="85">
        <v>43438</v>
      </c>
      <c r="AB287" s="85">
        <v>43439</v>
      </c>
      <c r="AD287" s="84">
        <v>0</v>
      </c>
      <c r="AG287" s="84">
        <v>0</v>
      </c>
      <c r="AJ287" s="84">
        <v>0</v>
      </c>
      <c r="AN287" s="84" t="s">
        <v>338</v>
      </c>
      <c r="AR287" s="85">
        <v>43438</v>
      </c>
      <c r="AS287" s="84">
        <v>6001626050</v>
      </c>
      <c r="AT287" s="85">
        <v>43439</v>
      </c>
      <c r="AU287" s="84" t="s">
        <v>1131</v>
      </c>
      <c r="AV287" s="85">
        <v>43439</v>
      </c>
      <c r="AW287" s="123">
        <v>43465</v>
      </c>
      <c r="AX287" s="123">
        <v>43485</v>
      </c>
      <c r="AY287" s="132">
        <v>62400</v>
      </c>
      <c r="AZ287" s="132">
        <f>ROUNDDOWN(AY287+(AY287*MASTER!$A$2/100),0)</f>
        <v>67392</v>
      </c>
      <c r="BC287" s="88">
        <v>0</v>
      </c>
      <c r="BG287" s="88">
        <v>0</v>
      </c>
      <c r="BK287" s="88">
        <v>0</v>
      </c>
      <c r="BS287" s="88">
        <v>0</v>
      </c>
      <c r="BV287" s="89">
        <v>70200</v>
      </c>
      <c r="BW287" s="89">
        <v>0</v>
      </c>
      <c r="BX287" s="89">
        <v>43424</v>
      </c>
      <c r="BY287" s="89">
        <v>70200</v>
      </c>
      <c r="BZ287" s="112">
        <v>100</v>
      </c>
      <c r="CK287" s="88">
        <v>0</v>
      </c>
    </row>
    <row r="288" spans="1:89" x14ac:dyDescent="0.15">
      <c r="A288" s="84">
        <v>1</v>
      </c>
      <c r="B288" s="85">
        <v>43440</v>
      </c>
      <c r="C288" s="85">
        <v>43439</v>
      </c>
      <c r="F288" s="85" t="s">
        <v>338</v>
      </c>
      <c r="H288" s="85" t="s">
        <v>338</v>
      </c>
      <c r="J288" s="84">
        <v>2</v>
      </c>
      <c r="L288" s="84">
        <v>0</v>
      </c>
      <c r="M288" s="85">
        <v>43424</v>
      </c>
      <c r="N288" s="85" t="s">
        <v>265</v>
      </c>
      <c r="O288" s="86" t="s">
        <v>340</v>
      </c>
      <c r="P288" s="84" t="s">
        <v>78</v>
      </c>
      <c r="Q288" s="86" t="s">
        <v>122</v>
      </c>
      <c r="R288" s="86" t="s">
        <v>1050</v>
      </c>
      <c r="S288" s="87" t="s">
        <v>395</v>
      </c>
      <c r="T288" s="87" t="s">
        <v>1051</v>
      </c>
      <c r="U288" s="88">
        <v>65000</v>
      </c>
      <c r="V288" s="88">
        <v>70200</v>
      </c>
      <c r="W288" s="88">
        <v>65000</v>
      </c>
      <c r="X288" s="88">
        <v>70200</v>
      </c>
      <c r="Z288" s="88">
        <v>0</v>
      </c>
      <c r="AA288" s="85">
        <v>43439</v>
      </c>
      <c r="AB288" s="85">
        <v>43440</v>
      </c>
      <c r="AD288" s="84">
        <v>0</v>
      </c>
      <c r="AG288" s="84">
        <v>0</v>
      </c>
      <c r="AJ288" s="84">
        <v>0</v>
      </c>
      <c r="AN288" s="84" t="s">
        <v>338</v>
      </c>
      <c r="AR288" s="85">
        <v>43438</v>
      </c>
      <c r="AS288" s="84">
        <v>6001626050</v>
      </c>
      <c r="AT288" s="85">
        <v>43439</v>
      </c>
      <c r="AU288" s="84" t="s">
        <v>1131</v>
      </c>
      <c r="AV288" s="85">
        <v>43439</v>
      </c>
      <c r="AW288" s="123">
        <v>43465</v>
      </c>
      <c r="AX288" s="123">
        <v>43485</v>
      </c>
      <c r="AY288" s="132">
        <v>62400</v>
      </c>
      <c r="AZ288" s="132">
        <f>ROUNDDOWN(AY288+(AY288*MASTER!$A$2/100),0)</f>
        <v>67392</v>
      </c>
      <c r="BC288" s="88">
        <v>0</v>
      </c>
      <c r="BG288" s="88">
        <v>0</v>
      </c>
      <c r="BK288" s="88">
        <v>0</v>
      </c>
      <c r="BS288" s="88">
        <v>0</v>
      </c>
      <c r="BV288" s="89">
        <v>70200</v>
      </c>
      <c r="BW288" s="89">
        <v>0</v>
      </c>
      <c r="BX288" s="89">
        <v>43424</v>
      </c>
      <c r="BY288" s="89">
        <v>70200</v>
      </c>
      <c r="BZ288" s="112">
        <v>100</v>
      </c>
      <c r="CK288" s="88">
        <v>0</v>
      </c>
    </row>
    <row r="289" spans="1:89" x14ac:dyDescent="0.15">
      <c r="A289" s="84">
        <v>1</v>
      </c>
      <c r="B289" s="85">
        <v>43440</v>
      </c>
      <c r="C289" s="85">
        <v>43440</v>
      </c>
      <c r="F289" s="85" t="s">
        <v>338</v>
      </c>
      <c r="H289" s="85" t="s">
        <v>338</v>
      </c>
      <c r="J289" s="84">
        <v>2</v>
      </c>
      <c r="L289" s="84">
        <v>0</v>
      </c>
      <c r="M289" s="85">
        <v>43424</v>
      </c>
      <c r="N289" s="85" t="s">
        <v>265</v>
      </c>
      <c r="O289" s="86" t="s">
        <v>340</v>
      </c>
      <c r="P289" s="84" t="s">
        <v>78</v>
      </c>
      <c r="Q289" s="86" t="s">
        <v>122</v>
      </c>
      <c r="R289" s="86" t="s">
        <v>1052</v>
      </c>
      <c r="S289" s="87" t="s">
        <v>1053</v>
      </c>
      <c r="T289" s="87" t="s">
        <v>726</v>
      </c>
      <c r="U289" s="88">
        <v>65000</v>
      </c>
      <c r="V289" s="88">
        <v>70200</v>
      </c>
      <c r="W289" s="88">
        <v>65000</v>
      </c>
      <c r="X289" s="88">
        <v>70200</v>
      </c>
      <c r="Z289" s="88">
        <v>0</v>
      </c>
      <c r="AA289" s="85">
        <v>43440</v>
      </c>
      <c r="AB289" s="85">
        <v>43441</v>
      </c>
      <c r="AD289" s="84">
        <v>0</v>
      </c>
      <c r="AG289" s="84">
        <v>0</v>
      </c>
      <c r="AJ289" s="84">
        <v>0</v>
      </c>
      <c r="AN289" s="84" t="s">
        <v>338</v>
      </c>
      <c r="AR289" s="85">
        <v>43438</v>
      </c>
      <c r="AS289" s="84">
        <v>6001626050</v>
      </c>
      <c r="AT289" s="85">
        <v>43439</v>
      </c>
      <c r="AU289" s="84" t="s">
        <v>1131</v>
      </c>
      <c r="AV289" s="85">
        <v>43440</v>
      </c>
      <c r="AW289" s="123">
        <v>43465</v>
      </c>
      <c r="AX289" s="123">
        <v>43485</v>
      </c>
      <c r="AY289" s="132">
        <v>62400</v>
      </c>
      <c r="AZ289" s="132">
        <f>ROUNDDOWN(AY289+(AY289*MASTER!$A$2/100),0)</f>
        <v>67392</v>
      </c>
      <c r="BC289" s="88">
        <v>0</v>
      </c>
      <c r="BG289" s="88">
        <v>0</v>
      </c>
      <c r="BK289" s="88">
        <v>0</v>
      </c>
      <c r="BS289" s="88">
        <v>0</v>
      </c>
      <c r="BV289" s="89">
        <v>70200</v>
      </c>
      <c r="BW289" s="89">
        <v>0</v>
      </c>
      <c r="BX289" s="89">
        <v>43424</v>
      </c>
      <c r="BY289" s="89">
        <v>70200</v>
      </c>
      <c r="BZ289" s="112">
        <v>100</v>
      </c>
      <c r="CK289" s="88">
        <v>0</v>
      </c>
    </row>
    <row r="290" spans="1:89" x14ac:dyDescent="0.15">
      <c r="A290" s="84">
        <v>1</v>
      </c>
      <c r="B290" s="85">
        <v>43440</v>
      </c>
      <c r="C290" s="85">
        <v>43441</v>
      </c>
      <c r="F290" s="85" t="s">
        <v>338</v>
      </c>
      <c r="H290" s="85" t="s">
        <v>338</v>
      </c>
      <c r="J290" s="84">
        <v>2</v>
      </c>
      <c r="L290" s="84">
        <v>0</v>
      </c>
      <c r="M290" s="85">
        <v>43424</v>
      </c>
      <c r="N290" s="85" t="s">
        <v>265</v>
      </c>
      <c r="O290" s="86" t="s">
        <v>340</v>
      </c>
      <c r="P290" s="84" t="s">
        <v>78</v>
      </c>
      <c r="Q290" s="86" t="s">
        <v>122</v>
      </c>
      <c r="R290" s="86" t="s">
        <v>1054</v>
      </c>
      <c r="S290" s="87" t="s">
        <v>883</v>
      </c>
      <c r="T290" s="87" t="s">
        <v>726</v>
      </c>
      <c r="U290" s="88">
        <v>65000</v>
      </c>
      <c r="V290" s="88">
        <v>70200</v>
      </c>
      <c r="W290" s="88">
        <v>65000</v>
      </c>
      <c r="X290" s="88">
        <v>70200</v>
      </c>
      <c r="Z290" s="88">
        <v>0</v>
      </c>
      <c r="AA290" s="85">
        <v>43444</v>
      </c>
      <c r="AB290" s="85">
        <v>43445</v>
      </c>
      <c r="AD290" s="84">
        <v>0</v>
      </c>
      <c r="AG290" s="84">
        <v>0</v>
      </c>
      <c r="AJ290" s="84">
        <v>0</v>
      </c>
      <c r="AN290" s="84" t="s">
        <v>338</v>
      </c>
      <c r="AR290" s="85">
        <v>43438</v>
      </c>
      <c r="AS290" s="84">
        <v>6001626050</v>
      </c>
      <c r="AT290" s="85">
        <v>43439</v>
      </c>
      <c r="AU290" s="84" t="s">
        <v>1131</v>
      </c>
      <c r="AV290" s="85">
        <v>43441</v>
      </c>
      <c r="AW290" s="123">
        <v>43465</v>
      </c>
      <c r="AX290" s="123">
        <v>43485</v>
      </c>
      <c r="AY290" s="132">
        <v>62400</v>
      </c>
      <c r="AZ290" s="132">
        <f>ROUNDDOWN(AY290+(AY290*MASTER!$A$2/100),0)</f>
        <v>67392</v>
      </c>
      <c r="BC290" s="88">
        <v>0</v>
      </c>
      <c r="BG290" s="88">
        <v>0</v>
      </c>
      <c r="BK290" s="88">
        <v>0</v>
      </c>
      <c r="BS290" s="88">
        <v>0</v>
      </c>
      <c r="BV290" s="89">
        <v>70200</v>
      </c>
      <c r="BW290" s="89">
        <v>0</v>
      </c>
      <c r="BX290" s="89">
        <v>43424</v>
      </c>
      <c r="BY290" s="89">
        <v>70200</v>
      </c>
      <c r="BZ290" s="112">
        <v>100</v>
      </c>
      <c r="CK290" s="88">
        <v>0</v>
      </c>
    </row>
    <row r="291" spans="1:89" x14ac:dyDescent="0.15">
      <c r="A291" s="84">
        <v>1</v>
      </c>
      <c r="B291" s="85">
        <v>43440</v>
      </c>
      <c r="C291" s="85">
        <v>43445</v>
      </c>
      <c r="F291" s="85" t="s">
        <v>338</v>
      </c>
      <c r="H291" s="85" t="s">
        <v>338</v>
      </c>
      <c r="J291" s="84">
        <v>2</v>
      </c>
      <c r="L291" s="84">
        <v>0</v>
      </c>
      <c r="M291" s="85">
        <v>43424</v>
      </c>
      <c r="N291" s="85" t="s">
        <v>265</v>
      </c>
      <c r="O291" s="86" t="s">
        <v>340</v>
      </c>
      <c r="P291" s="84" t="s">
        <v>78</v>
      </c>
      <c r="Q291" s="86" t="s">
        <v>122</v>
      </c>
      <c r="R291" s="86" t="s">
        <v>1055</v>
      </c>
      <c r="S291" s="87" t="s">
        <v>1056</v>
      </c>
      <c r="T291" s="87" t="s">
        <v>726</v>
      </c>
      <c r="U291" s="88">
        <v>65000</v>
      </c>
      <c r="V291" s="88">
        <v>70200</v>
      </c>
      <c r="W291" s="88">
        <v>65000</v>
      </c>
      <c r="X291" s="88">
        <v>70200</v>
      </c>
      <c r="Z291" s="88">
        <v>0</v>
      </c>
      <c r="AA291" s="85">
        <v>43445</v>
      </c>
      <c r="AB291" s="85">
        <v>43446</v>
      </c>
      <c r="AD291" s="84">
        <v>0</v>
      </c>
      <c r="AG291" s="84">
        <v>0</v>
      </c>
      <c r="AJ291" s="84">
        <v>0</v>
      </c>
      <c r="AN291" s="84" t="s">
        <v>338</v>
      </c>
      <c r="AR291" s="85">
        <v>43438</v>
      </c>
      <c r="AS291" s="84">
        <v>6001626050</v>
      </c>
      <c r="AT291" s="85">
        <v>43439</v>
      </c>
      <c r="AU291" s="84" t="s">
        <v>1131</v>
      </c>
      <c r="AV291" s="85">
        <v>43445</v>
      </c>
      <c r="AW291" s="123">
        <v>43465</v>
      </c>
      <c r="AX291" s="123">
        <v>43485</v>
      </c>
      <c r="AY291" s="132">
        <v>62400</v>
      </c>
      <c r="AZ291" s="132">
        <f>ROUNDDOWN(AY291+(AY291*MASTER!$A$2/100),0)</f>
        <v>67392</v>
      </c>
      <c r="BC291" s="88">
        <v>0</v>
      </c>
      <c r="BG291" s="88">
        <v>0</v>
      </c>
      <c r="BK291" s="88">
        <v>0</v>
      </c>
      <c r="BS291" s="88">
        <v>0</v>
      </c>
      <c r="BV291" s="89">
        <v>70200</v>
      </c>
      <c r="BW291" s="89">
        <v>0</v>
      </c>
      <c r="BX291" s="89">
        <v>43424</v>
      </c>
      <c r="BY291" s="89">
        <v>70200</v>
      </c>
      <c r="BZ291" s="112">
        <v>100</v>
      </c>
      <c r="CK291" s="88">
        <v>0</v>
      </c>
    </row>
    <row r="292" spans="1:89" x14ac:dyDescent="0.15">
      <c r="A292" s="84">
        <v>1</v>
      </c>
      <c r="B292" s="85">
        <v>43440</v>
      </c>
      <c r="C292" s="85">
        <v>43446</v>
      </c>
      <c r="F292" s="85" t="s">
        <v>338</v>
      </c>
      <c r="H292" s="85" t="s">
        <v>338</v>
      </c>
      <c r="J292" s="84">
        <v>2</v>
      </c>
      <c r="L292" s="84">
        <v>0</v>
      </c>
      <c r="M292" s="85">
        <v>43424</v>
      </c>
      <c r="N292" s="85" t="s">
        <v>265</v>
      </c>
      <c r="O292" s="86" t="s">
        <v>340</v>
      </c>
      <c r="P292" s="84" t="s">
        <v>78</v>
      </c>
      <c r="Q292" s="86" t="s">
        <v>122</v>
      </c>
      <c r="R292" s="86" t="s">
        <v>1057</v>
      </c>
      <c r="S292" s="87" t="s">
        <v>1058</v>
      </c>
      <c r="T292" s="87" t="s">
        <v>726</v>
      </c>
      <c r="U292" s="88">
        <v>65000</v>
      </c>
      <c r="V292" s="88">
        <v>70200</v>
      </c>
      <c r="W292" s="88">
        <v>65000</v>
      </c>
      <c r="X292" s="88">
        <v>70200</v>
      </c>
      <c r="Z292" s="88">
        <v>0</v>
      </c>
      <c r="AA292" s="85">
        <v>43446</v>
      </c>
      <c r="AB292" s="85">
        <v>43447</v>
      </c>
      <c r="AD292" s="84">
        <v>0</v>
      </c>
      <c r="AG292" s="84">
        <v>0</v>
      </c>
      <c r="AJ292" s="84">
        <v>0</v>
      </c>
      <c r="AN292" s="84" t="s">
        <v>338</v>
      </c>
      <c r="AR292" s="85">
        <v>43438</v>
      </c>
      <c r="AS292" s="84">
        <v>6001626050</v>
      </c>
      <c r="AT292" s="85">
        <v>43439</v>
      </c>
      <c r="AU292" s="84" t="s">
        <v>1131</v>
      </c>
      <c r="AV292" s="85">
        <v>43446</v>
      </c>
      <c r="AW292" s="123">
        <v>43465</v>
      </c>
      <c r="AX292" s="123">
        <v>43485</v>
      </c>
      <c r="AY292" s="132">
        <v>62400</v>
      </c>
      <c r="AZ292" s="132">
        <f>ROUNDDOWN(AY292+(AY292*MASTER!$A$2/100),0)</f>
        <v>67392</v>
      </c>
      <c r="BC292" s="88">
        <v>0</v>
      </c>
      <c r="BG292" s="88">
        <v>0</v>
      </c>
      <c r="BK292" s="88">
        <v>0</v>
      </c>
      <c r="BS292" s="88">
        <v>0</v>
      </c>
      <c r="BV292" s="89">
        <v>70200</v>
      </c>
      <c r="BW292" s="89">
        <v>0</v>
      </c>
      <c r="BX292" s="89">
        <v>43424</v>
      </c>
      <c r="BY292" s="89">
        <v>70200</v>
      </c>
      <c r="BZ292" s="112">
        <v>100</v>
      </c>
      <c r="CK292" s="88">
        <v>0</v>
      </c>
    </row>
    <row r="293" spans="1:89" x14ac:dyDescent="0.15">
      <c r="A293" s="84">
        <v>1</v>
      </c>
      <c r="B293" s="85">
        <v>43446</v>
      </c>
      <c r="C293" s="85">
        <v>43447</v>
      </c>
      <c r="F293" s="85" t="s">
        <v>338</v>
      </c>
      <c r="H293" s="85" t="s">
        <v>338</v>
      </c>
      <c r="J293" s="84">
        <v>2</v>
      </c>
      <c r="L293" s="84">
        <v>0</v>
      </c>
      <c r="M293" s="85">
        <v>43424</v>
      </c>
      <c r="N293" s="85" t="s">
        <v>265</v>
      </c>
      <c r="O293" s="86" t="s">
        <v>340</v>
      </c>
      <c r="P293" s="84" t="s">
        <v>78</v>
      </c>
      <c r="Q293" s="86" t="s">
        <v>122</v>
      </c>
      <c r="R293" s="86" t="s">
        <v>1059</v>
      </c>
      <c r="S293" s="87" t="s">
        <v>1060</v>
      </c>
      <c r="T293" s="87" t="s">
        <v>1061</v>
      </c>
      <c r="U293" s="88">
        <v>65000</v>
      </c>
      <c r="V293" s="88">
        <v>70200</v>
      </c>
      <c r="W293" s="88">
        <v>65000</v>
      </c>
      <c r="X293" s="88">
        <v>70200</v>
      </c>
      <c r="Z293" s="88">
        <v>0</v>
      </c>
      <c r="AA293" s="85">
        <v>43447</v>
      </c>
      <c r="AB293" s="85">
        <v>43449</v>
      </c>
      <c r="AD293" s="84">
        <v>0</v>
      </c>
      <c r="AG293" s="84">
        <v>0</v>
      </c>
      <c r="AJ293" s="84">
        <v>0</v>
      </c>
      <c r="AN293" s="84" t="s">
        <v>338</v>
      </c>
      <c r="AR293" s="85">
        <v>43444</v>
      </c>
      <c r="AS293" s="84">
        <v>6001628357</v>
      </c>
      <c r="AT293" s="85">
        <v>43444</v>
      </c>
      <c r="AU293" s="84" t="s">
        <v>1201</v>
      </c>
      <c r="AV293" s="85">
        <v>43447</v>
      </c>
      <c r="AW293" s="123">
        <v>43465</v>
      </c>
      <c r="AX293" s="123">
        <v>43485</v>
      </c>
      <c r="AY293" s="132">
        <v>62400</v>
      </c>
      <c r="AZ293" s="132">
        <f>ROUNDDOWN(AY293+(AY293*MASTER!$A$2/100),0)</f>
        <v>67392</v>
      </c>
      <c r="BC293" s="88">
        <v>0</v>
      </c>
      <c r="BG293" s="88">
        <v>0</v>
      </c>
      <c r="BK293" s="88">
        <v>0</v>
      </c>
      <c r="BS293" s="88">
        <v>0</v>
      </c>
      <c r="BV293" s="89">
        <v>70200</v>
      </c>
      <c r="BW293" s="89">
        <v>0</v>
      </c>
      <c r="BX293" s="89">
        <v>43424</v>
      </c>
      <c r="BY293" s="89">
        <v>70200</v>
      </c>
      <c r="BZ293" s="112">
        <v>100</v>
      </c>
      <c r="CK293" s="88">
        <v>0</v>
      </c>
    </row>
    <row r="294" spans="1:89" x14ac:dyDescent="0.15">
      <c r="A294" s="84">
        <v>1</v>
      </c>
      <c r="B294" s="85">
        <v>43440</v>
      </c>
      <c r="C294" s="85">
        <v>43449</v>
      </c>
      <c r="F294" s="85" t="s">
        <v>338</v>
      </c>
      <c r="H294" s="85" t="s">
        <v>338</v>
      </c>
      <c r="J294" s="84">
        <v>2</v>
      </c>
      <c r="L294" s="84">
        <v>0</v>
      </c>
      <c r="M294" s="85">
        <v>43424</v>
      </c>
      <c r="N294" s="85" t="s">
        <v>265</v>
      </c>
      <c r="O294" s="86" t="s">
        <v>340</v>
      </c>
      <c r="P294" s="84" t="s">
        <v>78</v>
      </c>
      <c r="Q294" s="86" t="s">
        <v>122</v>
      </c>
      <c r="R294" s="86" t="s">
        <v>1062</v>
      </c>
      <c r="S294" s="87" t="s">
        <v>1063</v>
      </c>
      <c r="T294" s="87" t="s">
        <v>1064</v>
      </c>
      <c r="U294" s="88">
        <v>65000</v>
      </c>
      <c r="V294" s="88">
        <v>70200</v>
      </c>
      <c r="W294" s="88">
        <v>65000</v>
      </c>
      <c r="X294" s="88">
        <v>70200</v>
      </c>
      <c r="Z294" s="88">
        <v>0</v>
      </c>
      <c r="AA294" s="85">
        <v>43451</v>
      </c>
      <c r="AB294" s="85">
        <v>43452</v>
      </c>
      <c r="AD294" s="84">
        <v>0</v>
      </c>
      <c r="AG294" s="84">
        <v>0</v>
      </c>
      <c r="AJ294" s="84">
        <v>0</v>
      </c>
      <c r="AN294" s="84" t="s">
        <v>338</v>
      </c>
      <c r="AR294" s="85">
        <v>43438</v>
      </c>
      <c r="AS294" s="84">
        <v>6001626050</v>
      </c>
      <c r="AT294" s="85">
        <v>43439</v>
      </c>
      <c r="AU294" s="84" t="s">
        <v>1131</v>
      </c>
      <c r="AV294" s="85">
        <v>43449</v>
      </c>
      <c r="AW294" s="123">
        <v>43465</v>
      </c>
      <c r="AX294" s="123">
        <v>43485</v>
      </c>
      <c r="AY294" s="132">
        <v>62400</v>
      </c>
      <c r="AZ294" s="132">
        <f>ROUNDDOWN(AY294+(AY294*MASTER!$A$2/100),0)</f>
        <v>67392</v>
      </c>
      <c r="BC294" s="88">
        <v>0</v>
      </c>
      <c r="BG294" s="88">
        <v>0</v>
      </c>
      <c r="BK294" s="88">
        <v>0</v>
      </c>
      <c r="BS294" s="88">
        <v>0</v>
      </c>
      <c r="BV294" s="89">
        <v>70200</v>
      </c>
      <c r="BW294" s="89">
        <v>0</v>
      </c>
      <c r="BX294" s="89">
        <v>43424</v>
      </c>
      <c r="BY294" s="89">
        <v>70200</v>
      </c>
      <c r="BZ294" s="112">
        <v>100</v>
      </c>
      <c r="CK294" s="88">
        <v>0</v>
      </c>
    </row>
    <row r="295" spans="1:89" x14ac:dyDescent="0.15">
      <c r="A295" s="84">
        <v>1</v>
      </c>
      <c r="B295" s="85">
        <v>43440</v>
      </c>
      <c r="C295" s="85">
        <v>43452</v>
      </c>
      <c r="F295" s="85" t="s">
        <v>338</v>
      </c>
      <c r="H295" s="85" t="s">
        <v>338</v>
      </c>
      <c r="J295" s="84">
        <v>2</v>
      </c>
      <c r="L295" s="84">
        <v>0</v>
      </c>
      <c r="M295" s="85">
        <v>43424</v>
      </c>
      <c r="N295" s="85" t="s">
        <v>265</v>
      </c>
      <c r="O295" s="86" t="s">
        <v>340</v>
      </c>
      <c r="P295" s="84" t="s">
        <v>78</v>
      </c>
      <c r="Q295" s="86" t="s">
        <v>122</v>
      </c>
      <c r="R295" s="86" t="s">
        <v>1065</v>
      </c>
      <c r="S295" s="87" t="s">
        <v>1066</v>
      </c>
      <c r="T295" s="87" t="s">
        <v>1067</v>
      </c>
      <c r="U295" s="88">
        <v>65000</v>
      </c>
      <c r="V295" s="88">
        <v>70200</v>
      </c>
      <c r="W295" s="88">
        <v>65000</v>
      </c>
      <c r="X295" s="88">
        <v>70200</v>
      </c>
      <c r="Z295" s="88">
        <v>0</v>
      </c>
      <c r="AA295" s="85">
        <v>43452</v>
      </c>
      <c r="AB295" s="85">
        <v>43453</v>
      </c>
      <c r="AD295" s="84">
        <v>0</v>
      </c>
      <c r="AG295" s="84">
        <v>0</v>
      </c>
      <c r="AJ295" s="84">
        <v>0</v>
      </c>
      <c r="AN295" s="84" t="s">
        <v>338</v>
      </c>
      <c r="AR295" s="85">
        <v>43438</v>
      </c>
      <c r="AS295" s="84">
        <v>6001626050</v>
      </c>
      <c r="AT295" s="85">
        <v>43439</v>
      </c>
      <c r="AU295" s="84" t="s">
        <v>1131</v>
      </c>
      <c r="AV295" s="85">
        <v>43452</v>
      </c>
      <c r="AW295" s="123">
        <v>43465</v>
      </c>
      <c r="AX295" s="123">
        <v>43485</v>
      </c>
      <c r="AY295" s="132">
        <v>62400</v>
      </c>
      <c r="AZ295" s="132">
        <f>ROUNDDOWN(AY295+(AY295*MASTER!$A$2/100),0)</f>
        <v>67392</v>
      </c>
      <c r="BC295" s="88">
        <v>0</v>
      </c>
      <c r="BG295" s="88">
        <v>0</v>
      </c>
      <c r="BK295" s="88">
        <v>0</v>
      </c>
      <c r="BS295" s="88">
        <v>0</v>
      </c>
      <c r="BV295" s="89">
        <v>70200</v>
      </c>
      <c r="BW295" s="89">
        <v>0</v>
      </c>
      <c r="BX295" s="89">
        <v>43424</v>
      </c>
      <c r="BY295" s="89">
        <v>70200</v>
      </c>
      <c r="BZ295" s="112">
        <v>100</v>
      </c>
      <c r="CK295" s="88">
        <v>0</v>
      </c>
    </row>
    <row r="296" spans="1:89" x14ac:dyDescent="0.15">
      <c r="A296" s="84">
        <v>1</v>
      </c>
      <c r="B296" s="85">
        <v>43440</v>
      </c>
      <c r="C296" s="85">
        <v>43453</v>
      </c>
      <c r="F296" s="85" t="s">
        <v>338</v>
      </c>
      <c r="H296" s="85" t="s">
        <v>338</v>
      </c>
      <c r="J296" s="84">
        <v>2</v>
      </c>
      <c r="L296" s="84">
        <v>0</v>
      </c>
      <c r="M296" s="85">
        <v>43424</v>
      </c>
      <c r="N296" s="85" t="s">
        <v>265</v>
      </c>
      <c r="O296" s="86" t="s">
        <v>340</v>
      </c>
      <c r="P296" s="84" t="s">
        <v>78</v>
      </c>
      <c r="Q296" s="86" t="s">
        <v>122</v>
      </c>
      <c r="R296" s="86" t="s">
        <v>1068</v>
      </c>
      <c r="S296" s="87" t="s">
        <v>1069</v>
      </c>
      <c r="T296" s="87" t="s">
        <v>491</v>
      </c>
      <c r="U296" s="88">
        <v>65000</v>
      </c>
      <c r="V296" s="88">
        <v>70200</v>
      </c>
      <c r="W296" s="88">
        <v>65000</v>
      </c>
      <c r="X296" s="88">
        <v>70200</v>
      </c>
      <c r="Z296" s="88">
        <v>0</v>
      </c>
      <c r="AA296" s="85">
        <v>43453</v>
      </c>
      <c r="AB296" s="85">
        <v>43454</v>
      </c>
      <c r="AD296" s="84">
        <v>0</v>
      </c>
      <c r="AG296" s="84">
        <v>0</v>
      </c>
      <c r="AJ296" s="84">
        <v>0</v>
      </c>
      <c r="AN296" s="84" t="s">
        <v>338</v>
      </c>
      <c r="AR296" s="85">
        <v>43438</v>
      </c>
      <c r="AS296" s="84">
        <v>6001626050</v>
      </c>
      <c r="AT296" s="85">
        <v>43439</v>
      </c>
      <c r="AU296" s="84" t="s">
        <v>1131</v>
      </c>
      <c r="AV296" s="85">
        <v>43453</v>
      </c>
      <c r="AW296" s="123">
        <v>43465</v>
      </c>
      <c r="AX296" s="123">
        <v>43485</v>
      </c>
      <c r="AY296" s="132">
        <v>62400</v>
      </c>
      <c r="AZ296" s="132">
        <f>ROUNDDOWN(AY296+(AY296*MASTER!$A$2/100),0)</f>
        <v>67392</v>
      </c>
      <c r="BC296" s="88">
        <v>0</v>
      </c>
      <c r="BG296" s="88">
        <v>0</v>
      </c>
      <c r="BK296" s="88">
        <v>0</v>
      </c>
      <c r="BS296" s="88">
        <v>0</v>
      </c>
      <c r="BV296" s="89">
        <v>70200</v>
      </c>
      <c r="BW296" s="89">
        <v>0</v>
      </c>
      <c r="BX296" s="89">
        <v>43424</v>
      </c>
      <c r="BY296" s="89">
        <v>70200</v>
      </c>
      <c r="BZ296" s="112">
        <v>100</v>
      </c>
      <c r="CK296" s="88">
        <v>0</v>
      </c>
    </row>
    <row r="297" spans="1:89" x14ac:dyDescent="0.15">
      <c r="A297" s="84">
        <v>1</v>
      </c>
      <c r="B297" s="85">
        <v>43440</v>
      </c>
      <c r="C297" s="85">
        <v>43454</v>
      </c>
      <c r="F297" s="85" t="s">
        <v>338</v>
      </c>
      <c r="H297" s="85" t="s">
        <v>338</v>
      </c>
      <c r="J297" s="84">
        <v>2</v>
      </c>
      <c r="L297" s="84">
        <v>0</v>
      </c>
      <c r="M297" s="85">
        <v>43424</v>
      </c>
      <c r="N297" s="85" t="s">
        <v>265</v>
      </c>
      <c r="O297" s="86" t="s">
        <v>340</v>
      </c>
      <c r="P297" s="84" t="s">
        <v>78</v>
      </c>
      <c r="Q297" s="86" t="s">
        <v>122</v>
      </c>
      <c r="R297" s="86" t="s">
        <v>1070</v>
      </c>
      <c r="S297" s="87" t="s">
        <v>1071</v>
      </c>
      <c r="T297" s="87" t="s">
        <v>726</v>
      </c>
      <c r="U297" s="88">
        <v>65000</v>
      </c>
      <c r="V297" s="88">
        <v>70200</v>
      </c>
      <c r="W297" s="88">
        <v>65000</v>
      </c>
      <c r="X297" s="88">
        <v>70200</v>
      </c>
      <c r="Z297" s="88">
        <v>0</v>
      </c>
      <c r="AA297" s="85">
        <v>43454</v>
      </c>
      <c r="AB297" s="85">
        <v>43455</v>
      </c>
      <c r="AD297" s="84">
        <v>0</v>
      </c>
      <c r="AG297" s="84">
        <v>0</v>
      </c>
      <c r="AJ297" s="84">
        <v>0</v>
      </c>
      <c r="AN297" s="84" t="s">
        <v>338</v>
      </c>
      <c r="AR297" s="85">
        <v>43438</v>
      </c>
      <c r="AS297" s="84">
        <v>6001626050</v>
      </c>
      <c r="AT297" s="85">
        <v>43439</v>
      </c>
      <c r="AU297" s="84" t="s">
        <v>1131</v>
      </c>
      <c r="AV297" s="85">
        <v>43454</v>
      </c>
      <c r="AW297" s="123">
        <v>43465</v>
      </c>
      <c r="AX297" s="123">
        <v>43485</v>
      </c>
      <c r="AY297" s="132">
        <v>62400</v>
      </c>
      <c r="AZ297" s="132">
        <f>ROUNDDOWN(AY297+(AY297*MASTER!$A$2/100),0)</f>
        <v>67392</v>
      </c>
      <c r="BC297" s="88">
        <v>0</v>
      </c>
      <c r="BG297" s="88">
        <v>0</v>
      </c>
      <c r="BK297" s="88">
        <v>0</v>
      </c>
      <c r="BS297" s="88">
        <v>0</v>
      </c>
      <c r="BV297" s="89">
        <v>70200</v>
      </c>
      <c r="BW297" s="89">
        <v>0</v>
      </c>
      <c r="BX297" s="89">
        <v>43424</v>
      </c>
      <c r="BY297" s="89">
        <v>70200</v>
      </c>
      <c r="BZ297" s="112">
        <v>100</v>
      </c>
      <c r="CK297" s="88">
        <v>0</v>
      </c>
    </row>
    <row r="298" spans="1:89" x14ac:dyDescent="0.15">
      <c r="A298" s="84">
        <v>1</v>
      </c>
      <c r="B298" s="85">
        <v>43440</v>
      </c>
      <c r="C298" s="85">
        <v>43455</v>
      </c>
      <c r="F298" s="85" t="s">
        <v>338</v>
      </c>
      <c r="H298" s="85" t="s">
        <v>338</v>
      </c>
      <c r="J298" s="84">
        <v>2</v>
      </c>
      <c r="L298" s="84">
        <v>0</v>
      </c>
      <c r="M298" s="85">
        <v>43424</v>
      </c>
      <c r="N298" s="85" t="s">
        <v>265</v>
      </c>
      <c r="O298" s="86" t="s">
        <v>340</v>
      </c>
      <c r="P298" s="84" t="s">
        <v>78</v>
      </c>
      <c r="Q298" s="86" t="s">
        <v>122</v>
      </c>
      <c r="R298" s="86" t="s">
        <v>1072</v>
      </c>
      <c r="S298" s="87" t="s">
        <v>1073</v>
      </c>
      <c r="T298" s="87" t="s">
        <v>726</v>
      </c>
      <c r="U298" s="88">
        <v>65000</v>
      </c>
      <c r="V298" s="88">
        <v>70200</v>
      </c>
      <c r="W298" s="88">
        <v>65000</v>
      </c>
      <c r="X298" s="88">
        <v>70200</v>
      </c>
      <c r="Z298" s="88">
        <v>0</v>
      </c>
      <c r="AA298" s="85">
        <v>43459</v>
      </c>
      <c r="AB298" s="85">
        <v>43460</v>
      </c>
      <c r="AD298" s="84">
        <v>0</v>
      </c>
      <c r="AG298" s="84">
        <v>0</v>
      </c>
      <c r="AJ298" s="84">
        <v>0</v>
      </c>
      <c r="AN298" s="84" t="s">
        <v>338</v>
      </c>
      <c r="AR298" s="85">
        <v>43438</v>
      </c>
      <c r="AS298" s="84">
        <v>6001626050</v>
      </c>
      <c r="AT298" s="85">
        <v>43439</v>
      </c>
      <c r="AU298" s="84" t="s">
        <v>1131</v>
      </c>
      <c r="AV298" s="85">
        <v>43455</v>
      </c>
      <c r="AW298" s="123">
        <v>43465</v>
      </c>
      <c r="AX298" s="123">
        <v>43485</v>
      </c>
      <c r="AY298" s="132">
        <v>62400</v>
      </c>
      <c r="AZ298" s="132">
        <f>ROUNDDOWN(AY298+(AY298*MASTER!$A$2/100),0)</f>
        <v>67392</v>
      </c>
      <c r="BC298" s="88">
        <v>0</v>
      </c>
      <c r="BG298" s="88">
        <v>0</v>
      </c>
      <c r="BK298" s="88">
        <v>0</v>
      </c>
      <c r="BS298" s="88">
        <v>0</v>
      </c>
      <c r="BV298" s="89">
        <v>70200</v>
      </c>
      <c r="BW298" s="89">
        <v>0</v>
      </c>
      <c r="BX298" s="89">
        <v>43424</v>
      </c>
      <c r="BY298" s="89">
        <v>70200</v>
      </c>
      <c r="BZ298" s="112">
        <v>100</v>
      </c>
      <c r="CK298" s="88">
        <v>0</v>
      </c>
    </row>
    <row r="299" spans="1:89" x14ac:dyDescent="0.15">
      <c r="A299" s="84">
        <v>1</v>
      </c>
      <c r="B299" s="85">
        <v>43446</v>
      </c>
      <c r="C299" s="85">
        <v>43460</v>
      </c>
      <c r="F299" s="85" t="s">
        <v>338</v>
      </c>
      <c r="H299" s="85" t="s">
        <v>338</v>
      </c>
      <c r="J299" s="84">
        <v>3</v>
      </c>
      <c r="L299" s="84">
        <v>0</v>
      </c>
      <c r="M299" s="85">
        <v>43424</v>
      </c>
      <c r="N299" s="85" t="s">
        <v>265</v>
      </c>
      <c r="O299" s="86" t="s">
        <v>340</v>
      </c>
      <c r="P299" s="84" t="s">
        <v>6</v>
      </c>
      <c r="Q299" s="86" t="s">
        <v>122</v>
      </c>
      <c r="R299" s="86" t="s">
        <v>965</v>
      </c>
      <c r="S299" s="87" t="s">
        <v>966</v>
      </c>
      <c r="T299" s="87" t="s">
        <v>967</v>
      </c>
      <c r="U299" s="88">
        <v>30000</v>
      </c>
      <c r="V299" s="88">
        <v>32400</v>
      </c>
      <c r="X299" s="88">
        <v>0</v>
      </c>
      <c r="Y299" s="88">
        <v>30000</v>
      </c>
      <c r="Z299" s="88">
        <v>32400</v>
      </c>
      <c r="AD299" s="84">
        <v>0</v>
      </c>
      <c r="AG299" s="84">
        <v>0</v>
      </c>
      <c r="AJ299" s="84">
        <v>0</v>
      </c>
      <c r="AR299" s="85">
        <v>43426</v>
      </c>
      <c r="AS299" s="84">
        <v>6001622734</v>
      </c>
      <c r="AT299" s="85">
        <v>43426</v>
      </c>
      <c r="AU299" s="84" t="s">
        <v>1218</v>
      </c>
      <c r="AV299" s="85">
        <v>43460</v>
      </c>
      <c r="AW299" s="123">
        <v>43465</v>
      </c>
      <c r="AX299" s="123">
        <v>43485</v>
      </c>
      <c r="AY299" s="132">
        <v>28800</v>
      </c>
      <c r="AZ299" s="132">
        <f>ROUNDDOWN(AY299+(AY299*MASTER!$A$2/100),0)</f>
        <v>31104</v>
      </c>
      <c r="BC299" s="88">
        <v>0</v>
      </c>
      <c r="BG299" s="88">
        <v>0</v>
      </c>
      <c r="BK299" s="88">
        <v>0</v>
      </c>
      <c r="BS299" s="88">
        <v>0</v>
      </c>
      <c r="BV299" s="89">
        <v>0</v>
      </c>
      <c r="BW299" s="89">
        <v>0</v>
      </c>
      <c r="BX299" s="89">
        <v>43424</v>
      </c>
      <c r="BY299" s="89">
        <v>0</v>
      </c>
      <c r="BZ299" s="112" t="s">
        <v>338</v>
      </c>
    </row>
    <row r="300" spans="1:89" x14ac:dyDescent="0.15">
      <c r="A300" s="84">
        <v>2</v>
      </c>
      <c r="B300" s="85">
        <v>43451</v>
      </c>
      <c r="C300" s="85">
        <v>43454</v>
      </c>
      <c r="F300" s="85" t="s">
        <v>338</v>
      </c>
      <c r="H300" s="85" t="s">
        <v>338</v>
      </c>
      <c r="I300" s="84" t="s">
        <v>380</v>
      </c>
      <c r="J300" s="84">
        <v>1</v>
      </c>
      <c r="L300" s="84">
        <v>0</v>
      </c>
      <c r="M300" s="85">
        <v>43424</v>
      </c>
      <c r="N300" s="85" t="s">
        <v>265</v>
      </c>
      <c r="O300" s="86" t="s">
        <v>340</v>
      </c>
      <c r="P300" s="84" t="s">
        <v>6</v>
      </c>
      <c r="Q300" s="86" t="s">
        <v>122</v>
      </c>
      <c r="R300" s="86" t="s">
        <v>910</v>
      </c>
      <c r="S300" s="87" t="s">
        <v>546</v>
      </c>
      <c r="T300" s="87" t="s">
        <v>563</v>
      </c>
      <c r="U300" s="88">
        <v>117250</v>
      </c>
      <c r="V300" s="88">
        <v>126630</v>
      </c>
      <c r="W300" s="88">
        <v>61250</v>
      </c>
      <c r="X300" s="88">
        <v>66150</v>
      </c>
      <c r="Y300" s="88">
        <v>56000</v>
      </c>
      <c r="Z300" s="88">
        <v>60480</v>
      </c>
      <c r="AA300" s="85">
        <v>43436</v>
      </c>
      <c r="AB300" s="85">
        <v>43436</v>
      </c>
      <c r="AD300" s="84">
        <v>0</v>
      </c>
      <c r="AG300" s="84">
        <v>0</v>
      </c>
      <c r="AJ300" s="84">
        <v>0</v>
      </c>
      <c r="AR300" s="85">
        <v>43448</v>
      </c>
      <c r="AS300" s="84">
        <v>6001630339</v>
      </c>
      <c r="AT300" s="85">
        <v>43448</v>
      </c>
      <c r="AU300" s="84" t="s">
        <v>1262</v>
      </c>
      <c r="AV300" s="85">
        <v>43454</v>
      </c>
      <c r="AW300" s="123">
        <v>43465</v>
      </c>
      <c r="AX300" s="123">
        <v>43485</v>
      </c>
      <c r="AY300" s="132">
        <v>112560</v>
      </c>
      <c r="AZ300" s="132">
        <f>ROUNDDOWN(AY300+(AY300*MASTER!$A$2/100),0)</f>
        <v>121564</v>
      </c>
      <c r="BA300" s="84" t="s">
        <v>543</v>
      </c>
      <c r="BB300" s="88">
        <v>23000</v>
      </c>
      <c r="BC300" s="88">
        <v>24840</v>
      </c>
      <c r="BD300" s="84" t="s">
        <v>190</v>
      </c>
      <c r="BG300" s="88">
        <v>0</v>
      </c>
      <c r="BK300" s="88">
        <v>0</v>
      </c>
      <c r="BS300" s="88">
        <v>0</v>
      </c>
      <c r="BV300" s="89">
        <v>66150</v>
      </c>
      <c r="BW300" s="89">
        <v>24840</v>
      </c>
      <c r="BX300" s="89">
        <v>43424</v>
      </c>
      <c r="BY300" s="89">
        <v>41310</v>
      </c>
      <c r="BZ300" s="112">
        <v>62.448979591836739</v>
      </c>
    </row>
    <row r="301" spans="1:89" x14ac:dyDescent="0.15">
      <c r="A301" s="84">
        <v>2</v>
      </c>
      <c r="B301" s="85">
        <v>43431</v>
      </c>
      <c r="C301" s="85">
        <v>43437</v>
      </c>
      <c r="F301" s="85" t="s">
        <v>338</v>
      </c>
      <c r="H301" s="85" t="s">
        <v>338</v>
      </c>
      <c r="I301" s="84" t="s">
        <v>1191</v>
      </c>
      <c r="J301" s="84">
        <v>2</v>
      </c>
      <c r="L301" s="84">
        <v>0</v>
      </c>
      <c r="M301" s="85">
        <v>43424</v>
      </c>
      <c r="N301" s="85" t="s">
        <v>265</v>
      </c>
      <c r="O301" s="86" t="s">
        <v>340</v>
      </c>
      <c r="P301" s="84" t="s">
        <v>6</v>
      </c>
      <c r="Q301" s="86" t="s">
        <v>122</v>
      </c>
      <c r="R301" s="86" t="s">
        <v>912</v>
      </c>
      <c r="S301" s="87" t="s">
        <v>913</v>
      </c>
      <c r="T301" s="87" t="s">
        <v>914</v>
      </c>
      <c r="U301" s="88">
        <v>98800</v>
      </c>
      <c r="V301" s="88">
        <v>106704</v>
      </c>
      <c r="W301" s="88">
        <v>98800</v>
      </c>
      <c r="X301" s="88">
        <v>106704</v>
      </c>
      <c r="Z301" s="88">
        <v>0</v>
      </c>
      <c r="AA301" s="85">
        <v>43432</v>
      </c>
      <c r="AB301" s="85">
        <v>43433</v>
      </c>
      <c r="AD301" s="84">
        <v>0</v>
      </c>
      <c r="AG301" s="84">
        <v>0</v>
      </c>
      <c r="AJ301" s="84">
        <v>0</v>
      </c>
      <c r="AR301" s="85">
        <v>43430</v>
      </c>
      <c r="AS301" s="84">
        <v>6001623402</v>
      </c>
      <c r="AT301" s="85">
        <v>43430</v>
      </c>
      <c r="AU301" s="84" t="s">
        <v>980</v>
      </c>
      <c r="AV301" s="85">
        <v>43437</v>
      </c>
      <c r="AW301" s="123">
        <v>43434</v>
      </c>
      <c r="AX301" s="123">
        <v>43454</v>
      </c>
      <c r="AY301" s="132">
        <v>94848</v>
      </c>
      <c r="AZ301" s="132">
        <f>ROUNDDOWN(AY301+(AY301*MASTER!$A$2/100),0)</f>
        <v>102435</v>
      </c>
      <c r="BA301" s="84" t="s">
        <v>287</v>
      </c>
      <c r="BB301" s="88">
        <v>50000</v>
      </c>
      <c r="BC301" s="88">
        <v>54000</v>
      </c>
      <c r="BD301" s="84" t="s">
        <v>190</v>
      </c>
      <c r="BG301" s="88">
        <v>0</v>
      </c>
      <c r="BK301" s="88">
        <v>0</v>
      </c>
      <c r="BS301" s="88">
        <v>0</v>
      </c>
      <c r="BV301" s="89">
        <v>106704</v>
      </c>
      <c r="BW301" s="89">
        <v>54000</v>
      </c>
      <c r="BX301" s="89">
        <v>43424</v>
      </c>
      <c r="BY301" s="89">
        <v>52704</v>
      </c>
      <c r="BZ301" s="112">
        <v>49.392712550607285</v>
      </c>
      <c r="CD301" s="87" t="s">
        <v>915</v>
      </c>
    </row>
    <row r="302" spans="1:89" x14ac:dyDescent="0.15">
      <c r="A302" s="84">
        <v>2</v>
      </c>
      <c r="B302" s="85">
        <v>43431</v>
      </c>
      <c r="C302" s="85">
        <v>43444</v>
      </c>
      <c r="D302" s="85">
        <v>43446</v>
      </c>
      <c r="F302" s="85" t="s">
        <v>338</v>
      </c>
      <c r="H302" s="85" t="s">
        <v>338</v>
      </c>
      <c r="I302" s="84" t="s">
        <v>1191</v>
      </c>
      <c r="J302" s="84">
        <v>2</v>
      </c>
      <c r="L302" s="84">
        <v>0</v>
      </c>
      <c r="M302" s="85">
        <v>43424</v>
      </c>
      <c r="N302" s="85" t="s">
        <v>265</v>
      </c>
      <c r="O302" s="86" t="s">
        <v>340</v>
      </c>
      <c r="P302" s="84" t="s">
        <v>6</v>
      </c>
      <c r="Q302" s="86" t="s">
        <v>122</v>
      </c>
      <c r="R302" s="86" t="s">
        <v>916</v>
      </c>
      <c r="S302" s="87" t="s">
        <v>917</v>
      </c>
      <c r="T302" s="87" t="s">
        <v>914</v>
      </c>
      <c r="U302" s="88">
        <v>98800</v>
      </c>
      <c r="V302" s="88">
        <v>106704</v>
      </c>
      <c r="W302" s="88">
        <v>98800</v>
      </c>
      <c r="X302" s="88">
        <v>106704</v>
      </c>
      <c r="Z302" s="88">
        <v>0</v>
      </c>
      <c r="AA302" s="85">
        <v>43440</v>
      </c>
      <c r="AB302" s="85">
        <v>43441</v>
      </c>
      <c r="AD302" s="84">
        <v>0</v>
      </c>
      <c r="AG302" s="84">
        <v>0</v>
      </c>
      <c r="AJ302" s="84">
        <v>0</v>
      </c>
      <c r="AR302" s="85">
        <v>43430</v>
      </c>
      <c r="AS302" s="84">
        <v>6001623402</v>
      </c>
      <c r="AT302" s="85">
        <v>43430</v>
      </c>
      <c r="AU302" s="84" t="s">
        <v>980</v>
      </c>
      <c r="AV302" s="85">
        <v>43444</v>
      </c>
      <c r="AW302" s="123">
        <v>43465</v>
      </c>
      <c r="AX302" s="123">
        <v>43485</v>
      </c>
      <c r="AY302" s="132">
        <v>94848</v>
      </c>
      <c r="AZ302" s="132">
        <f>ROUNDDOWN(AY302+(AY302*MASTER!$A$2/100),0)</f>
        <v>102435</v>
      </c>
      <c r="BA302" s="84" t="s">
        <v>14</v>
      </c>
      <c r="BB302" s="88">
        <v>92000</v>
      </c>
      <c r="BC302" s="88">
        <v>99360</v>
      </c>
      <c r="BD302" s="84" t="s">
        <v>190</v>
      </c>
      <c r="BG302" s="88">
        <v>0</v>
      </c>
      <c r="BK302" s="88">
        <v>0</v>
      </c>
      <c r="BS302" s="88">
        <v>0</v>
      </c>
      <c r="BV302" s="89">
        <v>106704</v>
      </c>
      <c r="BW302" s="89">
        <v>99360</v>
      </c>
      <c r="BX302" s="89">
        <v>43424</v>
      </c>
      <c r="BY302" s="89">
        <v>7344</v>
      </c>
      <c r="BZ302" s="112">
        <v>6.8825910931174086</v>
      </c>
      <c r="CD302" s="87" t="s">
        <v>915</v>
      </c>
    </row>
    <row r="303" spans="1:89" x14ac:dyDescent="0.15">
      <c r="A303" s="84">
        <v>2</v>
      </c>
      <c r="B303" s="85">
        <v>43444</v>
      </c>
      <c r="C303" s="85">
        <v>43448</v>
      </c>
      <c r="F303" s="85" t="s">
        <v>338</v>
      </c>
      <c r="H303" s="85" t="s">
        <v>338</v>
      </c>
      <c r="I303" s="84" t="s">
        <v>1191</v>
      </c>
      <c r="J303" s="84">
        <v>2</v>
      </c>
      <c r="L303" s="84">
        <v>0</v>
      </c>
      <c r="M303" s="85">
        <v>43424</v>
      </c>
      <c r="N303" s="85" t="s">
        <v>265</v>
      </c>
      <c r="O303" s="86" t="s">
        <v>340</v>
      </c>
      <c r="P303" s="84" t="s">
        <v>6</v>
      </c>
      <c r="Q303" s="86" t="s">
        <v>122</v>
      </c>
      <c r="R303" s="86" t="s">
        <v>918</v>
      </c>
      <c r="S303" s="87" t="s">
        <v>919</v>
      </c>
      <c r="T303" s="87" t="s">
        <v>914</v>
      </c>
      <c r="U303" s="88">
        <v>98800</v>
      </c>
      <c r="V303" s="88">
        <v>106704</v>
      </c>
      <c r="W303" s="88">
        <v>98800</v>
      </c>
      <c r="X303" s="88">
        <v>106704</v>
      </c>
      <c r="Z303" s="88">
        <v>0</v>
      </c>
      <c r="AA303" s="85">
        <v>43445</v>
      </c>
      <c r="AB303" s="85">
        <v>43446</v>
      </c>
      <c r="AD303" s="84">
        <v>0</v>
      </c>
      <c r="AG303" s="84">
        <v>0</v>
      </c>
      <c r="AJ303" s="84">
        <v>0</v>
      </c>
      <c r="AR303" s="85">
        <v>43441</v>
      </c>
      <c r="AS303" s="84">
        <v>6001627803</v>
      </c>
      <c r="AT303" s="85">
        <v>43441</v>
      </c>
      <c r="AU303" s="84" t="s">
        <v>1189</v>
      </c>
      <c r="AV303" s="85">
        <v>43448</v>
      </c>
      <c r="AW303" s="123">
        <v>43465</v>
      </c>
      <c r="AX303" s="123">
        <v>43485</v>
      </c>
      <c r="AY303" s="132">
        <v>94848</v>
      </c>
      <c r="AZ303" s="132">
        <f>ROUNDDOWN(AY303+(AY303*MASTER!$A$2/100),0)</f>
        <v>102435</v>
      </c>
      <c r="BA303" s="84" t="s">
        <v>287</v>
      </c>
      <c r="BB303" s="88">
        <v>39000</v>
      </c>
      <c r="BC303" s="88">
        <v>42120</v>
      </c>
      <c r="BD303" s="84" t="s">
        <v>190</v>
      </c>
      <c r="BG303" s="88">
        <v>0</v>
      </c>
      <c r="BK303" s="88">
        <v>0</v>
      </c>
      <c r="BS303" s="88">
        <v>0</v>
      </c>
      <c r="BV303" s="89">
        <v>106704</v>
      </c>
      <c r="BW303" s="89">
        <v>42120</v>
      </c>
      <c r="BX303" s="89">
        <v>43424</v>
      </c>
      <c r="BY303" s="89">
        <v>64584</v>
      </c>
      <c r="BZ303" s="112">
        <v>60.526315789473685</v>
      </c>
      <c r="CD303" s="87" t="s">
        <v>915</v>
      </c>
    </row>
    <row r="304" spans="1:89" x14ac:dyDescent="0.15">
      <c r="A304" s="84">
        <v>2</v>
      </c>
      <c r="B304" s="85">
        <v>43451</v>
      </c>
      <c r="C304" s="85">
        <v>43454</v>
      </c>
      <c r="F304" s="85" t="s">
        <v>338</v>
      </c>
      <c r="H304" s="85" t="s">
        <v>338</v>
      </c>
      <c r="J304" s="84">
        <v>2</v>
      </c>
      <c r="L304" s="84">
        <v>0</v>
      </c>
      <c r="M304" s="85">
        <v>43424</v>
      </c>
      <c r="N304" s="85" t="s">
        <v>265</v>
      </c>
      <c r="O304" s="86" t="s">
        <v>340</v>
      </c>
      <c r="P304" s="84" t="s">
        <v>6</v>
      </c>
      <c r="Q304" s="86" t="s">
        <v>122</v>
      </c>
      <c r="R304" s="86" t="s">
        <v>920</v>
      </c>
      <c r="S304" s="87" t="s">
        <v>921</v>
      </c>
      <c r="T304" s="87" t="s">
        <v>914</v>
      </c>
      <c r="U304" s="88">
        <v>98800</v>
      </c>
      <c r="V304" s="88">
        <v>106704</v>
      </c>
      <c r="W304" s="88">
        <v>98800</v>
      </c>
      <c r="X304" s="88">
        <v>106704</v>
      </c>
      <c r="Z304" s="88">
        <v>0</v>
      </c>
      <c r="AA304" s="85">
        <v>43487</v>
      </c>
      <c r="AB304" s="85">
        <v>43487</v>
      </c>
      <c r="AD304" s="84">
        <v>0</v>
      </c>
      <c r="AG304" s="84">
        <v>0</v>
      </c>
      <c r="AJ304" s="84">
        <v>0</v>
      </c>
      <c r="AR304" s="85">
        <v>43448</v>
      </c>
      <c r="AS304" s="84">
        <v>6001630339</v>
      </c>
      <c r="AT304" s="85">
        <v>43448</v>
      </c>
      <c r="AU304" s="84" t="s">
        <v>1262</v>
      </c>
      <c r="AV304" s="85">
        <v>43454</v>
      </c>
      <c r="AW304" s="123">
        <v>43465</v>
      </c>
      <c r="AX304" s="123">
        <v>43485</v>
      </c>
      <c r="AY304" s="132">
        <v>94848</v>
      </c>
      <c r="AZ304" s="132">
        <f>ROUNDDOWN(AY304+(AY304*MASTER!$A$2/100),0)</f>
        <v>102435</v>
      </c>
      <c r="BA304" s="84" t="s">
        <v>287</v>
      </c>
      <c r="BB304" s="88">
        <v>22000</v>
      </c>
      <c r="BC304" s="88">
        <v>23760</v>
      </c>
      <c r="BD304" s="84" t="s">
        <v>1233</v>
      </c>
      <c r="BG304" s="88">
        <v>0</v>
      </c>
      <c r="BK304" s="88">
        <v>0</v>
      </c>
      <c r="BS304" s="88">
        <v>0</v>
      </c>
      <c r="BV304" s="89">
        <v>106704</v>
      </c>
      <c r="BW304" s="89">
        <v>23760</v>
      </c>
      <c r="BX304" s="89">
        <v>43424</v>
      </c>
      <c r="BY304" s="89">
        <v>82944</v>
      </c>
      <c r="BZ304" s="112">
        <v>77.732793522267201</v>
      </c>
      <c r="CD304" s="87" t="s">
        <v>915</v>
      </c>
    </row>
    <row r="305" spans="1:89" x14ac:dyDescent="0.15">
      <c r="A305" s="84">
        <v>2</v>
      </c>
      <c r="B305" s="85">
        <v>43446</v>
      </c>
      <c r="C305" s="85">
        <v>43455</v>
      </c>
      <c r="F305" s="85">
        <v>43463</v>
      </c>
      <c r="H305" s="85">
        <v>43459</v>
      </c>
      <c r="I305" s="84" t="s">
        <v>1495</v>
      </c>
      <c r="J305" s="84">
        <v>2</v>
      </c>
      <c r="L305" s="84">
        <v>0</v>
      </c>
      <c r="M305" s="85">
        <v>43424</v>
      </c>
      <c r="N305" s="85" t="s">
        <v>265</v>
      </c>
      <c r="O305" s="86" t="s">
        <v>340</v>
      </c>
      <c r="P305" s="84" t="s">
        <v>6</v>
      </c>
      <c r="Q305" s="86" t="s">
        <v>122</v>
      </c>
      <c r="R305" s="86" t="s">
        <v>922</v>
      </c>
      <c r="S305" s="87" t="s">
        <v>888</v>
      </c>
      <c r="T305" s="87" t="s">
        <v>914</v>
      </c>
      <c r="U305" s="88">
        <v>98800</v>
      </c>
      <c r="V305" s="88">
        <v>106704</v>
      </c>
      <c r="W305" s="88">
        <v>98800</v>
      </c>
      <c r="X305" s="88">
        <v>106704</v>
      </c>
      <c r="Z305" s="88">
        <v>0</v>
      </c>
      <c r="AA305" s="85">
        <v>43455</v>
      </c>
      <c r="AB305" s="85">
        <v>43456</v>
      </c>
      <c r="AC305" s="85">
        <v>43456</v>
      </c>
      <c r="AD305" s="84">
        <v>0</v>
      </c>
      <c r="AG305" s="84">
        <v>0</v>
      </c>
      <c r="AJ305" s="84">
        <v>0</v>
      </c>
      <c r="AR305" s="85">
        <v>43444</v>
      </c>
      <c r="AS305" s="84">
        <v>6001628357</v>
      </c>
      <c r="AT305" s="85">
        <v>43444</v>
      </c>
      <c r="AU305" s="84" t="s">
        <v>1201</v>
      </c>
      <c r="AV305" s="85">
        <v>43455</v>
      </c>
      <c r="AW305" s="123">
        <v>43465</v>
      </c>
      <c r="AX305" s="123">
        <v>43485</v>
      </c>
      <c r="AY305" s="132">
        <v>94848</v>
      </c>
      <c r="AZ305" s="132">
        <f>ROUNDDOWN(AY305+(AY305*MASTER!$A$2/100),0)</f>
        <v>102435</v>
      </c>
      <c r="BA305" s="84" t="s">
        <v>540</v>
      </c>
      <c r="BB305" s="88">
        <v>32000</v>
      </c>
      <c r="BC305" s="88">
        <v>34560</v>
      </c>
      <c r="BD305" s="84" t="s">
        <v>1421</v>
      </c>
      <c r="BG305" s="88">
        <v>0</v>
      </c>
      <c r="BK305" s="88">
        <v>0</v>
      </c>
      <c r="BS305" s="88">
        <v>0</v>
      </c>
      <c r="BV305" s="89">
        <v>106704</v>
      </c>
      <c r="BW305" s="89">
        <v>34560</v>
      </c>
      <c r="BX305" s="89">
        <v>43424</v>
      </c>
      <c r="BY305" s="89">
        <v>72144</v>
      </c>
      <c r="BZ305" s="112">
        <v>67.611336032388664</v>
      </c>
      <c r="CD305" s="87" t="s">
        <v>915</v>
      </c>
    </row>
    <row r="306" spans="1:89" x14ac:dyDescent="0.15">
      <c r="A306" s="84">
        <v>2</v>
      </c>
      <c r="B306" s="85">
        <v>43451</v>
      </c>
      <c r="C306" s="85">
        <v>43454</v>
      </c>
      <c r="F306" s="85" t="s">
        <v>338</v>
      </c>
      <c r="H306" s="85" t="s">
        <v>338</v>
      </c>
      <c r="J306" s="84">
        <v>2</v>
      </c>
      <c r="L306" s="84">
        <v>0</v>
      </c>
      <c r="M306" s="85">
        <v>43424</v>
      </c>
      <c r="N306" s="85" t="s">
        <v>265</v>
      </c>
      <c r="O306" s="86" t="s">
        <v>340</v>
      </c>
      <c r="P306" s="84" t="s">
        <v>6</v>
      </c>
      <c r="Q306" s="86" t="s">
        <v>122</v>
      </c>
      <c r="R306" s="86" t="s">
        <v>923</v>
      </c>
      <c r="S306" s="87" t="s">
        <v>924</v>
      </c>
      <c r="T306" s="87" t="s">
        <v>914</v>
      </c>
      <c r="U306" s="88">
        <v>98800</v>
      </c>
      <c r="V306" s="88">
        <v>106704</v>
      </c>
      <c r="W306" s="88">
        <v>98800</v>
      </c>
      <c r="X306" s="88">
        <v>106704</v>
      </c>
      <c r="Z306" s="88">
        <v>0</v>
      </c>
      <c r="AA306" s="85">
        <v>43499</v>
      </c>
      <c r="AB306" s="85">
        <v>43499</v>
      </c>
      <c r="AD306" s="84">
        <v>0</v>
      </c>
      <c r="AG306" s="84">
        <v>0</v>
      </c>
      <c r="AJ306" s="84">
        <v>0</v>
      </c>
      <c r="AR306" s="85">
        <v>43448</v>
      </c>
      <c r="AS306" s="84">
        <v>6001630339</v>
      </c>
      <c r="AT306" s="85">
        <v>43448</v>
      </c>
      <c r="AU306" s="84" t="s">
        <v>1262</v>
      </c>
      <c r="AV306" s="85">
        <v>43454</v>
      </c>
      <c r="AW306" s="123">
        <v>43465</v>
      </c>
      <c r="AX306" s="123">
        <v>43485</v>
      </c>
      <c r="AY306" s="132">
        <v>94848</v>
      </c>
      <c r="AZ306" s="132">
        <f>ROUNDDOWN(AY306+(AY306*MASTER!$A$2/100),0)</f>
        <v>102435</v>
      </c>
      <c r="BA306" s="84" t="s">
        <v>486</v>
      </c>
      <c r="BB306" s="88">
        <v>48000</v>
      </c>
      <c r="BC306" s="88">
        <v>51840</v>
      </c>
      <c r="BD306" s="84" t="s">
        <v>1559</v>
      </c>
      <c r="BG306" s="88">
        <v>0</v>
      </c>
      <c r="BK306" s="88">
        <v>0</v>
      </c>
      <c r="BS306" s="88">
        <v>0</v>
      </c>
      <c r="BV306" s="89">
        <v>106704</v>
      </c>
      <c r="BW306" s="89">
        <v>51840</v>
      </c>
      <c r="BX306" s="89">
        <v>43424</v>
      </c>
      <c r="BY306" s="89">
        <v>54864</v>
      </c>
      <c r="BZ306" s="112">
        <v>51.417004048582996</v>
      </c>
      <c r="CD306" s="87" t="s">
        <v>915</v>
      </c>
    </row>
    <row r="307" spans="1:89" x14ac:dyDescent="0.15">
      <c r="A307" s="84">
        <v>1</v>
      </c>
      <c r="B307" s="85">
        <v>43451</v>
      </c>
      <c r="C307" s="85">
        <v>43454</v>
      </c>
      <c r="F307" s="85" t="s">
        <v>338</v>
      </c>
      <c r="H307" s="85" t="s">
        <v>338</v>
      </c>
      <c r="J307" s="84">
        <v>2</v>
      </c>
      <c r="L307" s="84">
        <v>0</v>
      </c>
      <c r="M307" s="85">
        <v>43424</v>
      </c>
      <c r="N307" s="85" t="s">
        <v>265</v>
      </c>
      <c r="O307" s="86" t="s">
        <v>340</v>
      </c>
      <c r="P307" s="84" t="s">
        <v>6</v>
      </c>
      <c r="Q307" s="86" t="s">
        <v>122</v>
      </c>
      <c r="R307" s="86" t="s">
        <v>925</v>
      </c>
      <c r="S307" s="87" t="s">
        <v>926</v>
      </c>
      <c r="T307" s="87" t="s">
        <v>914</v>
      </c>
      <c r="U307" s="88">
        <v>98800</v>
      </c>
      <c r="V307" s="88">
        <v>106704</v>
      </c>
      <c r="W307" s="88">
        <v>98800</v>
      </c>
      <c r="X307" s="88">
        <v>106704</v>
      </c>
      <c r="Z307" s="88">
        <v>0</v>
      </c>
      <c r="AD307" s="84">
        <v>0</v>
      </c>
      <c r="AG307" s="84">
        <v>0</v>
      </c>
      <c r="AJ307" s="84">
        <v>0</v>
      </c>
      <c r="AR307" s="85">
        <v>43448</v>
      </c>
      <c r="AS307" s="84">
        <v>6001630339</v>
      </c>
      <c r="AT307" s="85">
        <v>43448</v>
      </c>
      <c r="AU307" s="84" t="s">
        <v>1262</v>
      </c>
      <c r="AV307" s="85">
        <v>43454</v>
      </c>
      <c r="AW307" s="123">
        <v>43465</v>
      </c>
      <c r="AX307" s="123">
        <v>43485</v>
      </c>
      <c r="AY307" s="132">
        <v>94848</v>
      </c>
      <c r="AZ307" s="132">
        <f>ROUNDDOWN(AY307+(AY307*MASTER!$A$2/100),0)</f>
        <v>102435</v>
      </c>
      <c r="BC307" s="88">
        <v>0</v>
      </c>
      <c r="BG307" s="88">
        <v>0</v>
      </c>
      <c r="BK307" s="88">
        <v>0</v>
      </c>
      <c r="BS307" s="88">
        <v>0</v>
      </c>
      <c r="BV307" s="89">
        <v>106704</v>
      </c>
      <c r="BW307" s="89">
        <v>0</v>
      </c>
      <c r="BX307" s="89">
        <v>43424</v>
      </c>
      <c r="BY307" s="89">
        <v>106704</v>
      </c>
      <c r="BZ307" s="112">
        <v>100</v>
      </c>
      <c r="CD307" s="87" t="s">
        <v>915</v>
      </c>
    </row>
    <row r="308" spans="1:89" x14ac:dyDescent="0.15">
      <c r="A308" s="84">
        <v>1</v>
      </c>
      <c r="B308" s="85">
        <v>43451</v>
      </c>
      <c r="C308" s="85">
        <v>43461</v>
      </c>
      <c r="F308" s="85" t="s">
        <v>338</v>
      </c>
      <c r="H308" s="85" t="s">
        <v>338</v>
      </c>
      <c r="J308" s="84">
        <v>2</v>
      </c>
      <c r="L308" s="84">
        <v>0</v>
      </c>
      <c r="M308" s="85">
        <v>43424</v>
      </c>
      <c r="N308" s="85" t="s">
        <v>265</v>
      </c>
      <c r="O308" s="86" t="s">
        <v>340</v>
      </c>
      <c r="P308" s="84" t="s">
        <v>6</v>
      </c>
      <c r="Q308" s="86" t="s">
        <v>122</v>
      </c>
      <c r="R308" s="86" t="s">
        <v>927</v>
      </c>
      <c r="S308" s="87" t="s">
        <v>928</v>
      </c>
      <c r="T308" s="87" t="s">
        <v>914</v>
      </c>
      <c r="U308" s="88">
        <v>98800</v>
      </c>
      <c r="V308" s="88">
        <v>106704</v>
      </c>
      <c r="W308" s="88">
        <v>98800</v>
      </c>
      <c r="X308" s="88">
        <v>106704</v>
      </c>
      <c r="Z308" s="88">
        <v>0</v>
      </c>
      <c r="AD308" s="84">
        <v>0</v>
      </c>
      <c r="AG308" s="84">
        <v>0</v>
      </c>
      <c r="AJ308" s="84">
        <v>0</v>
      </c>
      <c r="AR308" s="85">
        <v>43445</v>
      </c>
      <c r="AS308" s="84">
        <v>6001628772</v>
      </c>
      <c r="AT308" s="85">
        <v>43447</v>
      </c>
      <c r="AU308" s="84" t="s">
        <v>1261</v>
      </c>
      <c r="AV308" s="85">
        <v>43461</v>
      </c>
      <c r="AW308" s="123">
        <v>43465</v>
      </c>
      <c r="AX308" s="123">
        <v>43485</v>
      </c>
      <c r="AY308" s="132">
        <v>94848</v>
      </c>
      <c r="AZ308" s="132">
        <f>ROUNDDOWN(AY308+(AY308*MASTER!$A$2/100),0)</f>
        <v>102435</v>
      </c>
      <c r="BC308" s="88">
        <v>0</v>
      </c>
      <c r="BG308" s="88">
        <v>0</v>
      </c>
      <c r="BK308" s="88">
        <v>0</v>
      </c>
      <c r="BS308" s="88">
        <v>0</v>
      </c>
      <c r="BV308" s="89">
        <v>106704</v>
      </c>
      <c r="BW308" s="89">
        <v>0</v>
      </c>
      <c r="BX308" s="89">
        <v>43424</v>
      </c>
      <c r="BY308" s="89">
        <v>106704</v>
      </c>
      <c r="BZ308" s="112">
        <v>100</v>
      </c>
      <c r="CD308" s="87" t="s">
        <v>915</v>
      </c>
    </row>
    <row r="309" spans="1:89" x14ac:dyDescent="0.15">
      <c r="A309" s="84">
        <v>2</v>
      </c>
      <c r="B309" s="85">
        <v>43451</v>
      </c>
      <c r="C309" s="85">
        <v>43454</v>
      </c>
      <c r="F309" s="85">
        <v>43462</v>
      </c>
      <c r="H309" s="85">
        <v>43458</v>
      </c>
      <c r="I309" s="84" t="s">
        <v>1495</v>
      </c>
      <c r="J309" s="84">
        <v>2</v>
      </c>
      <c r="L309" s="84">
        <v>0</v>
      </c>
      <c r="M309" s="85">
        <v>43424</v>
      </c>
      <c r="N309" s="85" t="s">
        <v>265</v>
      </c>
      <c r="O309" s="86" t="s">
        <v>340</v>
      </c>
      <c r="P309" s="84" t="s">
        <v>6</v>
      </c>
      <c r="Q309" s="86" t="s">
        <v>122</v>
      </c>
      <c r="R309" s="86" t="s">
        <v>929</v>
      </c>
      <c r="S309" s="87" t="s">
        <v>415</v>
      </c>
      <c r="T309" s="87" t="s">
        <v>914</v>
      </c>
      <c r="U309" s="88">
        <v>98800</v>
      </c>
      <c r="V309" s="88">
        <v>106704</v>
      </c>
      <c r="W309" s="88">
        <v>98800</v>
      </c>
      <c r="X309" s="88">
        <v>106704</v>
      </c>
      <c r="Z309" s="88">
        <v>0</v>
      </c>
      <c r="AA309" s="85">
        <v>43454</v>
      </c>
      <c r="AB309" s="85">
        <v>43455</v>
      </c>
      <c r="AC309" s="85">
        <v>43455</v>
      </c>
      <c r="AD309" s="84">
        <v>0</v>
      </c>
      <c r="AG309" s="84">
        <v>0</v>
      </c>
      <c r="AJ309" s="84">
        <v>0</v>
      </c>
      <c r="AR309" s="85">
        <v>43448</v>
      </c>
      <c r="AS309" s="84">
        <v>6001630339</v>
      </c>
      <c r="AT309" s="85">
        <v>43448</v>
      </c>
      <c r="AU309" s="84" t="s">
        <v>1262</v>
      </c>
      <c r="AV309" s="85">
        <v>43454</v>
      </c>
      <c r="AW309" s="123">
        <v>43465</v>
      </c>
      <c r="AX309" s="123">
        <v>43485</v>
      </c>
      <c r="AY309" s="132">
        <v>94848</v>
      </c>
      <c r="AZ309" s="132">
        <f>ROUNDDOWN(AY309+(AY309*MASTER!$A$2/100),0)</f>
        <v>102435</v>
      </c>
      <c r="BA309" s="84" t="s">
        <v>540</v>
      </c>
      <c r="BB309" s="88">
        <v>26000</v>
      </c>
      <c r="BC309" s="88">
        <v>28080</v>
      </c>
      <c r="BD309" s="84" t="s">
        <v>1421</v>
      </c>
      <c r="BG309" s="88">
        <v>0</v>
      </c>
      <c r="BK309" s="88">
        <v>0</v>
      </c>
      <c r="BS309" s="88">
        <v>0</v>
      </c>
      <c r="BV309" s="89">
        <v>106704</v>
      </c>
      <c r="BW309" s="89">
        <v>28080</v>
      </c>
      <c r="BX309" s="89">
        <v>43424</v>
      </c>
      <c r="BY309" s="89">
        <v>78624</v>
      </c>
      <c r="BZ309" s="112">
        <v>73.68421052631578</v>
      </c>
      <c r="CD309" s="87" t="s">
        <v>915</v>
      </c>
    </row>
    <row r="310" spans="1:89" x14ac:dyDescent="0.15">
      <c r="A310" s="84">
        <v>1</v>
      </c>
      <c r="B310" s="85">
        <v>43451</v>
      </c>
      <c r="C310" s="85">
        <v>43461</v>
      </c>
      <c r="F310" s="85" t="s">
        <v>338</v>
      </c>
      <c r="G310" s="85">
        <v>43472</v>
      </c>
      <c r="H310" s="85" t="s">
        <v>338</v>
      </c>
      <c r="I310" s="84" t="s">
        <v>776</v>
      </c>
      <c r="J310" s="84">
        <v>1</v>
      </c>
      <c r="L310" s="84">
        <v>0</v>
      </c>
      <c r="M310" s="85">
        <v>43424</v>
      </c>
      <c r="N310" s="85" t="s">
        <v>265</v>
      </c>
      <c r="O310" s="86" t="s">
        <v>340</v>
      </c>
      <c r="P310" s="84" t="s">
        <v>44</v>
      </c>
      <c r="Q310" s="86" t="s">
        <v>122</v>
      </c>
      <c r="R310" s="86" t="s">
        <v>987</v>
      </c>
      <c r="S310" s="87" t="s">
        <v>608</v>
      </c>
      <c r="T310" s="87" t="s">
        <v>988</v>
      </c>
      <c r="U310" s="88">
        <v>203300</v>
      </c>
      <c r="V310" s="88">
        <v>219564</v>
      </c>
      <c r="W310" s="88">
        <v>186300</v>
      </c>
      <c r="X310" s="88">
        <v>201204</v>
      </c>
      <c r="Y310" s="88">
        <v>17000</v>
      </c>
      <c r="Z310" s="88">
        <v>18360</v>
      </c>
      <c r="AD310" s="84">
        <v>0</v>
      </c>
      <c r="AG310" s="84">
        <v>0</v>
      </c>
      <c r="AJ310" s="84">
        <v>0</v>
      </c>
      <c r="AN310" s="84" t="s">
        <v>338</v>
      </c>
      <c r="AR310" s="85">
        <v>43430</v>
      </c>
      <c r="AS310" s="84">
        <v>6001623402</v>
      </c>
      <c r="AT310" s="85">
        <v>43430</v>
      </c>
      <c r="AU310" s="84" t="s">
        <v>980</v>
      </c>
      <c r="AV310" s="85">
        <v>43461</v>
      </c>
      <c r="AW310" s="123">
        <v>43465</v>
      </c>
      <c r="AX310" s="123">
        <v>43485</v>
      </c>
      <c r="AY310" s="132">
        <v>195168</v>
      </c>
      <c r="AZ310" s="132">
        <f>ROUNDDOWN(AY310+(AY310*MASTER!$A$2/100),0)</f>
        <v>210781</v>
      </c>
      <c r="BA310" s="84" t="s">
        <v>287</v>
      </c>
      <c r="BB310" s="88">
        <v>116000</v>
      </c>
      <c r="BC310" s="88">
        <v>125280</v>
      </c>
      <c r="BD310" s="84" t="s">
        <v>1421</v>
      </c>
      <c r="BG310" s="88">
        <v>0</v>
      </c>
      <c r="BI310" s="84" t="s">
        <v>434</v>
      </c>
      <c r="BJ310" s="88">
        <v>11050</v>
      </c>
      <c r="BK310" s="88">
        <v>11934</v>
      </c>
      <c r="BL310" s="84" t="s">
        <v>1138</v>
      </c>
      <c r="BS310" s="88">
        <v>0</v>
      </c>
      <c r="BV310" s="89">
        <v>201204</v>
      </c>
      <c r="BW310" s="89">
        <v>137214</v>
      </c>
      <c r="BX310" s="89">
        <v>43424</v>
      </c>
      <c r="BY310" s="89">
        <v>63990</v>
      </c>
      <c r="BZ310" s="112">
        <v>31.803542673107891</v>
      </c>
      <c r="CK310" s="88">
        <v>0</v>
      </c>
    </row>
    <row r="311" spans="1:89" x14ac:dyDescent="0.15">
      <c r="A311" s="84">
        <v>1</v>
      </c>
      <c r="B311" s="85">
        <v>43426</v>
      </c>
      <c r="C311" s="85">
        <v>43431</v>
      </c>
      <c r="F311" s="85" t="s">
        <v>338</v>
      </c>
      <c r="H311" s="85" t="s">
        <v>338</v>
      </c>
      <c r="J311" s="84">
        <v>2</v>
      </c>
      <c r="L311" s="84">
        <v>0</v>
      </c>
      <c r="M311" s="85">
        <v>43424</v>
      </c>
      <c r="N311" s="85" t="s">
        <v>265</v>
      </c>
      <c r="O311" s="86" t="s">
        <v>340</v>
      </c>
      <c r="P311" s="84" t="s">
        <v>78</v>
      </c>
      <c r="Q311" s="86" t="s">
        <v>122</v>
      </c>
      <c r="R311" s="86" t="s">
        <v>911</v>
      </c>
      <c r="S311" s="87" t="s">
        <v>407</v>
      </c>
      <c r="T311" s="87" t="s">
        <v>582</v>
      </c>
      <c r="U311" s="88">
        <v>5150</v>
      </c>
      <c r="V311" s="88">
        <v>5562</v>
      </c>
      <c r="W311" s="88">
        <v>5150</v>
      </c>
      <c r="X311" s="88">
        <v>5562</v>
      </c>
      <c r="Z311" s="88">
        <v>0</v>
      </c>
      <c r="AD311" s="84">
        <v>0</v>
      </c>
      <c r="AG311" s="84">
        <v>0</v>
      </c>
      <c r="AJ311" s="84">
        <v>0</v>
      </c>
      <c r="AR311" s="85">
        <v>43424</v>
      </c>
      <c r="AS311" s="84">
        <v>6001621739</v>
      </c>
      <c r="AT311" s="85">
        <v>43425</v>
      </c>
      <c r="AU311" s="84" t="s">
        <v>948</v>
      </c>
      <c r="AV311" s="85">
        <v>43431</v>
      </c>
      <c r="AW311" s="123">
        <v>43434</v>
      </c>
      <c r="AX311" s="123">
        <v>43454</v>
      </c>
      <c r="AY311" s="132">
        <v>4944</v>
      </c>
      <c r="AZ311" s="132">
        <f>ROUNDDOWN(AY311+(AY311*MASTER!$A$2/100),0)</f>
        <v>5339</v>
      </c>
      <c r="BC311" s="88">
        <v>0</v>
      </c>
      <c r="BG311" s="88">
        <v>0</v>
      </c>
      <c r="BK311" s="88">
        <v>0</v>
      </c>
      <c r="BS311" s="88">
        <v>0</v>
      </c>
      <c r="BV311" s="89">
        <v>5562</v>
      </c>
      <c r="BW311" s="89">
        <v>0</v>
      </c>
      <c r="BX311" s="89">
        <v>43424</v>
      </c>
      <c r="BY311" s="89">
        <v>5562</v>
      </c>
      <c r="BZ311" s="112">
        <v>100</v>
      </c>
      <c r="CK311" s="88">
        <v>0</v>
      </c>
    </row>
    <row r="312" spans="1:89" s="151" customFormat="1" x14ac:dyDescent="0.15">
      <c r="A312" s="141">
        <v>3</v>
      </c>
      <c r="B312" s="142"/>
      <c r="C312" s="142" t="s">
        <v>338</v>
      </c>
      <c r="D312" s="142"/>
      <c r="E312" s="142"/>
      <c r="F312" s="142" t="s">
        <v>338</v>
      </c>
      <c r="G312" s="142"/>
      <c r="H312" s="142" t="s">
        <v>338</v>
      </c>
      <c r="I312" s="141"/>
      <c r="J312" s="141">
        <v>2</v>
      </c>
      <c r="K312" s="142"/>
      <c r="L312" s="141">
        <v>0</v>
      </c>
      <c r="M312" s="142">
        <v>43425</v>
      </c>
      <c r="N312" s="142" t="s">
        <v>265</v>
      </c>
      <c r="O312" s="143" t="s">
        <v>340</v>
      </c>
      <c r="P312" s="141" t="s">
        <v>26</v>
      </c>
      <c r="Q312" s="143" t="s">
        <v>122</v>
      </c>
      <c r="R312" s="143" t="s">
        <v>1319</v>
      </c>
      <c r="S312" s="144" t="s">
        <v>1320</v>
      </c>
      <c r="T312" s="144" t="s">
        <v>1075</v>
      </c>
      <c r="U312" s="145">
        <v>81900</v>
      </c>
      <c r="V312" s="145">
        <v>88452</v>
      </c>
      <c r="W312" s="145">
        <v>81900</v>
      </c>
      <c r="X312" s="145">
        <v>88452</v>
      </c>
      <c r="Y312" s="145"/>
      <c r="Z312" s="145">
        <v>0</v>
      </c>
      <c r="AA312" s="142"/>
      <c r="AB312" s="142"/>
      <c r="AC312" s="142"/>
      <c r="AD312" s="141">
        <v>0</v>
      </c>
      <c r="AE312" s="141"/>
      <c r="AF312" s="141"/>
      <c r="AG312" s="141">
        <v>0</v>
      </c>
      <c r="AH312" s="141"/>
      <c r="AI312" s="141"/>
      <c r="AJ312" s="141">
        <v>0</v>
      </c>
      <c r="AK312" s="141"/>
      <c r="AL312" s="141"/>
      <c r="AM312" s="141" t="s">
        <v>290</v>
      </c>
      <c r="AN312" s="141" t="s">
        <v>1321</v>
      </c>
      <c r="AO312" s="142"/>
      <c r="AP312" s="141"/>
      <c r="AQ312" s="141"/>
      <c r="AR312" s="142"/>
      <c r="AS312" s="141"/>
      <c r="AT312" s="142"/>
      <c r="AU312" s="141"/>
      <c r="AV312" s="142"/>
      <c r="AW312" s="146"/>
      <c r="AX312" s="146"/>
      <c r="AY312" s="147">
        <v>78624</v>
      </c>
      <c r="AZ312" s="132">
        <f>ROUNDDOWN(AY312+(AY312*MASTER!$A$2/100),0)</f>
        <v>84913</v>
      </c>
      <c r="BA312" s="141"/>
      <c r="BB312" s="145"/>
      <c r="BC312" s="145">
        <v>0</v>
      </c>
      <c r="BD312" s="141"/>
      <c r="BE312" s="141"/>
      <c r="BF312" s="145"/>
      <c r="BG312" s="145">
        <v>0</v>
      </c>
      <c r="BH312" s="141"/>
      <c r="BI312" s="141"/>
      <c r="BJ312" s="145"/>
      <c r="BK312" s="145">
        <v>0</v>
      </c>
      <c r="BL312" s="141"/>
      <c r="BM312" s="145"/>
      <c r="BN312" s="145"/>
      <c r="BO312" s="145"/>
      <c r="BP312" s="145"/>
      <c r="BQ312" s="145"/>
      <c r="BR312" s="145"/>
      <c r="BS312" s="145">
        <v>0</v>
      </c>
      <c r="BT312" s="148"/>
      <c r="BU312" s="148"/>
      <c r="BV312" s="149">
        <v>88452</v>
      </c>
      <c r="BW312" s="149">
        <v>0</v>
      </c>
      <c r="BX312" s="149">
        <v>43425</v>
      </c>
      <c r="BY312" s="149">
        <v>88452</v>
      </c>
      <c r="BZ312" s="150">
        <v>100</v>
      </c>
      <c r="CA312" s="141"/>
      <c r="CB312" s="141"/>
      <c r="CC312" s="141"/>
      <c r="CD312" s="144" t="s">
        <v>1322</v>
      </c>
      <c r="CE312" s="142"/>
      <c r="CF312" s="142"/>
      <c r="CG312" s="142"/>
      <c r="CH312" s="142"/>
      <c r="CI312" s="142"/>
      <c r="CJ312" s="142"/>
      <c r="CK312" s="145">
        <v>0</v>
      </c>
    </row>
    <row r="313" spans="1:89" x14ac:dyDescent="0.15">
      <c r="A313" s="84">
        <v>2</v>
      </c>
      <c r="B313" s="85">
        <v>43451</v>
      </c>
      <c r="C313" s="85">
        <v>43460</v>
      </c>
      <c r="D313" s="85">
        <v>43512</v>
      </c>
      <c r="F313" s="85">
        <v>43467</v>
      </c>
      <c r="G313" s="85">
        <v>43460</v>
      </c>
      <c r="H313" s="85">
        <v>43463</v>
      </c>
      <c r="I313" s="84" t="s">
        <v>776</v>
      </c>
      <c r="J313" s="84">
        <v>1</v>
      </c>
      <c r="K313" s="85">
        <v>43440</v>
      </c>
      <c r="L313" s="84" t="s">
        <v>818</v>
      </c>
      <c r="M313" s="85">
        <v>43425</v>
      </c>
      <c r="N313" s="85" t="s">
        <v>265</v>
      </c>
      <c r="O313" s="86" t="s">
        <v>340</v>
      </c>
      <c r="P313" s="84" t="s">
        <v>26</v>
      </c>
      <c r="Q313" s="86" t="s">
        <v>122</v>
      </c>
      <c r="R313" s="86" t="s">
        <v>935</v>
      </c>
      <c r="S313" s="87" t="s">
        <v>936</v>
      </c>
      <c r="T313" s="87" t="s">
        <v>590</v>
      </c>
      <c r="U313" s="88">
        <v>57200</v>
      </c>
      <c r="V313" s="88">
        <v>61776</v>
      </c>
      <c r="W313" s="88">
        <v>39000</v>
      </c>
      <c r="X313" s="88">
        <v>42120</v>
      </c>
      <c r="Y313" s="88">
        <v>18200</v>
      </c>
      <c r="Z313" s="88">
        <v>19656</v>
      </c>
      <c r="AA313" s="85">
        <v>43459</v>
      </c>
      <c r="AB313" s="85">
        <v>43460</v>
      </c>
      <c r="AC313" s="85">
        <v>43460</v>
      </c>
      <c r="AD313" s="84">
        <v>0</v>
      </c>
      <c r="AG313" s="84">
        <v>0</v>
      </c>
      <c r="AJ313" s="84">
        <v>0</v>
      </c>
      <c r="AM313" s="84" t="s">
        <v>290</v>
      </c>
      <c r="AN313" s="84" t="s">
        <v>1140</v>
      </c>
      <c r="AR313" s="85">
        <v>43444</v>
      </c>
      <c r="AS313" s="84">
        <v>6001628357</v>
      </c>
      <c r="AT313" s="85">
        <v>43444</v>
      </c>
      <c r="AU313" s="84" t="s">
        <v>1201</v>
      </c>
      <c r="AV313" s="85">
        <v>43460</v>
      </c>
      <c r="AW313" s="123">
        <v>43465</v>
      </c>
      <c r="AX313" s="123">
        <v>43485</v>
      </c>
      <c r="AY313" s="132">
        <v>54912</v>
      </c>
      <c r="AZ313" s="132">
        <f>ROUNDDOWN(AY313+(AY313*MASTER!$A$2/100),0)</f>
        <v>59304</v>
      </c>
      <c r="BA313" s="84" t="s">
        <v>287</v>
      </c>
      <c r="BB313" s="88">
        <v>30000</v>
      </c>
      <c r="BC313" s="88">
        <v>32400</v>
      </c>
      <c r="BD313" s="84" t="s">
        <v>1138</v>
      </c>
      <c r="BG313" s="88">
        <v>0</v>
      </c>
      <c r="BI313" s="84" t="s">
        <v>434</v>
      </c>
      <c r="BJ313" s="88">
        <v>11830</v>
      </c>
      <c r="BK313" s="88">
        <v>12776.4</v>
      </c>
      <c r="BL313" s="84" t="s">
        <v>1138</v>
      </c>
      <c r="BS313" s="88">
        <v>0</v>
      </c>
      <c r="BV313" s="89">
        <v>42120</v>
      </c>
      <c r="BW313" s="89">
        <v>45176.4</v>
      </c>
      <c r="BX313" s="89">
        <v>0</v>
      </c>
      <c r="BY313" s="89">
        <v>43440</v>
      </c>
      <c r="BZ313" s="112">
        <v>-7.2564102564102599</v>
      </c>
      <c r="CK313" s="88">
        <v>0</v>
      </c>
    </row>
    <row r="314" spans="1:89" x14ac:dyDescent="0.15">
      <c r="A314" s="84">
        <v>1</v>
      </c>
      <c r="B314" s="85">
        <v>43448</v>
      </c>
      <c r="C314" s="85">
        <v>43453</v>
      </c>
      <c r="F314" s="85" t="s">
        <v>338</v>
      </c>
      <c r="H314" s="85" t="s">
        <v>338</v>
      </c>
      <c r="J314" s="84">
        <v>2</v>
      </c>
      <c r="L314" s="84">
        <v>0</v>
      </c>
      <c r="M314" s="85">
        <v>43425</v>
      </c>
      <c r="N314" s="85" t="s">
        <v>265</v>
      </c>
      <c r="O314" s="86" t="s">
        <v>340</v>
      </c>
      <c r="P314" s="84" t="s">
        <v>78</v>
      </c>
      <c r="Q314" s="86" t="s">
        <v>122</v>
      </c>
      <c r="R314" s="86" t="s">
        <v>942</v>
      </c>
      <c r="S314" s="87" t="s">
        <v>407</v>
      </c>
      <c r="T314" s="87" t="s">
        <v>408</v>
      </c>
      <c r="U314" s="88">
        <v>8300</v>
      </c>
      <c r="V314" s="88">
        <v>8964</v>
      </c>
      <c r="W314" s="88">
        <v>8300</v>
      </c>
      <c r="X314" s="88">
        <v>8964</v>
      </c>
      <c r="Z314" s="88">
        <v>0</v>
      </c>
      <c r="AD314" s="84">
        <v>0</v>
      </c>
      <c r="AG314" s="84">
        <v>0</v>
      </c>
      <c r="AJ314" s="84">
        <v>0</v>
      </c>
      <c r="AR314" s="85">
        <v>43425</v>
      </c>
      <c r="AS314" s="84">
        <v>6001622077</v>
      </c>
      <c r="AT314" s="85">
        <v>43425</v>
      </c>
      <c r="AU314" s="84" t="s">
        <v>947</v>
      </c>
      <c r="AV314" s="85">
        <v>43453</v>
      </c>
      <c r="AW314" s="123">
        <v>43465</v>
      </c>
      <c r="AX314" s="123">
        <v>43485</v>
      </c>
      <c r="AY314" s="132">
        <v>7968</v>
      </c>
      <c r="AZ314" s="132">
        <f>ROUNDDOWN(AY314+(AY314*MASTER!$A$2/100),0)</f>
        <v>8605</v>
      </c>
      <c r="BC314" s="88">
        <v>0</v>
      </c>
      <c r="BG314" s="88">
        <v>0</v>
      </c>
      <c r="BK314" s="88">
        <v>0</v>
      </c>
      <c r="BS314" s="88">
        <v>0</v>
      </c>
      <c r="BV314" s="89">
        <v>8964</v>
      </c>
      <c r="BW314" s="89">
        <v>0</v>
      </c>
      <c r="BX314" s="89">
        <v>43425</v>
      </c>
      <c r="BY314" s="89">
        <v>8964</v>
      </c>
      <c r="BZ314" s="112">
        <v>100</v>
      </c>
      <c r="CK314" s="88">
        <v>0</v>
      </c>
    </row>
    <row r="315" spans="1:89" x14ac:dyDescent="0.15">
      <c r="A315" s="84">
        <v>1</v>
      </c>
      <c r="C315" s="85" t="s">
        <v>338</v>
      </c>
      <c r="F315" s="85" t="s">
        <v>338</v>
      </c>
      <c r="H315" s="85" t="s">
        <v>338</v>
      </c>
      <c r="J315" s="84">
        <v>4</v>
      </c>
      <c r="L315" s="84">
        <v>0</v>
      </c>
      <c r="M315" s="85">
        <v>43425</v>
      </c>
      <c r="N315" s="85" t="s">
        <v>265</v>
      </c>
      <c r="O315" s="86" t="s">
        <v>340</v>
      </c>
      <c r="P315" s="84" t="s">
        <v>26</v>
      </c>
      <c r="Q315" s="86" t="s">
        <v>122</v>
      </c>
      <c r="R315" s="86" t="s">
        <v>943</v>
      </c>
      <c r="S315" s="87" t="s">
        <v>646</v>
      </c>
      <c r="T315" s="87" t="s">
        <v>944</v>
      </c>
      <c r="U315" s="88">
        <v>0</v>
      </c>
      <c r="V315" s="88">
        <v>0</v>
      </c>
      <c r="W315" s="88">
        <v>0</v>
      </c>
      <c r="X315" s="88">
        <v>0</v>
      </c>
      <c r="Y315" s="88">
        <v>0</v>
      </c>
      <c r="Z315" s="88">
        <v>0</v>
      </c>
      <c r="AA315" s="85">
        <v>43418</v>
      </c>
      <c r="AD315" s="84">
        <v>0</v>
      </c>
      <c r="AG315" s="84">
        <v>0</v>
      </c>
      <c r="AJ315" s="84">
        <v>0</v>
      </c>
      <c r="AY315" s="132">
        <f>ROUNDDOWN((0.96*U315),0)</f>
        <v>0</v>
      </c>
      <c r="AZ315" s="132">
        <f>ROUNDDOWN(AY315+(AY315*MASTER!$A$2/100),0)</f>
        <v>0</v>
      </c>
      <c r="BC315" s="88">
        <v>0</v>
      </c>
      <c r="BG315" s="88">
        <v>0</v>
      </c>
      <c r="BI315" s="84" t="s">
        <v>434</v>
      </c>
      <c r="BJ315" s="88">
        <v>11375</v>
      </c>
      <c r="BK315" s="88">
        <v>12285</v>
      </c>
      <c r="BL315" s="84" t="s">
        <v>677</v>
      </c>
      <c r="BS315" s="88">
        <v>0</v>
      </c>
      <c r="BV315" s="89">
        <v>0</v>
      </c>
      <c r="BW315" s="89">
        <v>12285</v>
      </c>
      <c r="BX315" s="89">
        <v>43425</v>
      </c>
      <c r="BY315" s="89">
        <v>-12285</v>
      </c>
      <c r="BZ315" s="112" t="s">
        <v>338</v>
      </c>
    </row>
    <row r="316" spans="1:89" x14ac:dyDescent="0.15">
      <c r="A316" s="84">
        <v>2</v>
      </c>
      <c r="B316" s="85">
        <v>43444</v>
      </c>
      <c r="C316" s="85">
        <v>43452</v>
      </c>
      <c r="D316" s="85">
        <v>43470</v>
      </c>
      <c r="F316" s="85">
        <v>43459</v>
      </c>
      <c r="G316" s="85">
        <v>43455</v>
      </c>
      <c r="H316" s="85">
        <v>43455</v>
      </c>
      <c r="I316" s="84" t="s">
        <v>776</v>
      </c>
      <c r="J316" s="84">
        <v>1</v>
      </c>
      <c r="L316" s="84">
        <v>0</v>
      </c>
      <c r="M316" s="85">
        <v>43426</v>
      </c>
      <c r="N316" s="85" t="s">
        <v>265</v>
      </c>
      <c r="O316" s="86" t="s">
        <v>340</v>
      </c>
      <c r="P316" s="84" t="s">
        <v>26</v>
      </c>
      <c r="Q316" s="86" t="s">
        <v>122</v>
      </c>
      <c r="R316" s="86" t="s">
        <v>958</v>
      </c>
      <c r="S316" s="87" t="s">
        <v>959</v>
      </c>
      <c r="T316" s="87" t="s">
        <v>669</v>
      </c>
      <c r="U316" s="88">
        <v>189800</v>
      </c>
      <c r="V316" s="88">
        <v>204984</v>
      </c>
      <c r="W316" s="88">
        <v>101300</v>
      </c>
      <c r="X316" s="88">
        <v>109404</v>
      </c>
      <c r="Y316" s="88">
        <v>88500</v>
      </c>
      <c r="Z316" s="88">
        <v>95580</v>
      </c>
      <c r="AA316" s="85">
        <v>43450</v>
      </c>
      <c r="AB316" s="85">
        <v>43452</v>
      </c>
      <c r="AC316" s="85">
        <v>43452</v>
      </c>
      <c r="AD316" s="84">
        <v>0</v>
      </c>
      <c r="AG316" s="84">
        <v>0</v>
      </c>
      <c r="AJ316" s="84">
        <v>0</v>
      </c>
      <c r="AM316" s="84" t="s">
        <v>960</v>
      </c>
      <c r="AN316" s="84" t="s">
        <v>961</v>
      </c>
      <c r="AR316" s="85">
        <v>43441</v>
      </c>
      <c r="AS316" s="84">
        <v>6001627803</v>
      </c>
      <c r="AT316" s="85">
        <v>43441</v>
      </c>
      <c r="AU316" s="84" t="s">
        <v>1189</v>
      </c>
      <c r="AV316" s="85">
        <v>43452</v>
      </c>
      <c r="AW316" s="123">
        <v>43465</v>
      </c>
      <c r="AX316" s="123">
        <v>43485</v>
      </c>
      <c r="AY316" s="132">
        <v>182208</v>
      </c>
      <c r="AZ316" s="132">
        <f>ROUNDDOWN(AY316+(AY316*MASTER!$A$2/100),0)</f>
        <v>196784</v>
      </c>
      <c r="BA316" s="84" t="s">
        <v>287</v>
      </c>
      <c r="BB316" s="88">
        <v>34000</v>
      </c>
      <c r="BC316" s="88">
        <v>36720</v>
      </c>
      <c r="BD316" s="84" t="s">
        <v>190</v>
      </c>
      <c r="BG316" s="88">
        <v>0</v>
      </c>
      <c r="BI316" s="84" t="s">
        <v>434</v>
      </c>
      <c r="BJ316" s="88">
        <v>57525</v>
      </c>
      <c r="BK316" s="88">
        <v>62127</v>
      </c>
      <c r="BL316" s="84" t="s">
        <v>190</v>
      </c>
      <c r="BS316" s="88">
        <v>0</v>
      </c>
      <c r="BV316" s="89">
        <v>109404</v>
      </c>
      <c r="BW316" s="89">
        <v>98847</v>
      </c>
      <c r="BX316" s="89">
        <v>43426</v>
      </c>
      <c r="BY316" s="89">
        <v>10557</v>
      </c>
      <c r="BZ316" s="112">
        <v>9.6495557749259628</v>
      </c>
      <c r="CK316" s="88">
        <v>6300</v>
      </c>
    </row>
    <row r="317" spans="1:89" x14ac:dyDescent="0.15">
      <c r="A317" s="84">
        <v>2</v>
      </c>
      <c r="B317" s="85">
        <v>43451</v>
      </c>
      <c r="C317" s="85">
        <v>43461</v>
      </c>
      <c r="D317" s="85">
        <v>43512</v>
      </c>
      <c r="F317" s="85">
        <v>43468</v>
      </c>
      <c r="G317" s="85">
        <v>43472</v>
      </c>
      <c r="H317" s="85">
        <v>43464</v>
      </c>
      <c r="I317" s="84" t="s">
        <v>776</v>
      </c>
      <c r="J317" s="84">
        <v>1</v>
      </c>
      <c r="L317" s="84">
        <v>0</v>
      </c>
      <c r="M317" s="85">
        <v>43426</v>
      </c>
      <c r="N317" s="85" t="s">
        <v>265</v>
      </c>
      <c r="O317" s="86" t="s">
        <v>340</v>
      </c>
      <c r="P317" s="84" t="s">
        <v>26</v>
      </c>
      <c r="Q317" s="86" t="s">
        <v>122</v>
      </c>
      <c r="R317" s="86" t="s">
        <v>962</v>
      </c>
      <c r="S317" s="87" t="s">
        <v>963</v>
      </c>
      <c r="T317" s="87" t="s">
        <v>964</v>
      </c>
      <c r="U317" s="88">
        <v>85700</v>
      </c>
      <c r="V317" s="88">
        <v>92556</v>
      </c>
      <c r="W317" s="88">
        <v>67500</v>
      </c>
      <c r="X317" s="88">
        <v>72900</v>
      </c>
      <c r="Y317" s="88">
        <v>18200</v>
      </c>
      <c r="Z317" s="88">
        <v>19656</v>
      </c>
      <c r="AA317" s="85">
        <v>43459</v>
      </c>
      <c r="AB317" s="85">
        <v>43461</v>
      </c>
      <c r="AC317" s="85">
        <v>43461</v>
      </c>
      <c r="AD317" s="84">
        <v>0</v>
      </c>
      <c r="AG317" s="84">
        <v>0</v>
      </c>
      <c r="AJ317" s="84">
        <v>0</v>
      </c>
      <c r="AM317" s="84" t="s">
        <v>290</v>
      </c>
      <c r="AN317" s="84" t="s">
        <v>1299</v>
      </c>
      <c r="AR317" s="85">
        <v>43441</v>
      </c>
      <c r="AS317" s="84">
        <v>6001627803</v>
      </c>
      <c r="AT317" s="85">
        <v>43441</v>
      </c>
      <c r="AU317" s="84" t="s">
        <v>1189</v>
      </c>
      <c r="AV317" s="85">
        <v>43461</v>
      </c>
      <c r="AW317" s="123">
        <v>43465</v>
      </c>
      <c r="AX317" s="123">
        <v>43485</v>
      </c>
      <c r="AY317" s="132">
        <v>82272</v>
      </c>
      <c r="AZ317" s="132">
        <f>ROUNDDOWN(AY317+(AY317*MASTER!$A$2/100),0)</f>
        <v>88853</v>
      </c>
      <c r="BA317" s="84" t="s">
        <v>287</v>
      </c>
      <c r="BB317" s="88">
        <v>37130</v>
      </c>
      <c r="BC317" s="88">
        <v>40100.400000000001</v>
      </c>
      <c r="BD317" s="84" t="s">
        <v>1138</v>
      </c>
      <c r="BG317" s="88">
        <v>0</v>
      </c>
      <c r="BI317" s="84" t="s">
        <v>434</v>
      </c>
      <c r="BJ317" s="88">
        <v>11830</v>
      </c>
      <c r="BK317" s="88">
        <v>12776.4</v>
      </c>
      <c r="BL317" s="84" t="s">
        <v>1138</v>
      </c>
      <c r="BS317" s="88">
        <v>0</v>
      </c>
      <c r="BV317" s="89">
        <v>72900</v>
      </c>
      <c r="BW317" s="89">
        <v>52876.800000000003</v>
      </c>
      <c r="BX317" s="89">
        <v>43426</v>
      </c>
      <c r="BY317" s="89">
        <v>20023.2</v>
      </c>
      <c r="BZ317" s="112">
        <v>27.466666666666661</v>
      </c>
    </row>
    <row r="318" spans="1:89" x14ac:dyDescent="0.15">
      <c r="A318" s="84">
        <v>2</v>
      </c>
      <c r="C318" s="85" t="s">
        <v>338</v>
      </c>
      <c r="F318" s="85" t="s">
        <v>338</v>
      </c>
      <c r="H318" s="85" t="s">
        <v>338</v>
      </c>
      <c r="J318" s="84">
        <v>4</v>
      </c>
      <c r="L318" s="84">
        <v>0</v>
      </c>
      <c r="M318" s="85">
        <v>43426</v>
      </c>
      <c r="N318" s="85" t="s">
        <v>265</v>
      </c>
      <c r="O318" s="86" t="s">
        <v>340</v>
      </c>
      <c r="P318" s="84" t="s">
        <v>272</v>
      </c>
      <c r="Q318" s="86" t="s">
        <v>122</v>
      </c>
      <c r="R318" s="86" t="s">
        <v>968</v>
      </c>
      <c r="S318" s="87" t="s">
        <v>351</v>
      </c>
      <c r="T318" s="87" t="s">
        <v>529</v>
      </c>
      <c r="U318" s="88">
        <v>0</v>
      </c>
      <c r="V318" s="88">
        <v>0</v>
      </c>
      <c r="W318" s="88">
        <v>0</v>
      </c>
      <c r="X318" s="88">
        <v>0</v>
      </c>
      <c r="Y318" s="88">
        <v>0</v>
      </c>
      <c r="Z318" s="88">
        <v>0</v>
      </c>
      <c r="AA318" s="85">
        <v>43394</v>
      </c>
      <c r="AB318" s="85">
        <v>43424</v>
      </c>
      <c r="AD318" s="84">
        <v>0</v>
      </c>
      <c r="AG318" s="84">
        <v>0</v>
      </c>
      <c r="AJ318" s="84">
        <v>0</v>
      </c>
      <c r="AN318" s="84" t="s">
        <v>338</v>
      </c>
      <c r="AY318" s="132">
        <f>ROUNDDOWN((0.96*U318),0)</f>
        <v>0</v>
      </c>
      <c r="AZ318" s="132">
        <f>ROUNDDOWN(AY318+(AY318*MASTER!$A$2/100),0)</f>
        <v>0</v>
      </c>
      <c r="BA318" s="84" t="s">
        <v>14</v>
      </c>
      <c r="BB318" s="88">
        <v>340000</v>
      </c>
      <c r="BC318" s="88">
        <v>367200</v>
      </c>
      <c r="BD318" s="84" t="s">
        <v>677</v>
      </c>
      <c r="BG318" s="88">
        <v>0</v>
      </c>
      <c r="BK318" s="88">
        <v>0</v>
      </c>
      <c r="BS318" s="88">
        <v>0</v>
      </c>
      <c r="BV318" s="89">
        <v>0</v>
      </c>
      <c r="BW318" s="89">
        <v>367200</v>
      </c>
      <c r="BX318" s="89">
        <v>43426</v>
      </c>
      <c r="BY318" s="89">
        <v>-367200</v>
      </c>
      <c r="BZ318" s="112" t="s">
        <v>338</v>
      </c>
    </row>
    <row r="319" spans="1:89" x14ac:dyDescent="0.15">
      <c r="A319" s="84">
        <v>2</v>
      </c>
      <c r="C319" s="85" t="s">
        <v>338</v>
      </c>
      <c r="F319" s="85" t="s">
        <v>338</v>
      </c>
      <c r="H319" s="85" t="s">
        <v>338</v>
      </c>
      <c r="J319" s="84">
        <v>4</v>
      </c>
      <c r="L319" s="84">
        <v>0</v>
      </c>
      <c r="M319" s="85">
        <v>43426</v>
      </c>
      <c r="N319" s="85" t="s">
        <v>265</v>
      </c>
      <c r="O319" s="86" t="s">
        <v>340</v>
      </c>
      <c r="P319" s="84" t="s">
        <v>272</v>
      </c>
      <c r="Q319" s="86" t="s">
        <v>122</v>
      </c>
      <c r="R319" s="86" t="s">
        <v>969</v>
      </c>
      <c r="S319" s="87" t="s">
        <v>619</v>
      </c>
      <c r="T319" s="87" t="s">
        <v>970</v>
      </c>
      <c r="U319" s="88">
        <v>0</v>
      </c>
      <c r="V319" s="88">
        <v>0</v>
      </c>
      <c r="W319" s="88">
        <v>0</v>
      </c>
      <c r="X319" s="88">
        <v>0</v>
      </c>
      <c r="Y319" s="88">
        <v>0</v>
      </c>
      <c r="Z319" s="88">
        <v>0</v>
      </c>
      <c r="AA319" s="85">
        <v>43413</v>
      </c>
      <c r="AB319" s="85">
        <v>43417</v>
      </c>
      <c r="AD319" s="84">
        <v>0</v>
      </c>
      <c r="AG319" s="84">
        <v>0</v>
      </c>
      <c r="AJ319" s="84">
        <v>0</v>
      </c>
      <c r="AN319" s="84" t="s">
        <v>338</v>
      </c>
      <c r="AY319" s="132">
        <f>ROUNDDOWN((0.96*U319),0)</f>
        <v>0</v>
      </c>
      <c r="AZ319" s="132">
        <f>ROUNDDOWN(AY319+(AY319*MASTER!$A$2/100),0)</f>
        <v>0</v>
      </c>
      <c r="BA319" s="84" t="s">
        <v>14</v>
      </c>
      <c r="BB319" s="88">
        <v>46000</v>
      </c>
      <c r="BC319" s="88">
        <v>49680</v>
      </c>
      <c r="BD319" s="84" t="s">
        <v>189</v>
      </c>
      <c r="BG319" s="88">
        <v>0</v>
      </c>
      <c r="BK319" s="88">
        <v>0</v>
      </c>
      <c r="BS319" s="88">
        <v>0</v>
      </c>
      <c r="BV319" s="89">
        <v>0</v>
      </c>
      <c r="BW319" s="89">
        <v>49680</v>
      </c>
      <c r="BX319" s="89">
        <v>43426</v>
      </c>
      <c r="BY319" s="89">
        <v>-49680</v>
      </c>
      <c r="BZ319" s="112" t="s">
        <v>338</v>
      </c>
    </row>
    <row r="320" spans="1:89" x14ac:dyDescent="0.15">
      <c r="A320" s="84">
        <v>1</v>
      </c>
      <c r="B320" s="85">
        <v>43474</v>
      </c>
      <c r="C320" s="85">
        <v>43487</v>
      </c>
      <c r="F320" s="85" t="s">
        <v>338</v>
      </c>
      <c r="H320" s="85" t="s">
        <v>338</v>
      </c>
      <c r="J320" s="84">
        <v>2</v>
      </c>
      <c r="L320" s="84">
        <v>0</v>
      </c>
      <c r="M320" s="85">
        <v>43430</v>
      </c>
      <c r="N320" s="85" t="s">
        <v>265</v>
      </c>
      <c r="O320" s="86" t="s">
        <v>340</v>
      </c>
      <c r="P320" s="84" t="s">
        <v>26</v>
      </c>
      <c r="Q320" s="86" t="s">
        <v>122</v>
      </c>
      <c r="R320" s="86" t="s">
        <v>1490</v>
      </c>
      <c r="S320" s="87" t="s">
        <v>351</v>
      </c>
      <c r="T320" s="87" t="s">
        <v>1491</v>
      </c>
      <c r="U320" s="88">
        <v>75000</v>
      </c>
      <c r="V320" s="88">
        <v>81000</v>
      </c>
      <c r="W320" s="88">
        <v>75000</v>
      </c>
      <c r="X320" s="88">
        <v>81000</v>
      </c>
      <c r="Z320" s="88">
        <v>0</v>
      </c>
      <c r="AD320" s="84">
        <v>0</v>
      </c>
      <c r="AG320" s="84">
        <v>0</v>
      </c>
      <c r="AJ320" s="84">
        <v>0</v>
      </c>
      <c r="AN320" s="84" t="s">
        <v>338</v>
      </c>
      <c r="AR320" s="85">
        <v>43451</v>
      </c>
      <c r="AS320" s="84">
        <v>6001630849</v>
      </c>
      <c r="AT320" s="85">
        <v>43451</v>
      </c>
      <c r="AU320" s="84" t="s">
        <v>1314</v>
      </c>
      <c r="AV320" s="85">
        <v>43487</v>
      </c>
      <c r="AW320" s="123">
        <v>43496</v>
      </c>
      <c r="AX320" s="123">
        <v>43516</v>
      </c>
      <c r="AY320" s="132">
        <v>72000</v>
      </c>
      <c r="AZ320" s="132">
        <f>ROUNDDOWN(AY320+(AY320*MASTER!$A$2/100),0)</f>
        <v>77760</v>
      </c>
      <c r="BC320" s="88">
        <v>0</v>
      </c>
      <c r="BG320" s="88">
        <v>0</v>
      </c>
      <c r="BK320" s="88">
        <v>0</v>
      </c>
      <c r="BS320" s="88">
        <v>0</v>
      </c>
      <c r="BV320" s="89">
        <v>81000</v>
      </c>
      <c r="BW320" s="89">
        <v>0</v>
      </c>
      <c r="BX320" s="89">
        <v>43430</v>
      </c>
      <c r="BY320" s="89">
        <v>81000</v>
      </c>
      <c r="BZ320" s="112">
        <v>100</v>
      </c>
      <c r="CK320" s="88">
        <v>0</v>
      </c>
    </row>
    <row r="321" spans="1:89" x14ac:dyDescent="0.15">
      <c r="A321" s="84">
        <v>1</v>
      </c>
      <c r="B321" s="85">
        <v>43431</v>
      </c>
      <c r="C321" s="85">
        <v>43432</v>
      </c>
      <c r="F321" s="85" t="s">
        <v>338</v>
      </c>
      <c r="H321" s="85" t="s">
        <v>338</v>
      </c>
      <c r="J321" s="84">
        <v>2</v>
      </c>
      <c r="L321" s="84">
        <v>0</v>
      </c>
      <c r="M321" s="85">
        <v>43430</v>
      </c>
      <c r="N321" s="85" t="s">
        <v>265</v>
      </c>
      <c r="O321" s="86" t="s">
        <v>340</v>
      </c>
      <c r="P321" s="84" t="s">
        <v>272</v>
      </c>
      <c r="Q321" s="86" t="s">
        <v>122</v>
      </c>
      <c r="R321" s="86" t="s">
        <v>971</v>
      </c>
      <c r="S321" s="87" t="s">
        <v>351</v>
      </c>
      <c r="T321" s="87" t="s">
        <v>931</v>
      </c>
      <c r="U321" s="88">
        <v>3500</v>
      </c>
      <c r="V321" s="88">
        <v>3780</v>
      </c>
      <c r="W321" s="88">
        <v>3500</v>
      </c>
      <c r="X321" s="88">
        <v>3780</v>
      </c>
      <c r="Z321" s="88">
        <v>0</v>
      </c>
      <c r="AD321" s="84">
        <v>0</v>
      </c>
      <c r="AG321" s="84">
        <v>0</v>
      </c>
      <c r="AJ321" s="84">
        <v>0</v>
      </c>
      <c r="AR321" s="85">
        <v>43430</v>
      </c>
      <c r="AS321" s="84">
        <v>6001623450</v>
      </c>
      <c r="AT321" s="85">
        <v>43430</v>
      </c>
      <c r="AU321" s="84" t="s">
        <v>976</v>
      </c>
      <c r="AV321" s="85">
        <v>43432</v>
      </c>
      <c r="AW321" s="123">
        <v>43434</v>
      </c>
      <c r="AX321" s="123">
        <v>43454</v>
      </c>
      <c r="AY321" s="132">
        <v>3360</v>
      </c>
      <c r="AZ321" s="132">
        <f>ROUNDDOWN(AY321+(AY321*MASTER!$A$2/100),0)</f>
        <v>3628</v>
      </c>
      <c r="BC321" s="88">
        <v>0</v>
      </c>
      <c r="BG321" s="88">
        <v>0</v>
      </c>
      <c r="BK321" s="88">
        <v>0</v>
      </c>
      <c r="BS321" s="88">
        <v>0</v>
      </c>
      <c r="BV321" s="89">
        <v>3780</v>
      </c>
      <c r="BW321" s="89">
        <v>0</v>
      </c>
      <c r="BX321" s="89">
        <v>43430</v>
      </c>
      <c r="BY321" s="89">
        <v>3780</v>
      </c>
      <c r="BZ321" s="112">
        <v>100</v>
      </c>
      <c r="CD321" s="87" t="s">
        <v>850</v>
      </c>
      <c r="CK321" s="88">
        <v>0</v>
      </c>
    </row>
    <row r="322" spans="1:89" s="151" customFormat="1" x14ac:dyDescent="0.15">
      <c r="A322" s="141">
        <v>3</v>
      </c>
      <c r="B322" s="142"/>
      <c r="C322" s="142" t="s">
        <v>338</v>
      </c>
      <c r="D322" s="142"/>
      <c r="E322" s="142"/>
      <c r="F322" s="142" t="s">
        <v>338</v>
      </c>
      <c r="G322" s="142"/>
      <c r="H322" s="142" t="s">
        <v>338</v>
      </c>
      <c r="I322" s="141"/>
      <c r="J322" s="141">
        <v>2</v>
      </c>
      <c r="K322" s="142"/>
      <c r="L322" s="141">
        <v>0</v>
      </c>
      <c r="M322" s="142">
        <v>43430</v>
      </c>
      <c r="N322" s="142" t="s">
        <v>265</v>
      </c>
      <c r="O322" s="143" t="s">
        <v>340</v>
      </c>
      <c r="P322" s="141" t="s">
        <v>272</v>
      </c>
      <c r="Q322" s="143" t="s">
        <v>122</v>
      </c>
      <c r="R322" s="143" t="s">
        <v>1021</v>
      </c>
      <c r="S322" s="144" t="s">
        <v>351</v>
      </c>
      <c r="T322" s="144" t="s">
        <v>758</v>
      </c>
      <c r="U322" s="145">
        <v>50000</v>
      </c>
      <c r="V322" s="145">
        <v>54000</v>
      </c>
      <c r="W322" s="145">
        <v>50000</v>
      </c>
      <c r="X322" s="145">
        <v>54000</v>
      </c>
      <c r="Y322" s="145"/>
      <c r="Z322" s="145">
        <v>0</v>
      </c>
      <c r="AA322" s="142" t="s">
        <v>190</v>
      </c>
      <c r="AB322" s="142"/>
      <c r="AC322" s="142"/>
      <c r="AD322" s="141">
        <v>0</v>
      </c>
      <c r="AE322" s="141"/>
      <c r="AF322" s="141"/>
      <c r="AG322" s="141">
        <v>0</v>
      </c>
      <c r="AH322" s="141"/>
      <c r="AI322" s="141"/>
      <c r="AJ322" s="141">
        <v>0</v>
      </c>
      <c r="AK322" s="141"/>
      <c r="AL322" s="141"/>
      <c r="AM322" s="141"/>
      <c r="AN322" s="141"/>
      <c r="AO322" s="142"/>
      <c r="AP322" s="141"/>
      <c r="AQ322" s="141"/>
      <c r="AR322" s="142"/>
      <c r="AS322" s="141"/>
      <c r="AT322" s="142"/>
      <c r="AU322" s="141"/>
      <c r="AV322" s="142"/>
      <c r="AW322" s="146"/>
      <c r="AX322" s="146"/>
      <c r="AY322" s="147">
        <v>48000</v>
      </c>
      <c r="AZ322" s="132">
        <f>ROUNDDOWN(AY322+(AY322*MASTER!$A$2/100),0)</f>
        <v>51840</v>
      </c>
      <c r="BA322" s="141"/>
      <c r="BB322" s="145"/>
      <c r="BC322" s="145">
        <v>0</v>
      </c>
      <c r="BD322" s="141"/>
      <c r="BE322" s="141"/>
      <c r="BF322" s="145"/>
      <c r="BG322" s="145">
        <v>0</v>
      </c>
      <c r="BH322" s="141"/>
      <c r="BI322" s="141"/>
      <c r="BJ322" s="145"/>
      <c r="BK322" s="145">
        <v>0</v>
      </c>
      <c r="BL322" s="141"/>
      <c r="BM322" s="145"/>
      <c r="BN322" s="145"/>
      <c r="BO322" s="145"/>
      <c r="BP322" s="145"/>
      <c r="BQ322" s="145"/>
      <c r="BR322" s="145"/>
      <c r="BS322" s="145">
        <v>0</v>
      </c>
      <c r="BT322" s="148"/>
      <c r="BU322" s="148"/>
      <c r="BV322" s="149">
        <v>54000</v>
      </c>
      <c r="BW322" s="149">
        <v>0</v>
      </c>
      <c r="BX322" s="149">
        <v>43430</v>
      </c>
      <c r="BY322" s="149">
        <v>54000</v>
      </c>
      <c r="BZ322" s="150">
        <v>100</v>
      </c>
      <c r="CA322" s="141"/>
      <c r="CB322" s="141"/>
      <c r="CC322" s="141"/>
      <c r="CD322" s="144"/>
      <c r="CE322" s="142"/>
      <c r="CF322" s="142"/>
      <c r="CG322" s="142"/>
      <c r="CH322" s="142"/>
      <c r="CI322" s="142"/>
      <c r="CJ322" s="142"/>
      <c r="CK322" s="145"/>
    </row>
    <row r="323" spans="1:89" x14ac:dyDescent="0.15">
      <c r="A323" s="84">
        <v>1</v>
      </c>
      <c r="B323" s="85">
        <v>43440</v>
      </c>
      <c r="C323" s="85">
        <v>43441</v>
      </c>
      <c r="F323" s="85" t="s">
        <v>338</v>
      </c>
      <c r="H323" s="85" t="s">
        <v>338</v>
      </c>
      <c r="J323" s="84">
        <v>2</v>
      </c>
      <c r="L323" s="84">
        <v>0</v>
      </c>
      <c r="M323" s="85">
        <v>43430</v>
      </c>
      <c r="N323" s="85" t="s">
        <v>265</v>
      </c>
      <c r="O323" s="86" t="s">
        <v>340</v>
      </c>
      <c r="P323" s="84" t="s">
        <v>272</v>
      </c>
      <c r="Q323" s="86" t="s">
        <v>122</v>
      </c>
      <c r="R323" s="86" t="s">
        <v>972</v>
      </c>
      <c r="S323" s="87" t="s">
        <v>351</v>
      </c>
      <c r="T323" s="87" t="s">
        <v>973</v>
      </c>
      <c r="U323" s="88">
        <v>50000</v>
      </c>
      <c r="V323" s="88">
        <v>54000</v>
      </c>
      <c r="W323" s="88">
        <v>50000</v>
      </c>
      <c r="X323" s="88">
        <v>54000</v>
      </c>
      <c r="Z323" s="88">
        <v>0</v>
      </c>
      <c r="AA323" s="85" t="s">
        <v>1138</v>
      </c>
      <c r="AD323" s="84">
        <v>0</v>
      </c>
      <c r="AG323" s="84">
        <v>0</v>
      </c>
      <c r="AJ323" s="84">
        <v>0</v>
      </c>
      <c r="AR323" s="85">
        <v>43438</v>
      </c>
      <c r="AS323" s="84">
        <v>6001625953</v>
      </c>
      <c r="AT323" s="85">
        <v>43439</v>
      </c>
      <c r="AU323" s="84" t="s">
        <v>1130</v>
      </c>
      <c r="AV323" s="85">
        <v>43441</v>
      </c>
      <c r="AW323" s="123">
        <v>43465</v>
      </c>
      <c r="AX323" s="123">
        <v>43485</v>
      </c>
      <c r="AY323" s="132">
        <v>48000</v>
      </c>
      <c r="AZ323" s="132">
        <f>ROUNDDOWN(AY323+(AY323*MASTER!$A$2/100),0)</f>
        <v>51840</v>
      </c>
      <c r="BC323" s="88">
        <v>0</v>
      </c>
      <c r="BG323" s="88">
        <v>0</v>
      </c>
      <c r="BK323" s="88">
        <v>0</v>
      </c>
      <c r="BS323" s="88">
        <v>0</v>
      </c>
      <c r="BV323" s="89">
        <v>54000</v>
      </c>
      <c r="BW323" s="89">
        <v>0</v>
      </c>
      <c r="BX323" s="89">
        <v>43430</v>
      </c>
      <c r="BY323" s="89">
        <v>54000</v>
      </c>
      <c r="BZ323" s="112">
        <v>100</v>
      </c>
    </row>
    <row r="324" spans="1:89" x14ac:dyDescent="0.15">
      <c r="A324" s="84">
        <v>1</v>
      </c>
      <c r="B324" s="85">
        <v>43447</v>
      </c>
      <c r="C324" s="85">
        <v>43461</v>
      </c>
      <c r="F324" s="85" t="s">
        <v>338</v>
      </c>
      <c r="H324" s="85" t="s">
        <v>338</v>
      </c>
      <c r="J324" s="84">
        <v>2</v>
      </c>
      <c r="L324" s="84">
        <v>0</v>
      </c>
      <c r="M324" s="85">
        <v>43430</v>
      </c>
      <c r="N324" s="85" t="s">
        <v>265</v>
      </c>
      <c r="O324" s="86" t="s">
        <v>340</v>
      </c>
      <c r="P324" s="84" t="s">
        <v>272</v>
      </c>
      <c r="Q324" s="86" t="s">
        <v>122</v>
      </c>
      <c r="R324" s="86" t="s">
        <v>974</v>
      </c>
      <c r="S324" s="87" t="s">
        <v>351</v>
      </c>
      <c r="T324" s="87" t="s">
        <v>975</v>
      </c>
      <c r="U324" s="88">
        <v>50000</v>
      </c>
      <c r="V324" s="88">
        <v>54000</v>
      </c>
      <c r="W324" s="88">
        <v>50000</v>
      </c>
      <c r="X324" s="88">
        <v>54000</v>
      </c>
      <c r="Z324" s="88">
        <v>0</v>
      </c>
      <c r="AA324" s="85" t="s">
        <v>1233</v>
      </c>
      <c r="AD324" s="84">
        <v>0</v>
      </c>
      <c r="AG324" s="84">
        <v>0</v>
      </c>
      <c r="AJ324" s="84">
        <v>0</v>
      </c>
      <c r="AR324" s="85">
        <v>43439</v>
      </c>
      <c r="AS324" s="84">
        <v>6001626565</v>
      </c>
      <c r="AT324" s="85">
        <v>43439</v>
      </c>
      <c r="AU324" s="84" t="s">
        <v>1132</v>
      </c>
      <c r="AV324" s="85">
        <v>43461</v>
      </c>
      <c r="AW324" s="123">
        <v>43465</v>
      </c>
      <c r="AX324" s="123">
        <v>43485</v>
      </c>
      <c r="AY324" s="132">
        <v>48000</v>
      </c>
      <c r="AZ324" s="132">
        <f>ROUNDDOWN(AY324+(AY324*MASTER!$A$2/100),0)</f>
        <v>51840</v>
      </c>
      <c r="BC324" s="88">
        <v>0</v>
      </c>
      <c r="BG324" s="88">
        <v>0</v>
      </c>
      <c r="BK324" s="88">
        <v>0</v>
      </c>
      <c r="BS324" s="88">
        <v>0</v>
      </c>
      <c r="BV324" s="89">
        <v>54000</v>
      </c>
      <c r="BW324" s="89">
        <v>0</v>
      </c>
      <c r="BX324" s="89">
        <v>43430</v>
      </c>
      <c r="BY324" s="89">
        <v>54000</v>
      </c>
      <c r="BZ324" s="112">
        <v>100</v>
      </c>
    </row>
    <row r="325" spans="1:89" x14ac:dyDescent="0.15">
      <c r="A325" s="84">
        <v>1</v>
      </c>
      <c r="B325" s="85">
        <v>43441</v>
      </c>
      <c r="C325" s="85">
        <v>43455</v>
      </c>
      <c r="F325" s="85" t="s">
        <v>338</v>
      </c>
      <c r="G325" s="85">
        <v>43469</v>
      </c>
      <c r="H325" s="85" t="s">
        <v>338</v>
      </c>
      <c r="I325" s="84" t="s">
        <v>401</v>
      </c>
      <c r="J325" s="84">
        <v>1</v>
      </c>
      <c r="L325" s="84">
        <v>0</v>
      </c>
      <c r="M325" s="85">
        <v>43430</v>
      </c>
      <c r="N325" s="85" t="s">
        <v>265</v>
      </c>
      <c r="O325" s="86" t="s">
        <v>340</v>
      </c>
      <c r="P325" s="84" t="s">
        <v>26</v>
      </c>
      <c r="Q325" s="86" t="s">
        <v>122</v>
      </c>
      <c r="R325" s="86" t="s">
        <v>977</v>
      </c>
      <c r="S325" s="87" t="s">
        <v>978</v>
      </c>
      <c r="T325" s="87" t="s">
        <v>721</v>
      </c>
      <c r="U325" s="88">
        <v>23900</v>
      </c>
      <c r="V325" s="88">
        <v>25812</v>
      </c>
      <c r="W325" s="88">
        <v>14700</v>
      </c>
      <c r="X325" s="88">
        <v>15876</v>
      </c>
      <c r="Y325" s="88">
        <v>9200</v>
      </c>
      <c r="Z325" s="88">
        <v>9936</v>
      </c>
      <c r="AA325" s="85">
        <v>43454</v>
      </c>
      <c r="AB325" s="85">
        <v>43455</v>
      </c>
      <c r="AD325" s="84">
        <v>0</v>
      </c>
      <c r="AG325" s="84">
        <v>0</v>
      </c>
      <c r="AJ325" s="84">
        <v>0</v>
      </c>
      <c r="AM325" s="84" t="s">
        <v>290</v>
      </c>
      <c r="AN325" s="84" t="s">
        <v>1174</v>
      </c>
      <c r="AR325" s="85">
        <v>43439</v>
      </c>
      <c r="AS325" s="84">
        <v>6001626565</v>
      </c>
      <c r="AT325" s="85">
        <v>43439</v>
      </c>
      <c r="AU325" s="84" t="s">
        <v>1132</v>
      </c>
      <c r="AV325" s="85">
        <v>43455</v>
      </c>
      <c r="AW325" s="123">
        <v>43465</v>
      </c>
      <c r="AX325" s="123">
        <v>43485</v>
      </c>
      <c r="AY325" s="132">
        <v>22944</v>
      </c>
      <c r="AZ325" s="132">
        <f>ROUNDDOWN(AY325+(AY325*MASTER!$A$2/100),0)</f>
        <v>24779</v>
      </c>
      <c r="BA325" s="84" t="s">
        <v>778</v>
      </c>
      <c r="BC325" s="88">
        <v>0</v>
      </c>
      <c r="BG325" s="88">
        <v>0</v>
      </c>
      <c r="BI325" s="84" t="s">
        <v>276</v>
      </c>
      <c r="BJ325" s="88">
        <v>5980</v>
      </c>
      <c r="BK325" s="88">
        <v>6458.4</v>
      </c>
      <c r="BL325" s="84" t="s">
        <v>1421</v>
      </c>
      <c r="BS325" s="88">
        <v>0</v>
      </c>
      <c r="BV325" s="89">
        <v>15876</v>
      </c>
      <c r="BW325" s="89">
        <v>6458.4</v>
      </c>
      <c r="BX325" s="89">
        <v>43430</v>
      </c>
      <c r="BY325" s="89">
        <v>9417.6</v>
      </c>
      <c r="BZ325" s="112">
        <v>59.319727891156461</v>
      </c>
    </row>
    <row r="326" spans="1:89" s="151" customFormat="1" x14ac:dyDescent="0.15">
      <c r="A326" s="141">
        <v>3</v>
      </c>
      <c r="B326" s="142"/>
      <c r="C326" s="142" t="s">
        <v>338</v>
      </c>
      <c r="D326" s="142"/>
      <c r="E326" s="142"/>
      <c r="F326" s="142" t="s">
        <v>338</v>
      </c>
      <c r="G326" s="142"/>
      <c r="H326" s="142" t="s">
        <v>338</v>
      </c>
      <c r="I326" s="141"/>
      <c r="J326" s="141">
        <v>2</v>
      </c>
      <c r="K326" s="142"/>
      <c r="L326" s="141">
        <v>0</v>
      </c>
      <c r="M326" s="142">
        <v>43430</v>
      </c>
      <c r="N326" s="142" t="s">
        <v>265</v>
      </c>
      <c r="O326" s="143" t="s">
        <v>340</v>
      </c>
      <c r="P326" s="141" t="s">
        <v>26</v>
      </c>
      <c r="Q326" s="143" t="s">
        <v>122</v>
      </c>
      <c r="R326" s="143" t="s">
        <v>981</v>
      </c>
      <c r="S326" s="144" t="s">
        <v>351</v>
      </c>
      <c r="T326" s="144" t="s">
        <v>982</v>
      </c>
      <c r="U326" s="145">
        <v>210000</v>
      </c>
      <c r="V326" s="145">
        <v>226800</v>
      </c>
      <c r="W326" s="145">
        <v>210000</v>
      </c>
      <c r="X326" s="145">
        <v>226800</v>
      </c>
      <c r="Y326" s="145"/>
      <c r="Z326" s="145">
        <v>0</v>
      </c>
      <c r="AA326" s="142"/>
      <c r="AB326" s="142"/>
      <c r="AC326" s="142"/>
      <c r="AD326" s="141">
        <v>0</v>
      </c>
      <c r="AE326" s="141"/>
      <c r="AF326" s="141"/>
      <c r="AG326" s="141">
        <v>0</v>
      </c>
      <c r="AH326" s="141"/>
      <c r="AI326" s="141"/>
      <c r="AJ326" s="141">
        <v>0</v>
      </c>
      <c r="AK326" s="141"/>
      <c r="AL326" s="141"/>
      <c r="AM326" s="141"/>
      <c r="AN326" s="141"/>
      <c r="AO326" s="142"/>
      <c r="AP326" s="141"/>
      <c r="AQ326" s="141"/>
      <c r="AR326" s="142"/>
      <c r="AS326" s="141"/>
      <c r="AT326" s="142"/>
      <c r="AU326" s="141"/>
      <c r="AV326" s="142"/>
      <c r="AW326" s="146"/>
      <c r="AX326" s="146"/>
      <c r="AY326" s="147">
        <v>201600</v>
      </c>
      <c r="AZ326" s="132">
        <f>ROUNDDOWN(AY326+(AY326*MASTER!$A$2/100),0)</f>
        <v>217728</v>
      </c>
      <c r="BA326" s="141"/>
      <c r="BB326" s="145"/>
      <c r="BC326" s="145">
        <v>0</v>
      </c>
      <c r="BD326" s="141"/>
      <c r="BE326" s="141"/>
      <c r="BF326" s="145"/>
      <c r="BG326" s="145">
        <v>0</v>
      </c>
      <c r="BH326" s="141"/>
      <c r="BI326" s="141"/>
      <c r="BJ326" s="145"/>
      <c r="BK326" s="145">
        <v>0</v>
      </c>
      <c r="BL326" s="141"/>
      <c r="BM326" s="145"/>
      <c r="BN326" s="145"/>
      <c r="BO326" s="145"/>
      <c r="BP326" s="145"/>
      <c r="BQ326" s="145"/>
      <c r="BR326" s="145"/>
      <c r="BS326" s="145">
        <v>0</v>
      </c>
      <c r="BT326" s="148"/>
      <c r="BU326" s="148"/>
      <c r="BV326" s="149">
        <v>226800</v>
      </c>
      <c r="BW326" s="149">
        <v>0</v>
      </c>
      <c r="BX326" s="149">
        <v>43430</v>
      </c>
      <c r="BY326" s="149">
        <v>226800</v>
      </c>
      <c r="BZ326" s="150">
        <v>100</v>
      </c>
      <c r="CA326" s="141"/>
      <c r="CB326" s="141"/>
      <c r="CC326" s="141"/>
      <c r="CD326" s="144" t="s">
        <v>1560</v>
      </c>
      <c r="CE326" s="142"/>
      <c r="CF326" s="142"/>
      <c r="CG326" s="142"/>
      <c r="CH326" s="142"/>
      <c r="CI326" s="142"/>
      <c r="CJ326" s="142"/>
      <c r="CK326" s="145"/>
    </row>
    <row r="327" spans="1:89" x14ac:dyDescent="0.15">
      <c r="A327" s="84">
        <v>2</v>
      </c>
      <c r="C327" s="85" t="s">
        <v>338</v>
      </c>
      <c r="F327" s="85" t="s">
        <v>338</v>
      </c>
      <c r="H327" s="85" t="s">
        <v>338</v>
      </c>
      <c r="J327" s="84">
        <v>4</v>
      </c>
      <c r="L327" s="84">
        <v>0</v>
      </c>
      <c r="M327" s="85">
        <v>43430</v>
      </c>
      <c r="N327" s="85" t="s">
        <v>265</v>
      </c>
      <c r="O327" s="86" t="s">
        <v>340</v>
      </c>
      <c r="P327" s="84" t="s">
        <v>78</v>
      </c>
      <c r="Q327" s="86" t="s">
        <v>122</v>
      </c>
      <c r="R327" s="86" t="s">
        <v>983</v>
      </c>
      <c r="S327" s="87" t="s">
        <v>562</v>
      </c>
      <c r="T327" s="87" t="s">
        <v>984</v>
      </c>
      <c r="U327" s="88">
        <v>0</v>
      </c>
      <c r="V327" s="88">
        <v>0</v>
      </c>
      <c r="W327" s="88">
        <v>0</v>
      </c>
      <c r="X327" s="88">
        <v>0</v>
      </c>
      <c r="Y327" s="88">
        <v>0</v>
      </c>
      <c r="Z327" s="88">
        <v>0</v>
      </c>
      <c r="AA327" s="85">
        <v>43394</v>
      </c>
      <c r="AB327" s="85">
        <v>43424</v>
      </c>
      <c r="AD327" s="84">
        <v>0</v>
      </c>
      <c r="AG327" s="84">
        <v>0</v>
      </c>
      <c r="AJ327" s="84">
        <v>0</v>
      </c>
      <c r="AN327" s="84" t="s">
        <v>338</v>
      </c>
      <c r="AY327" s="132">
        <v>0</v>
      </c>
      <c r="AZ327" s="132">
        <f>ROUNDDOWN(AY327+(AY327*MASTER!$A$2/100),0)</f>
        <v>0</v>
      </c>
      <c r="BA327" s="84" t="s">
        <v>289</v>
      </c>
      <c r="BB327" s="88">
        <v>551534</v>
      </c>
      <c r="BC327" s="88">
        <v>595656.72</v>
      </c>
      <c r="BD327" s="84" t="s">
        <v>677</v>
      </c>
      <c r="BG327" s="88">
        <v>0</v>
      </c>
      <c r="BK327" s="88">
        <v>0</v>
      </c>
      <c r="BS327" s="88">
        <v>0</v>
      </c>
      <c r="BV327" s="89">
        <v>0</v>
      </c>
      <c r="BW327" s="89">
        <v>595656.72</v>
      </c>
      <c r="BX327" s="89">
        <v>43430</v>
      </c>
      <c r="BY327" s="89">
        <v>-595656.72</v>
      </c>
      <c r="BZ327" s="112" t="s">
        <v>338</v>
      </c>
    </row>
    <row r="328" spans="1:89" x14ac:dyDescent="0.15">
      <c r="A328" s="84">
        <v>2</v>
      </c>
      <c r="B328" s="85">
        <v>43474</v>
      </c>
      <c r="C328" s="85">
        <v>43482</v>
      </c>
      <c r="D328" s="85" t="s">
        <v>374</v>
      </c>
      <c r="F328" s="85">
        <v>43488</v>
      </c>
      <c r="G328" s="85">
        <v>43482</v>
      </c>
      <c r="H328" s="85">
        <v>43484</v>
      </c>
      <c r="I328" s="84" t="s">
        <v>401</v>
      </c>
      <c r="J328" s="84">
        <v>1</v>
      </c>
      <c r="L328" s="84">
        <v>0</v>
      </c>
      <c r="M328" s="85">
        <v>43431</v>
      </c>
      <c r="N328" s="85" t="s">
        <v>265</v>
      </c>
      <c r="O328" s="86" t="s">
        <v>340</v>
      </c>
      <c r="P328" s="84" t="s">
        <v>26</v>
      </c>
      <c r="Q328" s="86" t="s">
        <v>122</v>
      </c>
      <c r="R328" s="86" t="s">
        <v>1487</v>
      </c>
      <c r="S328" s="87" t="s">
        <v>550</v>
      </c>
      <c r="T328" s="87" t="s">
        <v>1488</v>
      </c>
      <c r="U328" s="88">
        <v>23900</v>
      </c>
      <c r="V328" s="88">
        <v>25812</v>
      </c>
      <c r="W328" s="88">
        <v>14700</v>
      </c>
      <c r="X328" s="88">
        <v>15876</v>
      </c>
      <c r="Y328" s="88">
        <v>9200</v>
      </c>
      <c r="Z328" s="88">
        <v>9936</v>
      </c>
      <c r="AA328" s="85">
        <v>43480</v>
      </c>
      <c r="AB328" s="85">
        <v>43481</v>
      </c>
      <c r="AC328" s="85">
        <v>43481</v>
      </c>
      <c r="AD328" s="84">
        <v>0</v>
      </c>
      <c r="AG328" s="84">
        <v>0</v>
      </c>
      <c r="AJ328" s="84">
        <v>0</v>
      </c>
      <c r="AM328" s="84" t="s">
        <v>290</v>
      </c>
      <c r="AN328" s="84" t="s">
        <v>1489</v>
      </c>
      <c r="AR328" s="85">
        <v>43447</v>
      </c>
      <c r="AS328" s="84">
        <v>6001629835</v>
      </c>
      <c r="AT328" s="85">
        <v>43447</v>
      </c>
      <c r="AU328" s="84" t="s">
        <v>1236</v>
      </c>
      <c r="AV328" s="85">
        <v>43482</v>
      </c>
      <c r="AW328" s="123">
        <v>43496</v>
      </c>
      <c r="AX328" s="123">
        <v>43516</v>
      </c>
      <c r="AY328" s="132">
        <v>22944</v>
      </c>
      <c r="AZ328" s="132">
        <f>ROUNDDOWN(AY328+(AY328*MASTER!$A$2/100),0)</f>
        <v>24779</v>
      </c>
      <c r="BA328" s="84" t="s">
        <v>778</v>
      </c>
      <c r="BC328" s="88">
        <v>0</v>
      </c>
      <c r="BG328" s="88">
        <v>0</v>
      </c>
      <c r="BI328" s="84" t="s">
        <v>276</v>
      </c>
      <c r="BJ328" s="88">
        <v>5980</v>
      </c>
      <c r="BK328" s="88">
        <v>6458.4</v>
      </c>
      <c r="BL328" s="84" t="s">
        <v>1421</v>
      </c>
      <c r="BS328" s="88">
        <v>0</v>
      </c>
      <c r="BV328" s="89">
        <v>15876</v>
      </c>
      <c r="BW328" s="89">
        <v>6458.4</v>
      </c>
      <c r="BX328" s="89">
        <v>43431</v>
      </c>
      <c r="BY328" s="89">
        <v>9417.6</v>
      </c>
      <c r="BZ328" s="112">
        <v>59.319727891156461</v>
      </c>
      <c r="CK328" s="88">
        <v>0</v>
      </c>
    </row>
    <row r="329" spans="1:89" x14ac:dyDescent="0.15">
      <c r="A329" s="84">
        <v>2</v>
      </c>
      <c r="B329" s="85">
        <v>43454</v>
      </c>
      <c r="C329" s="85">
        <v>43461</v>
      </c>
      <c r="F329" s="85" t="s">
        <v>338</v>
      </c>
      <c r="G329" s="85">
        <v>43472</v>
      </c>
      <c r="H329" s="85" t="s">
        <v>338</v>
      </c>
      <c r="I329" s="84" t="s">
        <v>401</v>
      </c>
      <c r="J329" s="84">
        <v>1</v>
      </c>
      <c r="K329" s="85">
        <v>43445</v>
      </c>
      <c r="L329" s="84" t="s">
        <v>818</v>
      </c>
      <c r="M329" s="85">
        <v>43431</v>
      </c>
      <c r="N329" s="85" t="s">
        <v>265</v>
      </c>
      <c r="O329" s="86" t="s">
        <v>340</v>
      </c>
      <c r="P329" s="84" t="s">
        <v>44</v>
      </c>
      <c r="Q329" s="86" t="s">
        <v>122</v>
      </c>
      <c r="R329" s="86" t="s">
        <v>1200</v>
      </c>
      <c r="S329" s="87" t="s">
        <v>555</v>
      </c>
      <c r="T329" s="87" t="s">
        <v>988</v>
      </c>
      <c r="U329" s="88">
        <v>175620</v>
      </c>
      <c r="V329" s="88">
        <v>189669.6</v>
      </c>
      <c r="W329" s="88">
        <v>158620</v>
      </c>
      <c r="X329" s="88">
        <v>171309.6</v>
      </c>
      <c r="Y329" s="88">
        <v>17000</v>
      </c>
      <c r="Z329" s="88">
        <v>18360</v>
      </c>
      <c r="AD329" s="84">
        <v>0</v>
      </c>
      <c r="AG329" s="84">
        <v>0</v>
      </c>
      <c r="AJ329" s="84">
        <v>0</v>
      </c>
      <c r="AN329" s="84" t="s">
        <v>338</v>
      </c>
      <c r="AR329" s="85">
        <v>43453</v>
      </c>
      <c r="AS329" s="84">
        <v>6001632073</v>
      </c>
      <c r="AT329" s="85">
        <v>43453</v>
      </c>
      <c r="AU329" s="84" t="s">
        <v>1350</v>
      </c>
      <c r="AV329" s="85">
        <v>43461</v>
      </c>
      <c r="AW329" s="123">
        <v>43465</v>
      </c>
      <c r="AX329" s="123">
        <v>43485</v>
      </c>
      <c r="AY329" s="132">
        <v>168595</v>
      </c>
      <c r="AZ329" s="132">
        <f>ROUNDDOWN(AY329+(AY329*MASTER!$A$2/100),0)</f>
        <v>182082</v>
      </c>
      <c r="BA329" s="84" t="s">
        <v>286</v>
      </c>
      <c r="BB329" s="88">
        <v>92200</v>
      </c>
      <c r="BC329" s="88">
        <v>99576</v>
      </c>
      <c r="BD329" s="84" t="s">
        <v>1138</v>
      </c>
      <c r="BG329" s="88">
        <v>0</v>
      </c>
      <c r="BI329" s="84" t="s">
        <v>276</v>
      </c>
      <c r="BJ329" s="88">
        <v>11050</v>
      </c>
      <c r="BK329" s="88">
        <v>11934</v>
      </c>
      <c r="BL329" s="84" t="s">
        <v>1421</v>
      </c>
      <c r="BS329" s="88">
        <v>0</v>
      </c>
      <c r="BV329" s="89">
        <v>171309.6</v>
      </c>
      <c r="BW329" s="89">
        <v>111510</v>
      </c>
      <c r="BX329" s="89">
        <v>0</v>
      </c>
      <c r="BY329" s="89">
        <v>43445</v>
      </c>
      <c r="BZ329" s="112">
        <v>34.907325684024713</v>
      </c>
      <c r="CK329" s="88">
        <v>0</v>
      </c>
    </row>
    <row r="330" spans="1:89" x14ac:dyDescent="0.15">
      <c r="A330" s="84">
        <v>2</v>
      </c>
      <c r="B330" s="85">
        <v>43451</v>
      </c>
      <c r="C330" s="85">
        <v>43462</v>
      </c>
      <c r="D330" s="85">
        <v>43490</v>
      </c>
      <c r="F330" s="85" t="s">
        <v>338</v>
      </c>
      <c r="G330" s="85">
        <v>43493</v>
      </c>
      <c r="H330" s="85" t="s">
        <v>338</v>
      </c>
      <c r="I330" s="84" t="s">
        <v>401</v>
      </c>
      <c r="J330" s="84">
        <v>1</v>
      </c>
      <c r="L330" s="84">
        <v>0</v>
      </c>
      <c r="M330" s="85">
        <v>43431</v>
      </c>
      <c r="N330" s="85" t="s">
        <v>265</v>
      </c>
      <c r="O330" s="86" t="s">
        <v>340</v>
      </c>
      <c r="P330" s="84" t="s">
        <v>44</v>
      </c>
      <c r="Q330" s="86" t="s">
        <v>122</v>
      </c>
      <c r="R330" s="86" t="s">
        <v>1300</v>
      </c>
      <c r="S330" s="87" t="s">
        <v>639</v>
      </c>
      <c r="T330" s="87" t="s">
        <v>988</v>
      </c>
      <c r="U330" s="88">
        <v>184820</v>
      </c>
      <c r="V330" s="88">
        <v>199605.6</v>
      </c>
      <c r="W330" s="88">
        <v>167820</v>
      </c>
      <c r="X330" s="88">
        <v>181245.6</v>
      </c>
      <c r="Y330" s="88">
        <v>17000</v>
      </c>
      <c r="Z330" s="88">
        <v>18360</v>
      </c>
      <c r="AA330" s="85">
        <v>43459</v>
      </c>
      <c r="AB330" s="85">
        <v>43459</v>
      </c>
      <c r="AD330" s="84">
        <v>0</v>
      </c>
      <c r="AG330" s="84">
        <v>0</v>
      </c>
      <c r="AJ330" s="84">
        <v>0</v>
      </c>
      <c r="AN330" s="84" t="s">
        <v>338</v>
      </c>
      <c r="AR330" s="85">
        <v>43441</v>
      </c>
      <c r="AS330" s="84">
        <v>6001627803</v>
      </c>
      <c r="AT330" s="85">
        <v>43441</v>
      </c>
      <c r="AU330" s="84" t="s">
        <v>1189</v>
      </c>
      <c r="AV330" s="85">
        <v>43462</v>
      </c>
      <c r="AW330" s="123">
        <v>43465</v>
      </c>
      <c r="AX330" s="123">
        <v>43485</v>
      </c>
      <c r="AY330" s="132">
        <v>177427</v>
      </c>
      <c r="AZ330" s="132">
        <f>ROUNDDOWN(AY330+(AY330*MASTER!$A$2/100),0)</f>
        <v>191621</v>
      </c>
      <c r="BA330" s="84" t="s">
        <v>666</v>
      </c>
      <c r="BB330" s="88">
        <v>99200</v>
      </c>
      <c r="BC330" s="88">
        <v>107136</v>
      </c>
      <c r="BD330" s="84" t="s">
        <v>1138</v>
      </c>
      <c r="BG330" s="88">
        <v>0</v>
      </c>
      <c r="BI330" s="84" t="s">
        <v>434</v>
      </c>
      <c r="BJ330" s="88">
        <v>11050</v>
      </c>
      <c r="BK330" s="88">
        <v>11934</v>
      </c>
      <c r="BL330" s="84" t="s">
        <v>1138</v>
      </c>
      <c r="BS330" s="88">
        <v>0</v>
      </c>
      <c r="BV330" s="89">
        <v>181245.6</v>
      </c>
      <c r="BW330" s="89">
        <v>119070</v>
      </c>
      <c r="BX330" s="89">
        <v>43431</v>
      </c>
      <c r="BY330" s="89">
        <v>62175.6</v>
      </c>
      <c r="BZ330" s="112">
        <v>34.304612084376117</v>
      </c>
      <c r="CK330" s="88">
        <v>0</v>
      </c>
    </row>
    <row r="331" spans="1:89" x14ac:dyDescent="0.15">
      <c r="A331" s="84">
        <v>2</v>
      </c>
      <c r="B331" s="85">
        <v>43440</v>
      </c>
      <c r="C331" s="85">
        <v>43440</v>
      </c>
      <c r="D331" s="85">
        <v>43431</v>
      </c>
      <c r="E331" s="85">
        <v>43431</v>
      </c>
      <c r="F331" s="85" t="s">
        <v>338</v>
      </c>
      <c r="G331" s="85">
        <v>43431</v>
      </c>
      <c r="H331" s="85" t="s">
        <v>338</v>
      </c>
      <c r="I331" s="84" t="s">
        <v>380</v>
      </c>
      <c r="J331" s="84">
        <v>2</v>
      </c>
      <c r="L331" s="84">
        <v>0</v>
      </c>
      <c r="M331" s="85">
        <v>43431</v>
      </c>
      <c r="N331" s="85" t="s">
        <v>265</v>
      </c>
      <c r="O331" s="86" t="s">
        <v>340</v>
      </c>
      <c r="P331" s="84" t="s">
        <v>6</v>
      </c>
      <c r="Q331" s="86" t="s">
        <v>122</v>
      </c>
      <c r="R331" s="86" t="s">
        <v>986</v>
      </c>
      <c r="S331" s="87" t="s">
        <v>395</v>
      </c>
      <c r="T331" s="87" t="s">
        <v>342</v>
      </c>
      <c r="U331" s="88">
        <v>35000</v>
      </c>
      <c r="V331" s="88">
        <v>37800</v>
      </c>
      <c r="W331" s="88">
        <v>35000</v>
      </c>
      <c r="X331" s="88">
        <v>37800</v>
      </c>
      <c r="Z331" s="88">
        <v>0</v>
      </c>
      <c r="AA331" s="85">
        <v>43428</v>
      </c>
      <c r="AB331" s="85">
        <v>43428</v>
      </c>
      <c r="AD331" s="84">
        <v>0</v>
      </c>
      <c r="AG331" s="84">
        <v>0</v>
      </c>
      <c r="AJ331" s="84">
        <v>0</v>
      </c>
      <c r="AR331" s="85">
        <v>43438</v>
      </c>
      <c r="AS331" s="84">
        <v>6001625953</v>
      </c>
      <c r="AT331" s="85">
        <v>43439</v>
      </c>
      <c r="AU331" s="84" t="s">
        <v>1130</v>
      </c>
      <c r="AV331" s="85">
        <v>43440</v>
      </c>
      <c r="AW331" s="123">
        <v>43465</v>
      </c>
      <c r="AX331" s="123">
        <v>43485</v>
      </c>
      <c r="AY331" s="132">
        <v>33600</v>
      </c>
      <c r="AZ331" s="132">
        <f>ROUNDDOWN(AY331+(AY331*MASTER!$A$2/100),0)</f>
        <v>36288</v>
      </c>
      <c r="BA331" s="84" t="s">
        <v>287</v>
      </c>
      <c r="BB331" s="88">
        <v>34000</v>
      </c>
      <c r="BC331" s="88">
        <v>36720</v>
      </c>
      <c r="BD331" s="84" t="s">
        <v>190</v>
      </c>
      <c r="BG331" s="88">
        <v>0</v>
      </c>
      <c r="BK331" s="88">
        <v>0</v>
      </c>
      <c r="BS331" s="88">
        <v>0</v>
      </c>
      <c r="BV331" s="89">
        <v>37800</v>
      </c>
      <c r="BW331" s="89">
        <v>36720</v>
      </c>
      <c r="BX331" s="89">
        <v>43431</v>
      </c>
      <c r="BY331" s="89">
        <v>1080</v>
      </c>
      <c r="BZ331" s="112">
        <v>2.8571428571428572</v>
      </c>
    </row>
    <row r="332" spans="1:89" x14ac:dyDescent="0.15">
      <c r="A332" s="84">
        <v>2</v>
      </c>
      <c r="B332" s="85">
        <v>43440</v>
      </c>
      <c r="C332" s="85">
        <v>43440</v>
      </c>
      <c r="D332" s="85">
        <v>43431</v>
      </c>
      <c r="E332" s="85">
        <v>43431</v>
      </c>
      <c r="F332" s="85" t="s">
        <v>338</v>
      </c>
      <c r="G332" s="85">
        <v>43431</v>
      </c>
      <c r="H332" s="85" t="s">
        <v>338</v>
      </c>
      <c r="I332" s="84" t="s">
        <v>380</v>
      </c>
      <c r="J332" s="84">
        <v>2</v>
      </c>
      <c r="L332" s="84">
        <v>0</v>
      </c>
      <c r="M332" s="85">
        <v>43431</v>
      </c>
      <c r="N332" s="85" t="s">
        <v>265</v>
      </c>
      <c r="O332" s="86" t="s">
        <v>340</v>
      </c>
      <c r="P332" s="84" t="s">
        <v>6</v>
      </c>
      <c r="Q332" s="86" t="s">
        <v>122</v>
      </c>
      <c r="R332" s="86" t="s">
        <v>989</v>
      </c>
      <c r="S332" s="87" t="s">
        <v>990</v>
      </c>
      <c r="T332" s="87" t="s">
        <v>342</v>
      </c>
      <c r="U332" s="88">
        <v>35000</v>
      </c>
      <c r="V332" s="88">
        <v>37800</v>
      </c>
      <c r="W332" s="88">
        <v>35000</v>
      </c>
      <c r="X332" s="88">
        <v>37800</v>
      </c>
      <c r="Z332" s="88">
        <v>0</v>
      </c>
      <c r="AA332" s="85">
        <v>43428</v>
      </c>
      <c r="AB332" s="85">
        <v>43428</v>
      </c>
      <c r="AD332" s="84">
        <v>0</v>
      </c>
      <c r="AG332" s="84">
        <v>0</v>
      </c>
      <c r="AJ332" s="84">
        <v>0</v>
      </c>
      <c r="AR332" s="85">
        <v>43438</v>
      </c>
      <c r="AS332" s="84">
        <v>6001625953</v>
      </c>
      <c r="AT332" s="85">
        <v>43439</v>
      </c>
      <c r="AU332" s="84" t="s">
        <v>1130</v>
      </c>
      <c r="AV332" s="85">
        <v>43440</v>
      </c>
      <c r="AW332" s="123">
        <v>43465</v>
      </c>
      <c r="AX332" s="123">
        <v>43485</v>
      </c>
      <c r="AY332" s="132">
        <v>33600</v>
      </c>
      <c r="AZ332" s="132">
        <f>ROUNDDOWN(AY332+(AY332*MASTER!$A$2/100),0)</f>
        <v>36288</v>
      </c>
      <c r="BA332" s="84" t="s">
        <v>540</v>
      </c>
      <c r="BB332" s="88">
        <v>26000</v>
      </c>
      <c r="BC332" s="88">
        <v>28080</v>
      </c>
      <c r="BD332" s="84" t="s">
        <v>863</v>
      </c>
      <c r="BG332" s="88">
        <v>0</v>
      </c>
      <c r="BK332" s="88">
        <v>0</v>
      </c>
      <c r="BS332" s="88">
        <v>0</v>
      </c>
      <c r="BV332" s="89">
        <v>37800</v>
      </c>
      <c r="BW332" s="89">
        <v>28080</v>
      </c>
      <c r="BX332" s="89">
        <v>43431</v>
      </c>
      <c r="BY332" s="89">
        <v>9720</v>
      </c>
      <c r="BZ332" s="112">
        <v>25.714285714285712</v>
      </c>
    </row>
    <row r="333" spans="1:89" x14ac:dyDescent="0.15">
      <c r="A333" s="84">
        <v>2</v>
      </c>
      <c r="B333" s="85">
        <v>43441</v>
      </c>
      <c r="C333" s="85">
        <v>43447</v>
      </c>
      <c r="D333" s="85">
        <v>43470</v>
      </c>
      <c r="F333" s="85">
        <v>43454</v>
      </c>
      <c r="G333" s="85">
        <v>43447</v>
      </c>
      <c r="H333" s="85">
        <v>43450</v>
      </c>
      <c r="I333" s="84" t="s">
        <v>776</v>
      </c>
      <c r="J333" s="84">
        <v>1</v>
      </c>
      <c r="L333" s="84">
        <v>0</v>
      </c>
      <c r="M333" s="85">
        <v>43431</v>
      </c>
      <c r="N333" s="85" t="s">
        <v>265</v>
      </c>
      <c r="O333" s="86" t="s">
        <v>340</v>
      </c>
      <c r="P333" s="84" t="s">
        <v>26</v>
      </c>
      <c r="Q333" s="86" t="s">
        <v>122</v>
      </c>
      <c r="R333" s="86" t="s">
        <v>991</v>
      </c>
      <c r="S333" s="87" t="s">
        <v>992</v>
      </c>
      <c r="T333" s="87" t="s">
        <v>993</v>
      </c>
      <c r="U333" s="88">
        <v>59000</v>
      </c>
      <c r="V333" s="88">
        <v>63720</v>
      </c>
      <c r="W333" s="88">
        <v>47000</v>
      </c>
      <c r="X333" s="88">
        <v>50760</v>
      </c>
      <c r="Y333" s="88">
        <v>12000</v>
      </c>
      <c r="Z333" s="88">
        <v>12960</v>
      </c>
      <c r="AA333" s="85">
        <v>43446</v>
      </c>
      <c r="AB333" s="85">
        <v>43447</v>
      </c>
      <c r="AC333" s="85">
        <v>43447</v>
      </c>
      <c r="AD333" s="84">
        <v>0</v>
      </c>
      <c r="AG333" s="84">
        <v>0</v>
      </c>
      <c r="AJ333" s="84">
        <v>0</v>
      </c>
      <c r="AM333" s="84" t="s">
        <v>290</v>
      </c>
      <c r="AN333" s="84" t="s">
        <v>994</v>
      </c>
      <c r="AR333" s="85">
        <v>43440</v>
      </c>
      <c r="AS333" s="84">
        <v>6001627236</v>
      </c>
      <c r="AT333" s="85">
        <v>43440</v>
      </c>
      <c r="AU333" s="84" t="s">
        <v>1146</v>
      </c>
      <c r="AV333" s="85">
        <v>43447</v>
      </c>
      <c r="AW333" s="123">
        <v>43465</v>
      </c>
      <c r="AX333" s="123">
        <v>43485</v>
      </c>
      <c r="AY333" s="132">
        <v>56640</v>
      </c>
      <c r="AZ333" s="132">
        <f>ROUNDDOWN(AY333+(AY333*MASTER!$A$2/100),0)</f>
        <v>61171</v>
      </c>
      <c r="BA333" s="84" t="s">
        <v>287</v>
      </c>
      <c r="BB333" s="88">
        <v>23000</v>
      </c>
      <c r="BC333" s="88">
        <v>24840</v>
      </c>
      <c r="BD333" s="84" t="s">
        <v>190</v>
      </c>
      <c r="BG333" s="88">
        <v>0</v>
      </c>
      <c r="BI333" s="84" t="s">
        <v>434</v>
      </c>
      <c r="BJ333" s="88">
        <v>7800</v>
      </c>
      <c r="BK333" s="88">
        <v>8424</v>
      </c>
      <c r="BL333" s="84" t="s">
        <v>190</v>
      </c>
      <c r="BS333" s="88">
        <v>0</v>
      </c>
      <c r="BV333" s="89">
        <v>50760</v>
      </c>
      <c r="BW333" s="89">
        <v>33264</v>
      </c>
      <c r="BX333" s="89">
        <v>43431</v>
      </c>
      <c r="BY333" s="89">
        <v>17496</v>
      </c>
      <c r="BZ333" s="112">
        <v>34.468085106382979</v>
      </c>
      <c r="CD333" s="87" t="s">
        <v>995</v>
      </c>
      <c r="CK333" s="88">
        <v>0</v>
      </c>
    </row>
    <row r="334" spans="1:89" x14ac:dyDescent="0.15">
      <c r="A334" s="84">
        <v>2</v>
      </c>
      <c r="C334" s="85" t="s">
        <v>338</v>
      </c>
      <c r="D334" s="85">
        <v>43431</v>
      </c>
      <c r="E334" s="85">
        <v>43431</v>
      </c>
      <c r="F334" s="85" t="s">
        <v>338</v>
      </c>
      <c r="G334" s="85">
        <v>43431</v>
      </c>
      <c r="H334" s="85" t="s">
        <v>338</v>
      </c>
      <c r="I334" s="84" t="s">
        <v>547</v>
      </c>
      <c r="J334" s="84">
        <v>4</v>
      </c>
      <c r="L334" s="84">
        <v>0</v>
      </c>
      <c r="M334" s="85">
        <v>43431</v>
      </c>
      <c r="N334" s="85" t="s">
        <v>265</v>
      </c>
      <c r="O334" s="86" t="s">
        <v>340</v>
      </c>
      <c r="P334" s="84" t="s">
        <v>6</v>
      </c>
      <c r="Q334" s="86" t="s">
        <v>122</v>
      </c>
      <c r="R334" s="86" t="s">
        <v>1022</v>
      </c>
      <c r="S334" s="87" t="s">
        <v>747</v>
      </c>
      <c r="T334" s="87" t="s">
        <v>342</v>
      </c>
      <c r="U334" s="88">
        <v>0</v>
      </c>
      <c r="V334" s="88">
        <v>0</v>
      </c>
      <c r="W334" s="88">
        <v>0</v>
      </c>
      <c r="X334" s="88">
        <v>0</v>
      </c>
      <c r="Y334" s="88">
        <v>0</v>
      </c>
      <c r="Z334" s="88">
        <v>0</v>
      </c>
      <c r="AA334" s="85">
        <v>43419</v>
      </c>
      <c r="AB334" s="85">
        <v>43419</v>
      </c>
      <c r="AD334" s="84">
        <v>0</v>
      </c>
      <c r="AG334" s="84">
        <v>0</v>
      </c>
      <c r="AJ334" s="84">
        <v>0</v>
      </c>
      <c r="AY334" s="132">
        <v>0</v>
      </c>
      <c r="AZ334" s="132">
        <f>ROUNDDOWN(AY334+(AY334*MASTER!$A$2/100),0)</f>
        <v>0</v>
      </c>
      <c r="BA334" s="84" t="s">
        <v>833</v>
      </c>
      <c r="BB334" s="88">
        <v>32000</v>
      </c>
      <c r="BC334" s="88">
        <v>34560</v>
      </c>
      <c r="BD334" s="84" t="s">
        <v>677</v>
      </c>
      <c r="BG334" s="88">
        <v>0</v>
      </c>
      <c r="BK334" s="88">
        <v>0</v>
      </c>
      <c r="BS334" s="88">
        <v>0</v>
      </c>
      <c r="BV334" s="89">
        <v>0</v>
      </c>
      <c r="BW334" s="89">
        <v>34560</v>
      </c>
      <c r="BX334" s="89">
        <v>43431</v>
      </c>
      <c r="BY334" s="89">
        <v>-34560</v>
      </c>
      <c r="BZ334" s="112" t="s">
        <v>338</v>
      </c>
      <c r="CD334" s="87" t="s">
        <v>1036</v>
      </c>
    </row>
    <row r="335" spans="1:89" x14ac:dyDescent="0.15">
      <c r="A335" s="84">
        <v>2</v>
      </c>
      <c r="B335" s="85">
        <v>43451</v>
      </c>
      <c r="C335" s="85">
        <v>43461</v>
      </c>
      <c r="D335" s="85">
        <v>43512</v>
      </c>
      <c r="F335" s="85">
        <v>43468</v>
      </c>
      <c r="G335" s="85">
        <v>43472</v>
      </c>
      <c r="H335" s="85">
        <v>43464</v>
      </c>
      <c r="I335" s="84" t="s">
        <v>776</v>
      </c>
      <c r="J335" s="84">
        <v>1</v>
      </c>
      <c r="L335" s="84">
        <v>0</v>
      </c>
      <c r="M335" s="85">
        <v>43432</v>
      </c>
      <c r="N335" s="85" t="s">
        <v>265</v>
      </c>
      <c r="O335" s="86" t="s">
        <v>340</v>
      </c>
      <c r="P335" s="84" t="s">
        <v>26</v>
      </c>
      <c r="Q335" s="86" t="s">
        <v>122</v>
      </c>
      <c r="R335" s="86" t="s">
        <v>1277</v>
      </c>
      <c r="S335" s="87" t="s">
        <v>1278</v>
      </c>
      <c r="T335" s="87" t="s">
        <v>636</v>
      </c>
      <c r="U335" s="88">
        <v>59200</v>
      </c>
      <c r="V335" s="88">
        <v>63936</v>
      </c>
      <c r="W335" s="88">
        <v>47000</v>
      </c>
      <c r="X335" s="88">
        <v>50760</v>
      </c>
      <c r="Y335" s="88">
        <v>12200</v>
      </c>
      <c r="Z335" s="88">
        <v>13176</v>
      </c>
      <c r="AA335" s="85">
        <v>43460</v>
      </c>
      <c r="AB335" s="85">
        <v>43461</v>
      </c>
      <c r="AC335" s="85">
        <v>43461</v>
      </c>
      <c r="AD335" s="84">
        <v>0</v>
      </c>
      <c r="AG335" s="84">
        <v>0</v>
      </c>
      <c r="AJ335" s="84">
        <v>0</v>
      </c>
      <c r="AM335" s="84" t="s">
        <v>290</v>
      </c>
      <c r="AN335" s="84" t="s">
        <v>1279</v>
      </c>
      <c r="AR335" s="85">
        <v>43446</v>
      </c>
      <c r="AS335" s="84">
        <v>6001629411</v>
      </c>
      <c r="AT335" s="85">
        <v>43447</v>
      </c>
      <c r="AU335" s="84" t="s">
        <v>1280</v>
      </c>
      <c r="AV335" s="85">
        <v>43461</v>
      </c>
      <c r="AW335" s="123">
        <v>43465</v>
      </c>
      <c r="AX335" s="123">
        <v>43485</v>
      </c>
      <c r="AY335" s="132">
        <v>56832</v>
      </c>
      <c r="AZ335" s="132">
        <f>ROUNDDOWN(AY335+(AY335*MASTER!$A$2/100),0)</f>
        <v>61378</v>
      </c>
      <c r="BA335" s="84" t="s">
        <v>287</v>
      </c>
      <c r="BB335" s="88">
        <v>21000</v>
      </c>
      <c r="BC335" s="88">
        <v>22680</v>
      </c>
      <c r="BD335" s="84" t="s">
        <v>1138</v>
      </c>
      <c r="BG335" s="88">
        <v>0</v>
      </c>
      <c r="BI335" s="84" t="s">
        <v>434</v>
      </c>
      <c r="BJ335" s="88">
        <v>7930</v>
      </c>
      <c r="BK335" s="88">
        <v>8564.4</v>
      </c>
      <c r="BL335" s="84" t="s">
        <v>1138</v>
      </c>
      <c r="BS335" s="88">
        <v>0</v>
      </c>
      <c r="BV335" s="89">
        <v>50760</v>
      </c>
      <c r="BW335" s="89">
        <v>31244.400000000001</v>
      </c>
      <c r="BX335" s="89">
        <v>43432</v>
      </c>
      <c r="BY335" s="89">
        <v>19515.599999999999</v>
      </c>
      <c r="BZ335" s="112">
        <v>38.446808510638299</v>
      </c>
      <c r="CK335" s="88">
        <v>0</v>
      </c>
    </row>
    <row r="336" spans="1:89" x14ac:dyDescent="0.15">
      <c r="A336" s="84">
        <v>2</v>
      </c>
      <c r="B336" s="85">
        <v>43451</v>
      </c>
      <c r="C336" s="85">
        <v>43460</v>
      </c>
      <c r="D336" s="85" t="s">
        <v>374</v>
      </c>
      <c r="F336" s="85">
        <v>43467</v>
      </c>
      <c r="G336" s="85">
        <v>43461</v>
      </c>
      <c r="H336" s="85">
        <v>43463</v>
      </c>
      <c r="I336" s="84" t="s">
        <v>776</v>
      </c>
      <c r="J336" s="84">
        <v>1</v>
      </c>
      <c r="L336" s="84">
        <v>0</v>
      </c>
      <c r="M336" s="85">
        <v>43432</v>
      </c>
      <c r="N336" s="85" t="s">
        <v>265</v>
      </c>
      <c r="O336" s="86" t="s">
        <v>340</v>
      </c>
      <c r="P336" s="84" t="s">
        <v>26</v>
      </c>
      <c r="Q336" s="86" t="s">
        <v>122</v>
      </c>
      <c r="R336" s="86" t="s">
        <v>1037</v>
      </c>
      <c r="S336" s="87" t="s">
        <v>725</v>
      </c>
      <c r="T336" s="87" t="s">
        <v>1038</v>
      </c>
      <c r="U336" s="88">
        <v>23900</v>
      </c>
      <c r="V336" s="88">
        <v>25812</v>
      </c>
      <c r="W336" s="88">
        <v>14700</v>
      </c>
      <c r="X336" s="88">
        <v>15876</v>
      </c>
      <c r="Y336" s="88">
        <v>9200</v>
      </c>
      <c r="Z336" s="88">
        <v>9936</v>
      </c>
      <c r="AA336" s="85">
        <v>43459</v>
      </c>
      <c r="AB336" s="85">
        <v>43460</v>
      </c>
      <c r="AC336" s="85">
        <v>43460</v>
      </c>
      <c r="AD336" s="84">
        <v>0</v>
      </c>
      <c r="AG336" s="84">
        <v>0</v>
      </c>
      <c r="AJ336" s="84">
        <v>0</v>
      </c>
      <c r="AM336" s="84" t="s">
        <v>290</v>
      </c>
      <c r="AN336" s="84" t="s">
        <v>1039</v>
      </c>
      <c r="AR336" s="85">
        <v>43446</v>
      </c>
      <c r="AS336" s="84">
        <v>6001629411</v>
      </c>
      <c r="AT336" s="85">
        <v>43447</v>
      </c>
      <c r="AU336" s="84" t="s">
        <v>1280</v>
      </c>
      <c r="AV336" s="85">
        <v>43460</v>
      </c>
      <c r="AW336" s="123">
        <v>43465</v>
      </c>
      <c r="AX336" s="123">
        <v>43485</v>
      </c>
      <c r="AY336" s="132">
        <v>22944</v>
      </c>
      <c r="AZ336" s="132">
        <f>ROUNDDOWN(AY336+(AY336*MASTER!$A$2/100),0)</f>
        <v>24779</v>
      </c>
      <c r="BA336" s="84" t="s">
        <v>778</v>
      </c>
      <c r="BC336" s="88">
        <v>0</v>
      </c>
      <c r="BG336" s="88">
        <v>0</v>
      </c>
      <c r="BI336" s="84" t="s">
        <v>276</v>
      </c>
      <c r="BJ336" s="88">
        <v>5980</v>
      </c>
      <c r="BK336" s="88">
        <v>6458.4</v>
      </c>
      <c r="BL336" s="84" t="s">
        <v>1421</v>
      </c>
      <c r="BS336" s="88">
        <v>0</v>
      </c>
      <c r="BV336" s="89">
        <v>15876</v>
      </c>
      <c r="BW336" s="89">
        <v>6458.4</v>
      </c>
      <c r="BX336" s="89">
        <v>43432</v>
      </c>
      <c r="BY336" s="89">
        <v>9417.6</v>
      </c>
      <c r="BZ336" s="112">
        <v>59.319727891156461</v>
      </c>
      <c r="CK336" s="88">
        <v>0</v>
      </c>
    </row>
    <row r="337" spans="1:89" x14ac:dyDescent="0.15">
      <c r="A337" s="84">
        <v>2</v>
      </c>
      <c r="B337" s="85">
        <v>43453</v>
      </c>
      <c r="C337" s="85">
        <v>43458</v>
      </c>
      <c r="D337" s="85">
        <v>43512</v>
      </c>
      <c r="F337" s="85">
        <v>43465</v>
      </c>
      <c r="G337" s="85">
        <v>43459</v>
      </c>
      <c r="H337" s="85">
        <v>43461</v>
      </c>
      <c r="I337" s="84" t="s">
        <v>776</v>
      </c>
      <c r="J337" s="84">
        <v>1</v>
      </c>
      <c r="L337" s="84">
        <v>0</v>
      </c>
      <c r="M337" s="85">
        <v>43432</v>
      </c>
      <c r="N337" s="85" t="s">
        <v>265</v>
      </c>
      <c r="O337" s="86" t="s">
        <v>340</v>
      </c>
      <c r="P337" s="84" t="s">
        <v>26</v>
      </c>
      <c r="Q337" s="86" t="s">
        <v>122</v>
      </c>
      <c r="R337" s="86" t="s">
        <v>1244</v>
      </c>
      <c r="S337" s="87" t="s">
        <v>558</v>
      </c>
      <c r="T337" s="87" t="s">
        <v>1245</v>
      </c>
      <c r="U337" s="88">
        <v>59000</v>
      </c>
      <c r="V337" s="88">
        <v>63720</v>
      </c>
      <c r="W337" s="88">
        <v>47000</v>
      </c>
      <c r="X337" s="88">
        <v>50760</v>
      </c>
      <c r="Y337" s="88">
        <v>12000</v>
      </c>
      <c r="Z337" s="88">
        <v>12960</v>
      </c>
      <c r="AA337" s="85">
        <v>43457</v>
      </c>
      <c r="AB337" s="85">
        <v>43458</v>
      </c>
      <c r="AC337" s="85">
        <v>43458</v>
      </c>
      <c r="AD337" s="84">
        <v>0</v>
      </c>
      <c r="AG337" s="84">
        <v>0</v>
      </c>
      <c r="AJ337" s="84">
        <v>0</v>
      </c>
      <c r="AM337" s="84" t="s">
        <v>290</v>
      </c>
      <c r="AN337" s="84" t="s">
        <v>1246</v>
      </c>
      <c r="AR337" s="85">
        <v>43452</v>
      </c>
      <c r="AS337" s="84">
        <v>6001631390</v>
      </c>
      <c r="AT337" s="85">
        <v>43452</v>
      </c>
      <c r="AU337" s="84" t="s">
        <v>1337</v>
      </c>
      <c r="AV337" s="85">
        <v>43458</v>
      </c>
      <c r="AW337" s="123">
        <v>43465</v>
      </c>
      <c r="AX337" s="123">
        <v>43485</v>
      </c>
      <c r="AY337" s="132">
        <v>56640</v>
      </c>
      <c r="AZ337" s="132">
        <f>ROUNDDOWN(AY337+(AY337*MASTER!$A$2/100),0)</f>
        <v>61171</v>
      </c>
      <c r="BA337" s="84" t="s">
        <v>287</v>
      </c>
      <c r="BB337" s="88">
        <v>21000</v>
      </c>
      <c r="BC337" s="88">
        <v>22680</v>
      </c>
      <c r="BD337" s="84" t="s">
        <v>1138</v>
      </c>
      <c r="BG337" s="88">
        <v>0</v>
      </c>
      <c r="BI337" s="84" t="s">
        <v>434</v>
      </c>
      <c r="BJ337" s="88">
        <v>7800</v>
      </c>
      <c r="BK337" s="88">
        <v>8424</v>
      </c>
      <c r="BL337" s="84" t="s">
        <v>1138</v>
      </c>
      <c r="BS337" s="88">
        <v>0</v>
      </c>
      <c r="BV337" s="89">
        <v>50760</v>
      </c>
      <c r="BW337" s="89">
        <v>31104</v>
      </c>
      <c r="BX337" s="89">
        <v>43432</v>
      </c>
      <c r="BY337" s="89">
        <v>19656</v>
      </c>
      <c r="BZ337" s="112">
        <v>38.723404255319153</v>
      </c>
      <c r="CK337" s="88">
        <v>0</v>
      </c>
    </row>
    <row r="338" spans="1:89" x14ac:dyDescent="0.15">
      <c r="A338" s="84">
        <v>2</v>
      </c>
      <c r="B338" s="85">
        <v>43483</v>
      </c>
      <c r="C338" s="85">
        <v>43495</v>
      </c>
      <c r="D338" s="85">
        <v>43522</v>
      </c>
      <c r="F338" s="85" t="s">
        <v>338</v>
      </c>
      <c r="G338" s="85">
        <v>43495</v>
      </c>
      <c r="H338" s="85" t="s">
        <v>338</v>
      </c>
      <c r="I338" s="84" t="s">
        <v>401</v>
      </c>
      <c r="J338" s="84">
        <v>1</v>
      </c>
      <c r="L338" s="84">
        <v>0</v>
      </c>
      <c r="M338" s="85">
        <v>43432</v>
      </c>
      <c r="N338" s="85" t="s">
        <v>265</v>
      </c>
      <c r="O338" s="86" t="s">
        <v>340</v>
      </c>
      <c r="P338" s="84" t="s">
        <v>26</v>
      </c>
      <c r="Q338" s="86" t="s">
        <v>122</v>
      </c>
      <c r="R338" s="86" t="s">
        <v>1536</v>
      </c>
      <c r="S338" s="87" t="s">
        <v>403</v>
      </c>
      <c r="T338" s="87" t="s">
        <v>1535</v>
      </c>
      <c r="U338" s="88">
        <v>95500</v>
      </c>
      <c r="V338" s="88">
        <v>103140</v>
      </c>
      <c r="W338" s="88">
        <v>83500</v>
      </c>
      <c r="X338" s="88">
        <v>90180</v>
      </c>
      <c r="Y338" s="88">
        <v>12000</v>
      </c>
      <c r="Z338" s="88">
        <v>12960</v>
      </c>
      <c r="AA338" s="85">
        <v>43487</v>
      </c>
      <c r="AB338" s="85">
        <v>43491</v>
      </c>
      <c r="AD338" s="84">
        <v>0</v>
      </c>
      <c r="AG338" s="84">
        <v>0</v>
      </c>
      <c r="AJ338" s="84">
        <v>0</v>
      </c>
      <c r="AM338" s="84" t="s">
        <v>290</v>
      </c>
      <c r="AN338" s="84" t="s">
        <v>1537</v>
      </c>
      <c r="AR338" s="85">
        <v>43480</v>
      </c>
      <c r="AS338" s="84">
        <v>6001636884</v>
      </c>
      <c r="AT338" s="85">
        <v>43482</v>
      </c>
      <c r="AU338" s="84" t="s">
        <v>1561</v>
      </c>
      <c r="AV338" s="85">
        <v>43495</v>
      </c>
      <c r="AW338" s="123">
        <v>43496</v>
      </c>
      <c r="AX338" s="123">
        <v>43516</v>
      </c>
      <c r="AY338" s="132">
        <v>91680</v>
      </c>
      <c r="AZ338" s="132">
        <f>ROUNDDOWN(AY338+(AY338*MASTER!$A$2/100),0)</f>
        <v>99014</v>
      </c>
      <c r="BA338" s="84" t="s">
        <v>543</v>
      </c>
      <c r="BB338" s="88">
        <v>24000</v>
      </c>
      <c r="BC338" s="88">
        <v>25920</v>
      </c>
      <c r="BD338" s="84" t="s">
        <v>1233</v>
      </c>
      <c r="BG338" s="88">
        <v>0</v>
      </c>
      <c r="BI338" s="84" t="s">
        <v>434</v>
      </c>
      <c r="BJ338" s="88">
        <v>7800</v>
      </c>
      <c r="BK338" s="88">
        <v>8424</v>
      </c>
      <c r="BL338" s="84" t="s">
        <v>1233</v>
      </c>
      <c r="BS338" s="88">
        <v>0</v>
      </c>
      <c r="BV338" s="89">
        <v>90180</v>
      </c>
      <c r="BW338" s="89">
        <v>34344</v>
      </c>
      <c r="BX338" s="89">
        <v>43432</v>
      </c>
      <c r="BY338" s="89">
        <v>55836</v>
      </c>
      <c r="BZ338" s="112">
        <v>61.91616766467066</v>
      </c>
      <c r="CK338" s="88">
        <v>0</v>
      </c>
    </row>
    <row r="339" spans="1:89" x14ac:dyDescent="0.15">
      <c r="A339" s="84">
        <v>2</v>
      </c>
      <c r="B339" s="85">
        <v>43483</v>
      </c>
      <c r="C339" s="85">
        <v>43491</v>
      </c>
      <c r="D339" s="85">
        <v>43497</v>
      </c>
      <c r="F339" s="85">
        <v>43498</v>
      </c>
      <c r="G339" s="85">
        <v>43494</v>
      </c>
      <c r="H339" s="85">
        <v>43494</v>
      </c>
      <c r="I339" s="84" t="s">
        <v>1191</v>
      </c>
      <c r="J339" s="84">
        <v>2</v>
      </c>
      <c r="L339" s="84">
        <v>0</v>
      </c>
      <c r="M339" s="85">
        <v>43432</v>
      </c>
      <c r="N339" s="85" t="s">
        <v>265</v>
      </c>
      <c r="O339" s="86" t="s">
        <v>340</v>
      </c>
      <c r="P339" s="84" t="s">
        <v>26</v>
      </c>
      <c r="Q339" s="86" t="s">
        <v>122</v>
      </c>
      <c r="R339" s="86" t="s">
        <v>1529</v>
      </c>
      <c r="S339" s="87" t="s">
        <v>1530</v>
      </c>
      <c r="T339" s="87" t="s">
        <v>455</v>
      </c>
      <c r="U339" s="88">
        <v>97800</v>
      </c>
      <c r="V339" s="88">
        <v>105624</v>
      </c>
      <c r="W339" s="88">
        <v>97800</v>
      </c>
      <c r="X339" s="88">
        <v>105624</v>
      </c>
      <c r="Z339" s="88">
        <v>0</v>
      </c>
      <c r="AA339" s="85">
        <v>43487</v>
      </c>
      <c r="AB339" s="85">
        <v>43491</v>
      </c>
      <c r="AC339" s="85">
        <v>43491</v>
      </c>
      <c r="AD339" s="84">
        <v>0</v>
      </c>
      <c r="AG339" s="84">
        <v>0</v>
      </c>
      <c r="AJ339" s="84">
        <v>0</v>
      </c>
      <c r="AM339" s="84" t="s">
        <v>290</v>
      </c>
      <c r="AN339" s="84" t="s">
        <v>1531</v>
      </c>
      <c r="AR339" s="85">
        <v>43448</v>
      </c>
      <c r="AS339" s="84">
        <v>6001630339</v>
      </c>
      <c r="AT339" s="85">
        <v>43448</v>
      </c>
      <c r="AU339" s="84" t="s">
        <v>1262</v>
      </c>
      <c r="AV339" s="85">
        <v>43491</v>
      </c>
      <c r="AW339" s="123">
        <v>43496</v>
      </c>
      <c r="AX339" s="123">
        <v>43516</v>
      </c>
      <c r="AY339" s="132">
        <v>93888</v>
      </c>
      <c r="AZ339" s="132">
        <f>ROUNDDOWN(AY339+(AY339*MASTER!$A$2/100),0)</f>
        <v>101399</v>
      </c>
      <c r="BA339" s="84" t="s">
        <v>14</v>
      </c>
      <c r="BB339" s="88">
        <v>64000</v>
      </c>
      <c r="BC339" s="88">
        <v>69120</v>
      </c>
      <c r="BD339" s="84" t="s">
        <v>1268</v>
      </c>
      <c r="BG339" s="88">
        <v>0</v>
      </c>
      <c r="BK339" s="88">
        <v>0</v>
      </c>
      <c r="BS339" s="88">
        <v>0</v>
      </c>
      <c r="BV339" s="89">
        <v>105624</v>
      </c>
      <c r="BW339" s="89">
        <v>69120</v>
      </c>
      <c r="BX339" s="89">
        <v>43432</v>
      </c>
      <c r="BY339" s="89">
        <v>36504</v>
      </c>
      <c r="BZ339" s="112">
        <v>34.560327198364007</v>
      </c>
      <c r="CK339" s="88">
        <v>6300</v>
      </c>
    </row>
    <row r="340" spans="1:89" x14ac:dyDescent="0.15">
      <c r="A340" s="84">
        <v>2</v>
      </c>
      <c r="B340" s="85">
        <v>43454</v>
      </c>
      <c r="C340" s="85">
        <v>43474</v>
      </c>
      <c r="D340" s="85" t="s">
        <v>374</v>
      </c>
      <c r="F340" s="85" t="s">
        <v>338</v>
      </c>
      <c r="G340" s="85">
        <v>43482</v>
      </c>
      <c r="H340" s="85" t="s">
        <v>338</v>
      </c>
      <c r="I340" s="84" t="s">
        <v>401</v>
      </c>
      <c r="J340" s="84">
        <v>1</v>
      </c>
      <c r="L340" s="84">
        <v>0</v>
      </c>
      <c r="M340" s="85">
        <v>43432</v>
      </c>
      <c r="N340" s="85" t="s">
        <v>265</v>
      </c>
      <c r="O340" s="86" t="s">
        <v>340</v>
      </c>
      <c r="P340" s="84" t="s">
        <v>26</v>
      </c>
      <c r="Q340" s="86" t="s">
        <v>122</v>
      </c>
      <c r="R340" s="86" t="s">
        <v>1430</v>
      </c>
      <c r="S340" s="87" t="s">
        <v>639</v>
      </c>
      <c r="T340" s="87" t="s">
        <v>1431</v>
      </c>
      <c r="U340" s="88">
        <v>23900</v>
      </c>
      <c r="V340" s="88">
        <v>25812</v>
      </c>
      <c r="W340" s="88">
        <v>14700</v>
      </c>
      <c r="X340" s="88">
        <v>15876</v>
      </c>
      <c r="Y340" s="88">
        <v>9200</v>
      </c>
      <c r="Z340" s="88">
        <v>9936</v>
      </c>
      <c r="AA340" s="85">
        <v>43472</v>
      </c>
      <c r="AB340" s="85">
        <v>43474</v>
      </c>
      <c r="AD340" s="84">
        <v>0</v>
      </c>
      <c r="AG340" s="84">
        <v>0</v>
      </c>
      <c r="AJ340" s="84">
        <v>0</v>
      </c>
      <c r="AM340" s="84" t="s">
        <v>290</v>
      </c>
      <c r="AN340" s="84" t="s">
        <v>1432</v>
      </c>
      <c r="AR340" s="85">
        <v>43446</v>
      </c>
      <c r="AS340" s="84">
        <v>6001629411</v>
      </c>
      <c r="AT340" s="85">
        <v>43447</v>
      </c>
      <c r="AU340" s="84" t="s">
        <v>1280</v>
      </c>
      <c r="AV340" s="85">
        <v>43474</v>
      </c>
      <c r="AW340" s="123">
        <v>43496</v>
      </c>
      <c r="AX340" s="123">
        <v>43516</v>
      </c>
      <c r="AY340" s="132">
        <v>22944</v>
      </c>
      <c r="AZ340" s="132">
        <f>ROUNDDOWN(AY340+(AY340*MASTER!$A$2/100),0)</f>
        <v>24779</v>
      </c>
      <c r="BA340" s="84" t="s">
        <v>778</v>
      </c>
      <c r="BC340" s="88">
        <v>0</v>
      </c>
      <c r="BG340" s="88">
        <v>0</v>
      </c>
      <c r="BI340" s="84" t="s">
        <v>276</v>
      </c>
      <c r="BJ340" s="88">
        <v>5980</v>
      </c>
      <c r="BK340" s="88">
        <v>6458.4</v>
      </c>
      <c r="BL340" s="84" t="s">
        <v>1421</v>
      </c>
      <c r="BS340" s="88">
        <v>0</v>
      </c>
      <c r="BV340" s="89">
        <v>15876</v>
      </c>
      <c r="BW340" s="89">
        <v>6458.4</v>
      </c>
      <c r="BX340" s="89">
        <v>43432</v>
      </c>
      <c r="BY340" s="89">
        <v>9417.6</v>
      </c>
      <c r="BZ340" s="112">
        <v>59.319727891156461</v>
      </c>
      <c r="CK340" s="88">
        <v>0</v>
      </c>
    </row>
    <row r="341" spans="1:89" s="151" customFormat="1" x14ac:dyDescent="0.15">
      <c r="A341" s="141">
        <v>3</v>
      </c>
      <c r="B341" s="142"/>
      <c r="C341" s="142" t="s">
        <v>338</v>
      </c>
      <c r="D341" s="142"/>
      <c r="E341" s="142"/>
      <c r="F341" s="142" t="s">
        <v>338</v>
      </c>
      <c r="G341" s="142"/>
      <c r="H341" s="142" t="s">
        <v>338</v>
      </c>
      <c r="I341" s="141"/>
      <c r="J341" s="141">
        <v>1</v>
      </c>
      <c r="K341" s="142">
        <v>43433</v>
      </c>
      <c r="L341" s="141" t="s">
        <v>818</v>
      </c>
      <c r="M341" s="142">
        <v>43432</v>
      </c>
      <c r="N341" s="142" t="s">
        <v>265</v>
      </c>
      <c r="O341" s="143" t="s">
        <v>340</v>
      </c>
      <c r="P341" s="141" t="s">
        <v>26</v>
      </c>
      <c r="Q341" s="143" t="s">
        <v>122</v>
      </c>
      <c r="R341" s="143" t="s">
        <v>1084</v>
      </c>
      <c r="S341" s="144" t="s">
        <v>1085</v>
      </c>
      <c r="T341" s="144" t="s">
        <v>1086</v>
      </c>
      <c r="U341" s="145">
        <v>120300</v>
      </c>
      <c r="V341" s="145">
        <v>129924</v>
      </c>
      <c r="W341" s="145">
        <v>100300</v>
      </c>
      <c r="X341" s="145">
        <v>108324</v>
      </c>
      <c r="Y341" s="145">
        <v>20000</v>
      </c>
      <c r="Z341" s="145">
        <v>21600</v>
      </c>
      <c r="AA341" s="142">
        <v>43485</v>
      </c>
      <c r="AB341" s="142">
        <v>43487</v>
      </c>
      <c r="AC341" s="142"/>
      <c r="AD341" s="141">
        <v>0</v>
      </c>
      <c r="AE341" s="141"/>
      <c r="AF341" s="141"/>
      <c r="AG341" s="141">
        <v>0</v>
      </c>
      <c r="AH341" s="141"/>
      <c r="AI341" s="141"/>
      <c r="AJ341" s="141">
        <v>0</v>
      </c>
      <c r="AK341" s="141"/>
      <c r="AL341" s="141"/>
      <c r="AM341" s="141" t="s">
        <v>290</v>
      </c>
      <c r="AN341" s="141" t="s">
        <v>1087</v>
      </c>
      <c r="AO341" s="142"/>
      <c r="AP341" s="141"/>
      <c r="AQ341" s="141"/>
      <c r="AR341" s="142"/>
      <c r="AS341" s="141"/>
      <c r="AT341" s="142"/>
      <c r="AU341" s="141"/>
      <c r="AV341" s="142"/>
      <c r="AW341" s="146"/>
      <c r="AX341" s="146"/>
      <c r="AY341" s="147">
        <v>100128</v>
      </c>
      <c r="AZ341" s="132">
        <f>ROUNDDOWN(AY341+(AY341*MASTER!$A$2/100),0)</f>
        <v>108138</v>
      </c>
      <c r="BA341" s="141"/>
      <c r="BB341" s="145"/>
      <c r="BC341" s="145">
        <v>0</v>
      </c>
      <c r="BD341" s="141"/>
      <c r="BE341" s="141"/>
      <c r="BF341" s="145"/>
      <c r="BG341" s="145">
        <v>0</v>
      </c>
      <c r="BH341" s="141"/>
      <c r="BI341" s="141"/>
      <c r="BJ341" s="145"/>
      <c r="BK341" s="145">
        <v>0</v>
      </c>
      <c r="BL341" s="141"/>
      <c r="BM341" s="145"/>
      <c r="BN341" s="145"/>
      <c r="BO341" s="145"/>
      <c r="BP341" s="145"/>
      <c r="BQ341" s="145"/>
      <c r="BR341" s="145"/>
      <c r="BS341" s="145">
        <v>0</v>
      </c>
      <c r="BT341" s="148"/>
      <c r="BU341" s="148"/>
      <c r="BV341" s="149">
        <v>108324</v>
      </c>
      <c r="BW341" s="149">
        <v>0</v>
      </c>
      <c r="BX341" s="149">
        <v>0</v>
      </c>
      <c r="BY341" s="149">
        <v>43433</v>
      </c>
      <c r="BZ341" s="150">
        <v>100</v>
      </c>
      <c r="CA341" s="141"/>
      <c r="CB341" s="141"/>
      <c r="CC341" s="141"/>
      <c r="CD341" s="144" t="s">
        <v>1562</v>
      </c>
      <c r="CE341" s="142"/>
      <c r="CF341" s="142"/>
      <c r="CG341" s="142"/>
      <c r="CH341" s="142"/>
      <c r="CI341" s="142"/>
      <c r="CJ341" s="142"/>
      <c r="CK341" s="145">
        <v>6300</v>
      </c>
    </row>
    <row r="342" spans="1:89" x14ac:dyDescent="0.15">
      <c r="A342" s="84">
        <v>2</v>
      </c>
      <c r="C342" s="85" t="s">
        <v>338</v>
      </c>
      <c r="F342" s="85" t="s">
        <v>338</v>
      </c>
      <c r="H342" s="85" t="s">
        <v>338</v>
      </c>
      <c r="J342" s="84">
        <v>4</v>
      </c>
      <c r="L342" s="84">
        <v>0</v>
      </c>
      <c r="M342" s="85">
        <v>43432</v>
      </c>
      <c r="N342" s="85" t="s">
        <v>265</v>
      </c>
      <c r="O342" s="86" t="s">
        <v>340</v>
      </c>
      <c r="P342" s="84" t="s">
        <v>272</v>
      </c>
      <c r="Q342" s="86" t="s">
        <v>122</v>
      </c>
      <c r="R342" s="86" t="s">
        <v>1043</v>
      </c>
      <c r="S342" s="87" t="s">
        <v>351</v>
      </c>
      <c r="T342" s="87" t="s">
        <v>1044</v>
      </c>
      <c r="U342" s="88">
        <v>0</v>
      </c>
      <c r="V342" s="88">
        <v>0</v>
      </c>
      <c r="W342" s="88">
        <v>0</v>
      </c>
      <c r="X342" s="88">
        <v>0</v>
      </c>
      <c r="Y342" s="88">
        <v>0</v>
      </c>
      <c r="Z342" s="88">
        <v>0</v>
      </c>
      <c r="AA342" s="85">
        <v>43416</v>
      </c>
      <c r="AB342" s="85">
        <v>43424</v>
      </c>
      <c r="AD342" s="84">
        <v>0</v>
      </c>
      <c r="AG342" s="84">
        <v>0</v>
      </c>
      <c r="AJ342" s="84">
        <v>0</v>
      </c>
      <c r="AN342" s="84" t="s">
        <v>338</v>
      </c>
      <c r="AY342" s="132">
        <f>ROUNDDOWN((0.96*U342),0)</f>
        <v>0</v>
      </c>
      <c r="AZ342" s="132">
        <f>ROUNDDOWN(AY342+(AY342*MASTER!$A$2/100),0)</f>
        <v>0</v>
      </c>
      <c r="BA342" s="84" t="s">
        <v>1045</v>
      </c>
      <c r="BB342" s="88">
        <v>140000</v>
      </c>
      <c r="BC342" s="88">
        <v>151200</v>
      </c>
      <c r="BD342" s="84" t="s">
        <v>189</v>
      </c>
      <c r="BG342" s="88">
        <v>0</v>
      </c>
      <c r="BK342" s="88">
        <v>0</v>
      </c>
      <c r="BS342" s="88">
        <v>0</v>
      </c>
      <c r="BV342" s="89">
        <v>0</v>
      </c>
      <c r="BW342" s="89">
        <v>151200</v>
      </c>
      <c r="BX342" s="89">
        <v>43432</v>
      </c>
      <c r="BY342" s="89">
        <v>-151200</v>
      </c>
      <c r="BZ342" s="112" t="s">
        <v>338</v>
      </c>
    </row>
    <row r="343" spans="1:89" x14ac:dyDescent="0.15">
      <c r="A343" s="84">
        <v>2</v>
      </c>
      <c r="B343" s="85">
        <v>43440</v>
      </c>
      <c r="C343" s="85">
        <v>43448</v>
      </c>
      <c r="D343" s="85">
        <v>43445</v>
      </c>
      <c r="E343" s="85">
        <v>43445</v>
      </c>
      <c r="F343" s="85" t="s">
        <v>338</v>
      </c>
      <c r="G343" s="85">
        <v>43445</v>
      </c>
      <c r="H343" s="85" t="s">
        <v>338</v>
      </c>
      <c r="I343" s="84" t="s">
        <v>547</v>
      </c>
      <c r="J343" s="84">
        <v>2</v>
      </c>
      <c r="L343" s="84">
        <v>0</v>
      </c>
      <c r="M343" s="85">
        <v>43433</v>
      </c>
      <c r="N343" s="85" t="s">
        <v>265</v>
      </c>
      <c r="O343" s="86" t="s">
        <v>340</v>
      </c>
      <c r="P343" s="84" t="s">
        <v>6</v>
      </c>
      <c r="Q343" s="86" t="s">
        <v>122</v>
      </c>
      <c r="R343" s="86" t="s">
        <v>1139</v>
      </c>
      <c r="S343" s="87" t="s">
        <v>900</v>
      </c>
      <c r="T343" s="87" t="s">
        <v>342</v>
      </c>
      <c r="U343" s="88">
        <v>35000</v>
      </c>
      <c r="V343" s="88">
        <v>37800</v>
      </c>
      <c r="W343" s="88">
        <v>35000</v>
      </c>
      <c r="X343" s="88">
        <v>37800</v>
      </c>
      <c r="Z343" s="88">
        <v>0</v>
      </c>
      <c r="AA343" s="85">
        <v>43439</v>
      </c>
      <c r="AB343" s="85">
        <v>43439</v>
      </c>
      <c r="AD343" s="84">
        <v>0</v>
      </c>
      <c r="AG343" s="84">
        <v>0</v>
      </c>
      <c r="AJ343" s="84">
        <v>0</v>
      </c>
      <c r="AN343" s="84" t="s">
        <v>338</v>
      </c>
      <c r="AR343" s="85">
        <v>43438</v>
      </c>
      <c r="AS343" s="84">
        <v>6001625953</v>
      </c>
      <c r="AT343" s="85">
        <v>43439</v>
      </c>
      <c r="AU343" s="84" t="s">
        <v>1130</v>
      </c>
      <c r="AV343" s="85">
        <v>43448</v>
      </c>
      <c r="AW343" s="123">
        <v>43465</v>
      </c>
      <c r="AX343" s="123">
        <v>43485</v>
      </c>
      <c r="AY343" s="132">
        <v>33600</v>
      </c>
      <c r="AZ343" s="132">
        <f>ROUNDDOWN(AY343+(AY343*MASTER!$A$2/100),0)</f>
        <v>36288</v>
      </c>
      <c r="BA343" s="84" t="s">
        <v>833</v>
      </c>
      <c r="BB343" s="88">
        <v>33000</v>
      </c>
      <c r="BC343" s="88">
        <v>35640</v>
      </c>
      <c r="BD343" s="84" t="s">
        <v>863</v>
      </c>
      <c r="BG343" s="88">
        <v>0</v>
      </c>
      <c r="BK343" s="88">
        <v>0</v>
      </c>
      <c r="BS343" s="88">
        <v>0</v>
      </c>
      <c r="BV343" s="89">
        <v>37800</v>
      </c>
      <c r="BW343" s="89">
        <v>35640</v>
      </c>
      <c r="BX343" s="89">
        <v>43433</v>
      </c>
      <c r="BY343" s="89">
        <v>2160</v>
      </c>
      <c r="BZ343" s="112">
        <v>5.7142857142857144</v>
      </c>
      <c r="CK343" s="88">
        <v>0</v>
      </c>
    </row>
    <row r="344" spans="1:89" x14ac:dyDescent="0.15">
      <c r="A344" s="84">
        <v>2</v>
      </c>
      <c r="B344" s="85">
        <v>43440</v>
      </c>
      <c r="C344" s="85">
        <v>43440</v>
      </c>
      <c r="D344" s="85">
        <v>43438</v>
      </c>
      <c r="E344" s="85">
        <v>43438</v>
      </c>
      <c r="F344" s="85" t="s">
        <v>338</v>
      </c>
      <c r="G344" s="85">
        <v>43438</v>
      </c>
      <c r="H344" s="85" t="s">
        <v>338</v>
      </c>
      <c r="I344" s="84" t="s">
        <v>380</v>
      </c>
      <c r="J344" s="84">
        <v>2</v>
      </c>
      <c r="L344" s="84">
        <v>0</v>
      </c>
      <c r="M344" s="85">
        <v>43433</v>
      </c>
      <c r="N344" s="85" t="s">
        <v>265</v>
      </c>
      <c r="O344" s="86" t="s">
        <v>340</v>
      </c>
      <c r="P344" s="84" t="s">
        <v>6</v>
      </c>
      <c r="Q344" s="86" t="s">
        <v>122</v>
      </c>
      <c r="R344" s="86" t="s">
        <v>1088</v>
      </c>
      <c r="S344" s="87" t="s">
        <v>1091</v>
      </c>
      <c r="T344" s="87" t="s">
        <v>342</v>
      </c>
      <c r="U344" s="88">
        <v>35000</v>
      </c>
      <c r="V344" s="88">
        <v>37800</v>
      </c>
      <c r="W344" s="88">
        <v>35000</v>
      </c>
      <c r="X344" s="88">
        <v>37800</v>
      </c>
      <c r="Z344" s="88">
        <v>0</v>
      </c>
      <c r="AA344" s="85">
        <v>43435</v>
      </c>
      <c r="AB344" s="85">
        <v>43435</v>
      </c>
      <c r="AD344" s="84">
        <v>0</v>
      </c>
      <c r="AG344" s="84">
        <v>0</v>
      </c>
      <c r="AJ344" s="84">
        <v>0</v>
      </c>
      <c r="AR344" s="85">
        <v>43438</v>
      </c>
      <c r="AS344" s="84">
        <v>6001625953</v>
      </c>
      <c r="AT344" s="85">
        <v>43439</v>
      </c>
      <c r="AU344" s="84" t="s">
        <v>1130</v>
      </c>
      <c r="AV344" s="85">
        <v>43440</v>
      </c>
      <c r="AW344" s="123">
        <v>43465</v>
      </c>
      <c r="AX344" s="123">
        <v>43485</v>
      </c>
      <c r="AY344" s="132">
        <v>33600</v>
      </c>
      <c r="AZ344" s="132">
        <f>ROUNDDOWN(AY344+(AY344*MASTER!$A$2/100),0)</f>
        <v>36288</v>
      </c>
      <c r="BA344" s="84" t="s">
        <v>14</v>
      </c>
      <c r="BB344" s="88">
        <v>26000</v>
      </c>
      <c r="BC344" s="88">
        <v>28080</v>
      </c>
      <c r="BD344" s="84" t="s">
        <v>190</v>
      </c>
      <c r="BG344" s="88">
        <v>0</v>
      </c>
      <c r="BK344" s="88">
        <v>0</v>
      </c>
      <c r="BS344" s="88">
        <v>0</v>
      </c>
      <c r="BV344" s="89">
        <v>37800</v>
      </c>
      <c r="BW344" s="89">
        <v>28080</v>
      </c>
      <c r="BX344" s="89">
        <v>43433</v>
      </c>
      <c r="BY344" s="89">
        <v>9720</v>
      </c>
      <c r="BZ344" s="112">
        <v>25.714285714285712</v>
      </c>
      <c r="CK344" s="88">
        <v>0</v>
      </c>
    </row>
    <row r="345" spans="1:89" x14ac:dyDescent="0.15">
      <c r="A345" s="84">
        <v>2</v>
      </c>
      <c r="B345" s="85">
        <v>43509</v>
      </c>
      <c r="C345" s="85">
        <v>43518</v>
      </c>
      <c r="D345" s="85">
        <v>43521</v>
      </c>
      <c r="F345" s="85">
        <v>43525</v>
      </c>
      <c r="G345" s="85">
        <v>43518</v>
      </c>
      <c r="H345" s="85">
        <v>43521</v>
      </c>
      <c r="I345" s="84" t="s">
        <v>401</v>
      </c>
      <c r="J345" s="84">
        <v>1</v>
      </c>
      <c r="K345" s="85">
        <v>43483</v>
      </c>
      <c r="L345" s="84" t="s">
        <v>818</v>
      </c>
      <c r="M345" s="85">
        <v>43433</v>
      </c>
      <c r="N345" s="85" t="s">
        <v>265</v>
      </c>
      <c r="O345" s="86" t="s">
        <v>340</v>
      </c>
      <c r="P345" s="84" t="s">
        <v>26</v>
      </c>
      <c r="Q345" s="86" t="s">
        <v>122</v>
      </c>
      <c r="R345" s="86" t="s">
        <v>1090</v>
      </c>
      <c r="S345" s="87" t="s">
        <v>1563</v>
      </c>
      <c r="T345" s="87" t="s">
        <v>1564</v>
      </c>
      <c r="U345" s="88">
        <v>1190600</v>
      </c>
      <c r="V345" s="88">
        <v>1285848</v>
      </c>
      <c r="W345" s="88">
        <v>1181400</v>
      </c>
      <c r="X345" s="88">
        <v>1275912</v>
      </c>
      <c r="Y345" s="88">
        <v>9200</v>
      </c>
      <c r="Z345" s="88">
        <v>9936</v>
      </c>
      <c r="AA345" s="85">
        <v>43516</v>
      </c>
      <c r="AB345" s="85">
        <v>43518</v>
      </c>
      <c r="AC345" s="85">
        <v>43518</v>
      </c>
      <c r="AD345" s="84">
        <v>0</v>
      </c>
      <c r="AG345" s="84">
        <v>0</v>
      </c>
      <c r="AJ345" s="84">
        <v>0</v>
      </c>
      <c r="AM345" s="84" t="s">
        <v>290</v>
      </c>
      <c r="AN345" s="84" t="s">
        <v>1565</v>
      </c>
      <c r="AR345" s="85">
        <v>43501</v>
      </c>
      <c r="AS345" s="84">
        <v>6001644002</v>
      </c>
      <c r="AT345" s="85">
        <v>43501</v>
      </c>
      <c r="AU345" s="84" t="s">
        <v>1566</v>
      </c>
      <c r="AV345" s="85">
        <v>43518</v>
      </c>
      <c r="AW345" s="123">
        <v>43524</v>
      </c>
      <c r="AX345" s="123">
        <v>43544</v>
      </c>
      <c r="AY345" s="132">
        <v>1142976</v>
      </c>
      <c r="AZ345" s="132">
        <f>ROUNDDOWN(AY345+(AY345*MASTER!$A$2/100),0)</f>
        <v>1234414</v>
      </c>
      <c r="BA345" s="84" t="s">
        <v>286</v>
      </c>
      <c r="BB345" s="88">
        <v>307000</v>
      </c>
      <c r="BC345" s="88">
        <v>331560</v>
      </c>
      <c r="BD345" s="84" t="s">
        <v>1233</v>
      </c>
      <c r="BG345" s="88">
        <v>0</v>
      </c>
      <c r="BI345" s="84" t="s">
        <v>276</v>
      </c>
      <c r="BJ345" s="88">
        <v>5980</v>
      </c>
      <c r="BK345" s="88">
        <v>6458.4</v>
      </c>
      <c r="BL345" s="84" t="s">
        <v>1567</v>
      </c>
      <c r="BS345" s="88">
        <v>0</v>
      </c>
      <c r="BV345" s="89">
        <v>1275912</v>
      </c>
      <c r="BW345" s="89">
        <v>338018.4</v>
      </c>
      <c r="BX345" s="89">
        <v>0</v>
      </c>
      <c r="BY345" s="89">
        <v>43483</v>
      </c>
      <c r="BZ345" s="112">
        <v>73.507702725579819</v>
      </c>
      <c r="CK345" s="88">
        <v>105000</v>
      </c>
    </row>
    <row r="346" spans="1:89" x14ac:dyDescent="0.15">
      <c r="A346" s="84">
        <v>2</v>
      </c>
      <c r="B346" s="85">
        <v>43454</v>
      </c>
      <c r="C346" s="85">
        <v>43490</v>
      </c>
      <c r="D346" s="85">
        <v>43521</v>
      </c>
      <c r="F346" s="85">
        <v>43497</v>
      </c>
      <c r="G346" s="85">
        <v>43493</v>
      </c>
      <c r="H346" s="85">
        <v>43493</v>
      </c>
      <c r="I346" s="84" t="s">
        <v>401</v>
      </c>
      <c r="J346" s="84">
        <v>1</v>
      </c>
      <c r="L346" s="84">
        <v>0</v>
      </c>
      <c r="M346" s="85">
        <v>43433</v>
      </c>
      <c r="N346" s="85" t="s">
        <v>265</v>
      </c>
      <c r="O346" s="86" t="s">
        <v>340</v>
      </c>
      <c r="P346" s="84" t="s">
        <v>26</v>
      </c>
      <c r="Q346" s="86" t="s">
        <v>122</v>
      </c>
      <c r="R346" s="86" t="s">
        <v>1358</v>
      </c>
      <c r="S346" s="87" t="s">
        <v>1359</v>
      </c>
      <c r="T346" s="87" t="s">
        <v>1360</v>
      </c>
      <c r="U346" s="88">
        <v>50000</v>
      </c>
      <c r="V346" s="88">
        <v>54000</v>
      </c>
      <c r="W346" s="88">
        <v>47000</v>
      </c>
      <c r="X346" s="88">
        <v>50760</v>
      </c>
      <c r="Y346" s="88">
        <v>3000</v>
      </c>
      <c r="Z346" s="88">
        <v>3240</v>
      </c>
      <c r="AA346" s="85">
        <v>43489</v>
      </c>
      <c r="AB346" s="85">
        <v>43490</v>
      </c>
      <c r="AC346" s="85">
        <v>43490</v>
      </c>
      <c r="AD346" s="84">
        <v>0</v>
      </c>
      <c r="AG346" s="84">
        <v>0</v>
      </c>
      <c r="AJ346" s="84">
        <v>0</v>
      </c>
      <c r="AM346" s="84" t="s">
        <v>290</v>
      </c>
      <c r="AN346" s="84" t="s">
        <v>1361</v>
      </c>
      <c r="AR346" s="85">
        <v>43453</v>
      </c>
      <c r="AS346" s="84">
        <v>6001632069</v>
      </c>
      <c r="AT346" s="85">
        <v>43453</v>
      </c>
      <c r="AU346" s="84" t="s">
        <v>1349</v>
      </c>
      <c r="AV346" s="85">
        <v>43490</v>
      </c>
      <c r="AW346" s="123">
        <v>43496</v>
      </c>
      <c r="AX346" s="123">
        <v>43516</v>
      </c>
      <c r="AY346" s="132">
        <v>48000</v>
      </c>
      <c r="AZ346" s="132">
        <f>ROUNDDOWN(AY346+(AY346*MASTER!$A$2/100),0)</f>
        <v>51840</v>
      </c>
      <c r="BA346" s="84" t="s">
        <v>286</v>
      </c>
      <c r="BB346" s="88">
        <v>26000</v>
      </c>
      <c r="BC346" s="88">
        <v>28080</v>
      </c>
      <c r="BD346" s="84" t="s">
        <v>1233</v>
      </c>
      <c r="BG346" s="88">
        <v>0</v>
      </c>
      <c r="BI346" s="84" t="s">
        <v>434</v>
      </c>
      <c r="BJ346" s="88">
        <v>1950</v>
      </c>
      <c r="BK346" s="88">
        <v>2106</v>
      </c>
      <c r="BL346" s="84" t="s">
        <v>1233</v>
      </c>
      <c r="BS346" s="88">
        <v>0</v>
      </c>
      <c r="BV346" s="89">
        <v>50760</v>
      </c>
      <c r="BW346" s="89">
        <v>30186</v>
      </c>
      <c r="BX346" s="89">
        <v>43433</v>
      </c>
      <c r="BY346" s="89">
        <v>20574</v>
      </c>
      <c r="BZ346" s="112">
        <v>40.531914893617021</v>
      </c>
      <c r="CK346" s="88">
        <v>0</v>
      </c>
    </row>
    <row r="347" spans="1:89" x14ac:dyDescent="0.15">
      <c r="A347" s="84">
        <v>1</v>
      </c>
      <c r="C347" s="85" t="s">
        <v>338</v>
      </c>
      <c r="F347" s="85" t="s">
        <v>338</v>
      </c>
      <c r="H347" s="85" t="s">
        <v>338</v>
      </c>
      <c r="J347" s="84">
        <v>3</v>
      </c>
      <c r="L347" s="84">
        <v>0</v>
      </c>
      <c r="M347" s="85">
        <v>43434</v>
      </c>
      <c r="N347" s="85" t="s">
        <v>265</v>
      </c>
      <c r="O347" s="86" t="s">
        <v>340</v>
      </c>
      <c r="P347" s="84" t="s">
        <v>272</v>
      </c>
      <c r="Q347" s="86" t="s">
        <v>122</v>
      </c>
      <c r="R347" s="86" t="s">
        <v>1344</v>
      </c>
      <c r="S347" s="87" t="s">
        <v>562</v>
      </c>
      <c r="T347" s="87" t="s">
        <v>1345</v>
      </c>
      <c r="U347" s="88">
        <v>12000</v>
      </c>
      <c r="V347" s="88">
        <v>12960</v>
      </c>
      <c r="X347" s="88">
        <v>0</v>
      </c>
      <c r="Y347" s="88">
        <v>12000</v>
      </c>
      <c r="Z347" s="88">
        <v>12960</v>
      </c>
      <c r="AD347" s="84">
        <v>0</v>
      </c>
      <c r="AG347" s="84">
        <v>0</v>
      </c>
      <c r="AJ347" s="84">
        <v>0</v>
      </c>
      <c r="AY347" s="132">
        <v>11520</v>
      </c>
      <c r="AZ347" s="132">
        <f>ROUNDDOWN(AY347+(AY347*MASTER!$A$2/100),0)</f>
        <v>12441</v>
      </c>
      <c r="BC347" s="88">
        <v>0</v>
      </c>
      <c r="BG347" s="88">
        <v>0</v>
      </c>
      <c r="BI347" s="84" t="s">
        <v>276</v>
      </c>
      <c r="BJ347" s="88">
        <v>7800</v>
      </c>
      <c r="BK347" s="88">
        <v>8424</v>
      </c>
      <c r="BL347" s="84" t="s">
        <v>863</v>
      </c>
      <c r="BS347" s="88">
        <v>0</v>
      </c>
      <c r="BV347" s="89">
        <v>0</v>
      </c>
      <c r="BW347" s="89">
        <v>8424</v>
      </c>
      <c r="BX347" s="89">
        <v>43434</v>
      </c>
      <c r="BY347" s="89">
        <v>-8424</v>
      </c>
      <c r="BZ347" s="112" t="s">
        <v>338</v>
      </c>
      <c r="CD347" s="87" t="s">
        <v>1400</v>
      </c>
    </row>
    <row r="348" spans="1:89" x14ac:dyDescent="0.15">
      <c r="A348" s="84">
        <v>1</v>
      </c>
      <c r="B348" s="85">
        <v>43476</v>
      </c>
      <c r="C348" s="85">
        <v>43481</v>
      </c>
      <c r="F348" s="85" t="s">
        <v>338</v>
      </c>
      <c r="H348" s="85" t="s">
        <v>338</v>
      </c>
      <c r="J348" s="84">
        <v>2</v>
      </c>
      <c r="L348" s="84">
        <v>0</v>
      </c>
      <c r="M348" s="85">
        <v>43434</v>
      </c>
      <c r="N348" s="85" t="s">
        <v>265</v>
      </c>
      <c r="O348" s="86" t="s">
        <v>340</v>
      </c>
      <c r="P348" s="84" t="s">
        <v>26</v>
      </c>
      <c r="Q348" s="86" t="s">
        <v>122</v>
      </c>
      <c r="R348" s="86" t="s">
        <v>1346</v>
      </c>
      <c r="S348" s="87" t="s">
        <v>351</v>
      </c>
      <c r="T348" s="87" t="s">
        <v>379</v>
      </c>
      <c r="U348" s="88">
        <v>50000</v>
      </c>
      <c r="V348" s="88">
        <v>54000</v>
      </c>
      <c r="W348" s="88">
        <v>50000</v>
      </c>
      <c r="X348" s="88">
        <v>54000</v>
      </c>
      <c r="Z348" s="88">
        <v>0</v>
      </c>
      <c r="AA348" s="85" t="s">
        <v>190</v>
      </c>
      <c r="AD348" s="84">
        <v>0</v>
      </c>
      <c r="AG348" s="84">
        <v>0</v>
      </c>
      <c r="AJ348" s="84">
        <v>0</v>
      </c>
      <c r="AR348" s="85">
        <v>43475</v>
      </c>
      <c r="AS348" s="84">
        <v>6001635898</v>
      </c>
      <c r="AT348" s="85">
        <v>43475</v>
      </c>
      <c r="AU348" s="84" t="s">
        <v>1507</v>
      </c>
      <c r="AV348" s="85">
        <v>43481</v>
      </c>
      <c r="AW348" s="123">
        <v>43496</v>
      </c>
      <c r="AX348" s="123">
        <v>43516</v>
      </c>
      <c r="AY348" s="132">
        <v>48000</v>
      </c>
      <c r="AZ348" s="132">
        <f>ROUNDDOWN(AY348+(AY348*MASTER!$A$2/100),0)</f>
        <v>51840</v>
      </c>
      <c r="BC348" s="88">
        <v>0</v>
      </c>
      <c r="BG348" s="88">
        <v>0</v>
      </c>
      <c r="BK348" s="88">
        <v>0</v>
      </c>
      <c r="BS348" s="88">
        <v>0</v>
      </c>
      <c r="BV348" s="89">
        <v>54000</v>
      </c>
      <c r="BW348" s="89">
        <v>0</v>
      </c>
      <c r="BX348" s="89">
        <v>43434</v>
      </c>
      <c r="BY348" s="89">
        <v>54000</v>
      </c>
      <c r="BZ348" s="112">
        <v>100</v>
      </c>
      <c r="CD348" s="87" t="s">
        <v>1521</v>
      </c>
    </row>
    <row r="349" spans="1:89" x14ac:dyDescent="0.15">
      <c r="A349" s="84">
        <v>1</v>
      </c>
      <c r="B349" s="85">
        <v>43440</v>
      </c>
      <c r="C349" s="85">
        <v>43459</v>
      </c>
      <c r="F349" s="85" t="s">
        <v>338</v>
      </c>
      <c r="H349" s="85" t="s">
        <v>338</v>
      </c>
      <c r="J349" s="84">
        <v>2</v>
      </c>
      <c r="L349" s="84">
        <v>0</v>
      </c>
      <c r="M349" s="85">
        <v>43434</v>
      </c>
      <c r="N349" s="85" t="s">
        <v>265</v>
      </c>
      <c r="O349" s="86" t="s">
        <v>340</v>
      </c>
      <c r="P349" s="84" t="s">
        <v>272</v>
      </c>
      <c r="Q349" s="86" t="s">
        <v>122</v>
      </c>
      <c r="R349" s="86" t="s">
        <v>1100</v>
      </c>
      <c r="S349" s="87" t="s">
        <v>419</v>
      </c>
      <c r="T349" s="87" t="s">
        <v>1101</v>
      </c>
      <c r="U349" s="88">
        <v>3000</v>
      </c>
      <c r="V349" s="88">
        <v>3240</v>
      </c>
      <c r="W349" s="88">
        <v>3000</v>
      </c>
      <c r="X349" s="88">
        <v>3240</v>
      </c>
      <c r="Z349" s="88">
        <v>0</v>
      </c>
      <c r="AA349" s="85">
        <v>43431</v>
      </c>
      <c r="AD349" s="84">
        <v>0</v>
      </c>
      <c r="AG349" s="84">
        <v>0</v>
      </c>
      <c r="AJ349" s="84">
        <v>0</v>
      </c>
      <c r="AR349" s="85">
        <v>43438</v>
      </c>
      <c r="AS349" s="84">
        <v>6001626050</v>
      </c>
      <c r="AT349" s="85">
        <v>43439</v>
      </c>
      <c r="AU349" s="84" t="s">
        <v>1131</v>
      </c>
      <c r="AV349" s="85">
        <v>43459</v>
      </c>
      <c r="AW349" s="123">
        <v>43465</v>
      </c>
      <c r="AX349" s="123">
        <v>43485</v>
      </c>
      <c r="AY349" s="132">
        <v>2880</v>
      </c>
      <c r="AZ349" s="132">
        <f>ROUNDDOWN(AY349+(AY349*MASTER!$A$2/100),0)</f>
        <v>3110</v>
      </c>
      <c r="BC349" s="88">
        <v>0</v>
      </c>
      <c r="BG349" s="88">
        <v>0</v>
      </c>
      <c r="BK349" s="88">
        <v>0</v>
      </c>
      <c r="BS349" s="88">
        <v>0</v>
      </c>
      <c r="BV349" s="89">
        <v>3240</v>
      </c>
      <c r="BW349" s="89">
        <v>0</v>
      </c>
      <c r="BX349" s="89">
        <v>43434</v>
      </c>
      <c r="BY349" s="89">
        <v>3240</v>
      </c>
      <c r="BZ349" s="112">
        <v>100</v>
      </c>
    </row>
    <row r="350" spans="1:89" x14ac:dyDescent="0.15">
      <c r="A350" s="84">
        <v>2</v>
      </c>
      <c r="B350" s="85">
        <v>43454</v>
      </c>
      <c r="C350" s="85">
        <v>43472</v>
      </c>
      <c r="D350" s="85" t="s">
        <v>374</v>
      </c>
      <c r="F350" s="85">
        <v>43479</v>
      </c>
      <c r="G350" s="85">
        <v>43117</v>
      </c>
      <c r="H350" s="85">
        <v>43475</v>
      </c>
      <c r="I350" s="84" t="s">
        <v>401</v>
      </c>
      <c r="J350" s="84">
        <v>1</v>
      </c>
      <c r="L350" s="84">
        <v>0</v>
      </c>
      <c r="M350" s="85">
        <v>43437</v>
      </c>
      <c r="N350" s="85" t="s">
        <v>265</v>
      </c>
      <c r="O350" s="86" t="s">
        <v>340</v>
      </c>
      <c r="P350" s="84" t="s">
        <v>26</v>
      </c>
      <c r="Q350" s="86" t="s">
        <v>127</v>
      </c>
      <c r="R350" s="86" t="s">
        <v>1110</v>
      </c>
      <c r="S350" s="87" t="s">
        <v>1111</v>
      </c>
      <c r="T350" s="87" t="s">
        <v>1143</v>
      </c>
      <c r="U350" s="88">
        <v>23900</v>
      </c>
      <c r="V350" s="88">
        <v>25812</v>
      </c>
      <c r="W350" s="88">
        <v>14700</v>
      </c>
      <c r="X350" s="88">
        <v>15876</v>
      </c>
      <c r="Y350" s="88">
        <v>9200</v>
      </c>
      <c r="Z350" s="88">
        <v>9936</v>
      </c>
      <c r="AA350" s="85">
        <v>43471</v>
      </c>
      <c r="AB350" s="85">
        <v>43472</v>
      </c>
      <c r="AC350" s="85">
        <v>43472</v>
      </c>
      <c r="AD350" s="84">
        <v>0</v>
      </c>
      <c r="AG350" s="84">
        <v>0</v>
      </c>
      <c r="AJ350" s="84">
        <v>0</v>
      </c>
      <c r="AM350" s="84" t="s">
        <v>290</v>
      </c>
      <c r="AN350" s="84" t="s">
        <v>1354</v>
      </c>
      <c r="AR350" s="85">
        <v>43452</v>
      </c>
      <c r="AS350" s="84">
        <v>6001631390</v>
      </c>
      <c r="AT350" s="85">
        <v>43452</v>
      </c>
      <c r="AU350" s="84" t="s">
        <v>1337</v>
      </c>
      <c r="AV350" s="85">
        <v>43472</v>
      </c>
      <c r="AW350" s="123">
        <v>43496</v>
      </c>
      <c r="AX350" s="123">
        <v>43516</v>
      </c>
      <c r="AY350" s="132">
        <v>22944</v>
      </c>
      <c r="AZ350" s="132">
        <f>ROUNDDOWN(AY350+(AY350*MASTER!$A$2/100),0)</f>
        <v>24779</v>
      </c>
      <c r="BA350" s="84" t="s">
        <v>778</v>
      </c>
      <c r="BC350" s="88">
        <v>0</v>
      </c>
      <c r="BG350" s="88">
        <v>0</v>
      </c>
      <c r="BI350" s="84" t="s">
        <v>276</v>
      </c>
      <c r="BJ350" s="88">
        <v>5980</v>
      </c>
      <c r="BK350" s="88">
        <v>6458.4</v>
      </c>
      <c r="BL350" s="84" t="s">
        <v>1421</v>
      </c>
      <c r="BS350" s="88">
        <v>0</v>
      </c>
      <c r="BV350" s="89">
        <v>15876</v>
      </c>
      <c r="BW350" s="89">
        <v>6458.4</v>
      </c>
      <c r="BX350" s="89">
        <v>43437</v>
      </c>
      <c r="BY350" s="89">
        <v>9417.6</v>
      </c>
      <c r="BZ350" s="112">
        <v>59.319727891156461</v>
      </c>
    </row>
    <row r="351" spans="1:89" x14ac:dyDescent="0.15">
      <c r="A351" s="84">
        <v>1</v>
      </c>
      <c r="B351" s="85">
        <v>43451</v>
      </c>
      <c r="C351" s="85">
        <v>43454</v>
      </c>
      <c r="F351" s="85" t="s">
        <v>338</v>
      </c>
      <c r="H351" s="85" t="s">
        <v>338</v>
      </c>
      <c r="J351" s="84">
        <v>2</v>
      </c>
      <c r="L351" s="84">
        <v>0</v>
      </c>
      <c r="M351" s="85">
        <v>43437</v>
      </c>
      <c r="N351" s="85" t="s">
        <v>265</v>
      </c>
      <c r="O351" s="86" t="s">
        <v>340</v>
      </c>
      <c r="P351" s="84" t="s">
        <v>272</v>
      </c>
      <c r="Q351" s="86" t="s">
        <v>127</v>
      </c>
      <c r="R351" s="86" t="s">
        <v>1112</v>
      </c>
      <c r="S351" s="87" t="s">
        <v>351</v>
      </c>
      <c r="T351" s="87" t="s">
        <v>1113</v>
      </c>
      <c r="U351" s="88">
        <v>50000</v>
      </c>
      <c r="V351" s="88">
        <v>54000</v>
      </c>
      <c r="W351" s="88">
        <v>50000</v>
      </c>
      <c r="X351" s="88">
        <v>54000</v>
      </c>
      <c r="Z351" s="88">
        <v>0</v>
      </c>
      <c r="AA351" s="85" t="s">
        <v>1268</v>
      </c>
      <c r="AD351" s="84">
        <v>0</v>
      </c>
      <c r="AG351" s="84">
        <v>0</v>
      </c>
      <c r="AJ351" s="84">
        <v>0</v>
      </c>
      <c r="AR351" s="85">
        <v>43448</v>
      </c>
      <c r="AS351" s="84">
        <v>6001630339</v>
      </c>
      <c r="AT351" s="85">
        <v>43448</v>
      </c>
      <c r="AU351" s="84" t="s">
        <v>1262</v>
      </c>
      <c r="AV351" s="85">
        <v>43454</v>
      </c>
      <c r="AW351" s="123">
        <v>43465</v>
      </c>
      <c r="AX351" s="123">
        <v>43485</v>
      </c>
      <c r="AY351" s="132">
        <v>48000</v>
      </c>
      <c r="AZ351" s="132">
        <f>ROUNDDOWN(AY351+(AY351*MASTER!$A$2/100),0)</f>
        <v>51840</v>
      </c>
      <c r="BC351" s="88">
        <v>0</v>
      </c>
      <c r="BG351" s="88">
        <v>0</v>
      </c>
      <c r="BK351" s="88">
        <v>0</v>
      </c>
      <c r="BS351" s="88">
        <v>0</v>
      </c>
      <c r="BV351" s="89">
        <v>54000</v>
      </c>
      <c r="BW351" s="89">
        <v>0</v>
      </c>
      <c r="BX351" s="89">
        <v>43437</v>
      </c>
      <c r="BY351" s="89">
        <v>54000</v>
      </c>
      <c r="BZ351" s="112">
        <v>100</v>
      </c>
    </row>
    <row r="352" spans="1:89" x14ac:dyDescent="0.15">
      <c r="A352" s="84">
        <v>1</v>
      </c>
      <c r="B352" s="85">
        <v>43444</v>
      </c>
      <c r="C352" s="85">
        <v>43453</v>
      </c>
      <c r="F352" s="85" t="s">
        <v>338</v>
      </c>
      <c r="H352" s="85" t="s">
        <v>338</v>
      </c>
      <c r="J352" s="84">
        <v>2</v>
      </c>
      <c r="L352" s="84">
        <v>0</v>
      </c>
      <c r="M352" s="85">
        <v>43437</v>
      </c>
      <c r="N352" s="85" t="s">
        <v>265</v>
      </c>
      <c r="O352" s="86" t="s">
        <v>340</v>
      </c>
      <c r="P352" s="84" t="s">
        <v>269</v>
      </c>
      <c r="Q352" s="86" t="s">
        <v>127</v>
      </c>
      <c r="R352" s="86" t="s">
        <v>1114</v>
      </c>
      <c r="S352" s="87" t="s">
        <v>377</v>
      </c>
      <c r="T352" s="87" t="s">
        <v>1116</v>
      </c>
      <c r="U352" s="88">
        <v>66000</v>
      </c>
      <c r="V352" s="88">
        <v>71280</v>
      </c>
      <c r="W352" s="88">
        <v>66000</v>
      </c>
      <c r="X352" s="88">
        <v>71280</v>
      </c>
      <c r="Z352" s="88">
        <v>0</v>
      </c>
      <c r="AA352" s="85" t="s">
        <v>190</v>
      </c>
      <c r="AD352" s="84">
        <v>0</v>
      </c>
      <c r="AG352" s="84">
        <v>0</v>
      </c>
      <c r="AJ352" s="84">
        <v>0</v>
      </c>
      <c r="AR352" s="85">
        <v>43441</v>
      </c>
      <c r="AS352" s="84">
        <v>6001627801</v>
      </c>
      <c r="AT352" s="85">
        <v>43441</v>
      </c>
      <c r="AU352" s="84" t="s">
        <v>1188</v>
      </c>
      <c r="AV352" s="85">
        <v>43453</v>
      </c>
      <c r="AW352" s="123">
        <v>43465</v>
      </c>
      <c r="AX352" s="123">
        <v>43485</v>
      </c>
      <c r="AY352" s="132">
        <v>63360</v>
      </c>
      <c r="AZ352" s="132">
        <f>ROUNDDOWN(AY352+(AY352*MASTER!$A$2/100),0)</f>
        <v>68428</v>
      </c>
      <c r="BC352" s="88">
        <v>0</v>
      </c>
      <c r="BG352" s="88">
        <v>0</v>
      </c>
      <c r="BK352" s="88">
        <v>0</v>
      </c>
      <c r="BS352" s="88">
        <v>0</v>
      </c>
      <c r="BV352" s="89">
        <v>71280</v>
      </c>
      <c r="BW352" s="89">
        <v>0</v>
      </c>
      <c r="BX352" s="89">
        <v>43437</v>
      </c>
      <c r="BY352" s="89">
        <v>71280</v>
      </c>
      <c r="BZ352" s="112">
        <v>100</v>
      </c>
    </row>
    <row r="353" spans="1:89" x14ac:dyDescent="0.15">
      <c r="A353" s="84">
        <v>1</v>
      </c>
      <c r="B353" s="85">
        <v>43438</v>
      </c>
      <c r="C353" s="85">
        <v>43441</v>
      </c>
      <c r="F353" s="85" t="s">
        <v>338</v>
      </c>
      <c r="H353" s="85" t="s">
        <v>338</v>
      </c>
      <c r="J353" s="84">
        <v>2</v>
      </c>
      <c r="L353" s="84">
        <v>0</v>
      </c>
      <c r="M353" s="85">
        <v>43438</v>
      </c>
      <c r="N353" s="85" t="s">
        <v>265</v>
      </c>
      <c r="O353" s="86" t="s">
        <v>340</v>
      </c>
      <c r="P353" s="84" t="s">
        <v>78</v>
      </c>
      <c r="Q353" s="86" t="s">
        <v>127</v>
      </c>
      <c r="R353" s="86" t="s">
        <v>1123</v>
      </c>
      <c r="S353" s="87" t="s">
        <v>407</v>
      </c>
      <c r="T353" s="87" t="s">
        <v>408</v>
      </c>
      <c r="U353" s="88">
        <v>8300</v>
      </c>
      <c r="V353" s="88">
        <v>8964</v>
      </c>
      <c r="W353" s="88">
        <v>8300</v>
      </c>
      <c r="X353" s="88">
        <v>8964</v>
      </c>
      <c r="Z353" s="88">
        <v>0</v>
      </c>
      <c r="AD353" s="84">
        <v>0</v>
      </c>
      <c r="AG353" s="84">
        <v>0</v>
      </c>
      <c r="AJ353" s="84">
        <v>0</v>
      </c>
      <c r="AR353" s="85">
        <v>43438</v>
      </c>
      <c r="AS353" s="84">
        <v>6001625908</v>
      </c>
      <c r="AT353" s="85">
        <v>43438</v>
      </c>
      <c r="AU353" s="84" t="s">
        <v>1129</v>
      </c>
      <c r="AV353" s="85">
        <v>43441</v>
      </c>
      <c r="AW353" s="123">
        <v>43465</v>
      </c>
      <c r="AX353" s="123">
        <v>43485</v>
      </c>
      <c r="AY353" s="132">
        <v>7968</v>
      </c>
      <c r="AZ353" s="132">
        <f>ROUNDDOWN(AY353+(AY353*MASTER!$A$2/100),0)</f>
        <v>8605</v>
      </c>
      <c r="BC353" s="88">
        <v>0</v>
      </c>
      <c r="BG353" s="88">
        <v>0</v>
      </c>
      <c r="BK353" s="88">
        <v>0</v>
      </c>
      <c r="BS353" s="88">
        <v>0</v>
      </c>
      <c r="BV353" s="89">
        <v>8964</v>
      </c>
      <c r="BW353" s="89">
        <v>0</v>
      </c>
      <c r="BX353" s="89">
        <v>43438</v>
      </c>
      <c r="BY353" s="89">
        <v>8964</v>
      </c>
      <c r="BZ353" s="112">
        <v>100</v>
      </c>
      <c r="CK353" s="88">
        <v>0</v>
      </c>
    </row>
    <row r="354" spans="1:89" x14ac:dyDescent="0.15">
      <c r="A354" s="84">
        <v>1</v>
      </c>
      <c r="B354" s="85">
        <v>43438</v>
      </c>
      <c r="C354" s="85">
        <v>43441</v>
      </c>
      <c r="F354" s="85" t="s">
        <v>338</v>
      </c>
      <c r="H354" s="85" t="s">
        <v>338</v>
      </c>
      <c r="J354" s="84">
        <v>2</v>
      </c>
      <c r="L354" s="84">
        <v>0</v>
      </c>
      <c r="M354" s="85">
        <v>43438</v>
      </c>
      <c r="N354" s="85" t="s">
        <v>265</v>
      </c>
      <c r="O354" s="86" t="s">
        <v>340</v>
      </c>
      <c r="P354" s="84" t="s">
        <v>78</v>
      </c>
      <c r="Q354" s="86" t="s">
        <v>127</v>
      </c>
      <c r="R354" s="86" t="s">
        <v>1126</v>
      </c>
      <c r="S354" s="87" t="s">
        <v>407</v>
      </c>
      <c r="T354" s="87" t="s">
        <v>408</v>
      </c>
      <c r="U354" s="88">
        <v>8300</v>
      </c>
      <c r="V354" s="88">
        <v>8964</v>
      </c>
      <c r="W354" s="88">
        <v>8300</v>
      </c>
      <c r="X354" s="88">
        <v>8964</v>
      </c>
      <c r="Z354" s="88">
        <v>0</v>
      </c>
      <c r="AD354" s="84">
        <v>0</v>
      </c>
      <c r="AG354" s="84">
        <v>0</v>
      </c>
      <c r="AJ354" s="84">
        <v>0</v>
      </c>
      <c r="AR354" s="85">
        <v>43438</v>
      </c>
      <c r="AS354" s="84">
        <v>6001625908</v>
      </c>
      <c r="AT354" s="85">
        <v>43438</v>
      </c>
      <c r="AU354" s="84" t="s">
        <v>1129</v>
      </c>
      <c r="AV354" s="85">
        <v>43441</v>
      </c>
      <c r="AW354" s="123">
        <v>43465</v>
      </c>
      <c r="AX354" s="123">
        <v>43485</v>
      </c>
      <c r="AY354" s="132">
        <v>7968</v>
      </c>
      <c r="AZ354" s="132">
        <f>ROUNDDOWN(AY354+(AY354*MASTER!$A$2/100),0)</f>
        <v>8605</v>
      </c>
      <c r="BC354" s="88">
        <v>0</v>
      </c>
      <c r="BG354" s="88">
        <v>0</v>
      </c>
      <c r="BK354" s="88">
        <v>0</v>
      </c>
      <c r="BS354" s="88">
        <v>0</v>
      </c>
      <c r="BV354" s="89">
        <v>8964</v>
      </c>
      <c r="BW354" s="89">
        <v>0</v>
      </c>
      <c r="BX354" s="89">
        <v>43438</v>
      </c>
      <c r="BY354" s="89">
        <v>8964</v>
      </c>
      <c r="BZ354" s="112">
        <v>100</v>
      </c>
      <c r="CK354" s="88">
        <v>0</v>
      </c>
    </row>
    <row r="355" spans="1:89" x14ac:dyDescent="0.15">
      <c r="A355" s="84">
        <v>1</v>
      </c>
      <c r="B355" s="85">
        <v>43448</v>
      </c>
      <c r="C355" s="85">
        <v>43451</v>
      </c>
      <c r="F355" s="85" t="s">
        <v>338</v>
      </c>
      <c r="H355" s="85" t="s">
        <v>338</v>
      </c>
      <c r="J355" s="84">
        <v>2</v>
      </c>
      <c r="L355" s="84">
        <v>0</v>
      </c>
      <c r="M355" s="85">
        <v>43438</v>
      </c>
      <c r="N355" s="85" t="s">
        <v>265</v>
      </c>
      <c r="O355" s="86" t="s">
        <v>340</v>
      </c>
      <c r="P355" s="84" t="s">
        <v>78</v>
      </c>
      <c r="Q355" s="86" t="s">
        <v>127</v>
      </c>
      <c r="R355" s="86" t="s">
        <v>1125</v>
      </c>
      <c r="S355" s="87" t="s">
        <v>407</v>
      </c>
      <c r="T355" s="87" t="s">
        <v>408</v>
      </c>
      <c r="U355" s="88">
        <v>8300</v>
      </c>
      <c r="V355" s="88">
        <v>8964</v>
      </c>
      <c r="W355" s="88">
        <v>8300</v>
      </c>
      <c r="X355" s="88">
        <v>8964</v>
      </c>
      <c r="Z355" s="88">
        <v>0</v>
      </c>
      <c r="AD355" s="84">
        <v>0</v>
      </c>
      <c r="AG355" s="84">
        <v>0</v>
      </c>
      <c r="AJ355" s="84">
        <v>0</v>
      </c>
      <c r="AR355" s="85">
        <v>43438</v>
      </c>
      <c r="AS355" s="84">
        <v>6001625908</v>
      </c>
      <c r="AT355" s="85">
        <v>43438</v>
      </c>
      <c r="AU355" s="84" t="s">
        <v>1129</v>
      </c>
      <c r="AV355" s="85">
        <v>43451</v>
      </c>
      <c r="AW355" s="123">
        <v>43465</v>
      </c>
      <c r="AX355" s="123">
        <v>43485</v>
      </c>
      <c r="AY355" s="132">
        <v>7968</v>
      </c>
      <c r="AZ355" s="132">
        <f>ROUNDDOWN(AY355+(AY355*MASTER!$A$2/100),0)</f>
        <v>8605</v>
      </c>
      <c r="BC355" s="88">
        <v>0</v>
      </c>
      <c r="BG355" s="88">
        <v>0</v>
      </c>
      <c r="BK355" s="88">
        <v>0</v>
      </c>
      <c r="BS355" s="88">
        <v>0</v>
      </c>
      <c r="BV355" s="89">
        <v>8964</v>
      </c>
      <c r="BW355" s="89">
        <v>0</v>
      </c>
      <c r="BX355" s="89">
        <v>43438</v>
      </c>
      <c r="BY355" s="89">
        <v>8964</v>
      </c>
      <c r="BZ355" s="112">
        <v>100</v>
      </c>
      <c r="CK355" s="88">
        <v>0</v>
      </c>
    </row>
    <row r="356" spans="1:89" x14ac:dyDescent="0.15">
      <c r="A356" s="84">
        <v>1</v>
      </c>
      <c r="B356" s="85">
        <v>43448</v>
      </c>
      <c r="C356" s="85">
        <v>43451</v>
      </c>
      <c r="F356" s="85" t="s">
        <v>338</v>
      </c>
      <c r="H356" s="85" t="s">
        <v>338</v>
      </c>
      <c r="J356" s="84">
        <v>2</v>
      </c>
      <c r="L356" s="84">
        <v>0</v>
      </c>
      <c r="M356" s="85">
        <v>43438</v>
      </c>
      <c r="N356" s="85" t="s">
        <v>265</v>
      </c>
      <c r="O356" s="86" t="s">
        <v>340</v>
      </c>
      <c r="P356" s="84" t="s">
        <v>78</v>
      </c>
      <c r="Q356" s="86" t="s">
        <v>127</v>
      </c>
      <c r="R356" s="86" t="s">
        <v>1124</v>
      </c>
      <c r="S356" s="87" t="s">
        <v>407</v>
      </c>
      <c r="T356" s="87" t="s">
        <v>582</v>
      </c>
      <c r="U356" s="88">
        <v>5150</v>
      </c>
      <c r="V356" s="88">
        <v>5562</v>
      </c>
      <c r="W356" s="88">
        <v>5150</v>
      </c>
      <c r="X356" s="88">
        <v>5562</v>
      </c>
      <c r="Z356" s="88">
        <v>0</v>
      </c>
      <c r="AD356" s="84">
        <v>0</v>
      </c>
      <c r="AG356" s="84">
        <v>0</v>
      </c>
      <c r="AJ356" s="84">
        <v>0</v>
      </c>
      <c r="AR356" s="85">
        <v>43438</v>
      </c>
      <c r="AS356" s="84">
        <v>6001625908</v>
      </c>
      <c r="AT356" s="85">
        <v>43438</v>
      </c>
      <c r="AU356" s="84" t="s">
        <v>1129</v>
      </c>
      <c r="AV356" s="85">
        <v>43451</v>
      </c>
      <c r="AW356" s="123">
        <v>43465</v>
      </c>
      <c r="AX356" s="123">
        <v>43485</v>
      </c>
      <c r="AY356" s="132">
        <v>4944</v>
      </c>
      <c r="AZ356" s="132">
        <f>ROUNDDOWN(AY356+(AY356*MASTER!$A$2/100),0)</f>
        <v>5339</v>
      </c>
      <c r="BC356" s="88">
        <v>0</v>
      </c>
      <c r="BG356" s="88">
        <v>0</v>
      </c>
      <c r="BK356" s="88">
        <v>0</v>
      </c>
      <c r="BS356" s="88">
        <v>0</v>
      </c>
      <c r="BV356" s="89">
        <v>5562</v>
      </c>
      <c r="BW356" s="89">
        <v>0</v>
      </c>
      <c r="BX356" s="89">
        <v>43438</v>
      </c>
      <c r="BY356" s="89">
        <v>5562</v>
      </c>
      <c r="BZ356" s="112">
        <v>100</v>
      </c>
      <c r="CK356" s="88">
        <v>0</v>
      </c>
    </row>
    <row r="357" spans="1:89" x14ac:dyDescent="0.15">
      <c r="A357" s="84">
        <v>2</v>
      </c>
      <c r="C357" s="85" t="s">
        <v>338</v>
      </c>
      <c r="F357" s="85" t="s">
        <v>338</v>
      </c>
      <c r="H357" s="85" t="s">
        <v>338</v>
      </c>
      <c r="J357" s="84">
        <v>2</v>
      </c>
      <c r="L357" s="84">
        <v>0</v>
      </c>
      <c r="M357" s="85">
        <v>43438</v>
      </c>
      <c r="N357" s="85" t="s">
        <v>265</v>
      </c>
      <c r="O357" s="86" t="s">
        <v>340</v>
      </c>
      <c r="P357" s="84" t="s">
        <v>26</v>
      </c>
      <c r="Q357" s="86" t="s">
        <v>127</v>
      </c>
      <c r="R357" s="86" t="s">
        <v>1127</v>
      </c>
      <c r="S357" s="87" t="s">
        <v>562</v>
      </c>
      <c r="T357" s="87" t="s">
        <v>1496</v>
      </c>
      <c r="U357" s="88">
        <v>600000</v>
      </c>
      <c r="V357" s="88">
        <v>648000</v>
      </c>
      <c r="W357" s="88">
        <v>600000</v>
      </c>
      <c r="X357" s="88">
        <v>648000</v>
      </c>
      <c r="Y357" s="88">
        <v>0</v>
      </c>
      <c r="Z357" s="88">
        <v>0</v>
      </c>
      <c r="AA357" s="85">
        <v>43455</v>
      </c>
      <c r="AB357" s="85">
        <v>43485</v>
      </c>
      <c r="AD357" s="84">
        <v>0</v>
      </c>
      <c r="AG357" s="84">
        <v>0</v>
      </c>
      <c r="AJ357" s="84">
        <v>0</v>
      </c>
      <c r="AN357" s="84" t="s">
        <v>338</v>
      </c>
      <c r="AY357" s="132">
        <v>137280</v>
      </c>
      <c r="AZ357" s="132">
        <f>ROUNDDOWN(AY357+(AY357*MASTER!$A$2/100),0)</f>
        <v>148262</v>
      </c>
      <c r="BA357" s="84" t="s">
        <v>287</v>
      </c>
      <c r="BB357" s="88">
        <v>600000</v>
      </c>
      <c r="BC357" s="88">
        <v>648000</v>
      </c>
      <c r="BD357" s="84" t="s">
        <v>1138</v>
      </c>
      <c r="BG357" s="88">
        <v>0</v>
      </c>
      <c r="BK357" s="88">
        <v>0</v>
      </c>
      <c r="BS357" s="88">
        <v>0</v>
      </c>
      <c r="BV357" s="89">
        <v>648000</v>
      </c>
      <c r="BW357" s="89">
        <v>648000</v>
      </c>
      <c r="BX357" s="89">
        <v>43438</v>
      </c>
      <c r="BY357" s="89">
        <v>0</v>
      </c>
      <c r="BZ357" s="112">
        <v>0</v>
      </c>
      <c r="CK357" s="88">
        <v>0</v>
      </c>
    </row>
    <row r="358" spans="1:89" x14ac:dyDescent="0.15">
      <c r="A358" s="84">
        <v>2</v>
      </c>
      <c r="B358" s="85">
        <v>43454</v>
      </c>
      <c r="C358" s="85">
        <v>43476</v>
      </c>
      <c r="D358" s="85">
        <v>43512</v>
      </c>
      <c r="F358" s="85">
        <v>43483</v>
      </c>
      <c r="G358" s="85">
        <v>43476</v>
      </c>
      <c r="H358" s="85">
        <v>43479</v>
      </c>
      <c r="I358" s="84" t="s">
        <v>1191</v>
      </c>
      <c r="J358" s="84">
        <v>1</v>
      </c>
      <c r="L358" s="84">
        <v>0</v>
      </c>
      <c r="M358" s="85">
        <v>43439</v>
      </c>
      <c r="N358" s="85" t="s">
        <v>265</v>
      </c>
      <c r="O358" s="86" t="s">
        <v>340</v>
      </c>
      <c r="P358" s="84" t="s">
        <v>26</v>
      </c>
      <c r="Q358" s="86" t="s">
        <v>127</v>
      </c>
      <c r="R358" s="86" t="s">
        <v>1365</v>
      </c>
      <c r="S358" s="87" t="s">
        <v>1366</v>
      </c>
      <c r="T358" s="87" t="s">
        <v>1367</v>
      </c>
      <c r="U358" s="88">
        <v>172800</v>
      </c>
      <c r="V358" s="88">
        <v>186624</v>
      </c>
      <c r="W358" s="88">
        <v>84300</v>
      </c>
      <c r="X358" s="88">
        <v>91044</v>
      </c>
      <c r="Y358" s="88">
        <v>88500</v>
      </c>
      <c r="Z358" s="88">
        <v>95580</v>
      </c>
      <c r="AA358" s="85">
        <v>43475</v>
      </c>
      <c r="AB358" s="85">
        <v>43476</v>
      </c>
      <c r="AC358" s="85">
        <v>43476</v>
      </c>
      <c r="AD358" s="84">
        <v>0</v>
      </c>
      <c r="AG358" s="84">
        <v>0</v>
      </c>
      <c r="AJ358" s="84">
        <v>0</v>
      </c>
      <c r="AM358" s="84" t="s">
        <v>290</v>
      </c>
      <c r="AN358" s="84" t="s">
        <v>1368</v>
      </c>
      <c r="AR358" s="85">
        <v>43451</v>
      </c>
      <c r="AS358" s="84">
        <v>6001630849</v>
      </c>
      <c r="AT358" s="85">
        <v>43451</v>
      </c>
      <c r="AU358" s="84" t="s">
        <v>1314</v>
      </c>
      <c r="AV358" s="85">
        <v>43476</v>
      </c>
      <c r="AW358" s="123">
        <v>43496</v>
      </c>
      <c r="AX358" s="123">
        <v>43516</v>
      </c>
      <c r="AY358" s="132">
        <v>165888</v>
      </c>
      <c r="AZ358" s="132">
        <f>ROUNDDOWN(AY358+(AY358*MASTER!$A$2/100),0)</f>
        <v>179159</v>
      </c>
      <c r="BA358" s="84" t="s">
        <v>287</v>
      </c>
      <c r="BB358" s="88">
        <v>55000</v>
      </c>
      <c r="BC358" s="88">
        <v>59400</v>
      </c>
      <c r="BD358" s="84" t="s">
        <v>1138</v>
      </c>
      <c r="BG358" s="88">
        <v>0</v>
      </c>
      <c r="BI358" s="84" t="s">
        <v>434</v>
      </c>
      <c r="BJ358" s="88">
        <v>57525</v>
      </c>
      <c r="BK358" s="88">
        <v>62127</v>
      </c>
      <c r="BL358" s="84" t="s">
        <v>1138</v>
      </c>
      <c r="BS358" s="88">
        <v>0</v>
      </c>
      <c r="BV358" s="89">
        <v>91044</v>
      </c>
      <c r="BW358" s="89">
        <v>121527</v>
      </c>
      <c r="BX358" s="89">
        <v>43439</v>
      </c>
      <c r="BY358" s="89">
        <v>-30483</v>
      </c>
      <c r="BZ358" s="112">
        <v>-33.481613285883746</v>
      </c>
      <c r="CK358" s="88">
        <v>6300</v>
      </c>
    </row>
    <row r="359" spans="1:89" x14ac:dyDescent="0.15">
      <c r="A359" s="84">
        <v>2</v>
      </c>
      <c r="B359" s="85">
        <v>43483</v>
      </c>
      <c r="C359" s="85">
        <v>43491</v>
      </c>
      <c r="D359" s="85" t="s">
        <v>374</v>
      </c>
      <c r="F359" s="85">
        <v>43498</v>
      </c>
      <c r="G359" s="85">
        <v>43493</v>
      </c>
      <c r="H359" s="85">
        <v>43494</v>
      </c>
      <c r="I359" s="84" t="s">
        <v>401</v>
      </c>
      <c r="J359" s="84">
        <v>1</v>
      </c>
      <c r="L359" s="84">
        <v>0</v>
      </c>
      <c r="M359" s="85">
        <v>43439</v>
      </c>
      <c r="N359" s="85" t="s">
        <v>265</v>
      </c>
      <c r="O359" s="86" t="s">
        <v>340</v>
      </c>
      <c r="P359" s="84" t="s">
        <v>26</v>
      </c>
      <c r="Q359" s="86" t="s">
        <v>127</v>
      </c>
      <c r="R359" s="86" t="s">
        <v>1568</v>
      </c>
      <c r="S359" s="87" t="s">
        <v>1569</v>
      </c>
      <c r="T359" s="87" t="s">
        <v>794</v>
      </c>
      <c r="U359" s="88">
        <v>23900</v>
      </c>
      <c r="V359" s="88">
        <v>25812</v>
      </c>
      <c r="W359" s="88">
        <v>14700</v>
      </c>
      <c r="X359" s="88">
        <v>15876</v>
      </c>
      <c r="Y359" s="88">
        <v>9200</v>
      </c>
      <c r="Z359" s="88">
        <v>9936</v>
      </c>
      <c r="AA359" s="85">
        <v>43489</v>
      </c>
      <c r="AB359" s="85">
        <v>43491</v>
      </c>
      <c r="AC359" s="85">
        <v>43491</v>
      </c>
      <c r="AD359" s="84">
        <v>0</v>
      </c>
      <c r="AG359" s="84">
        <v>0</v>
      </c>
      <c r="AJ359" s="84">
        <v>0</v>
      </c>
      <c r="AM359" s="84" t="s">
        <v>290</v>
      </c>
      <c r="AN359" s="84" t="s">
        <v>1570</v>
      </c>
      <c r="AR359" s="85">
        <v>43452</v>
      </c>
      <c r="AS359" s="84">
        <v>6001631390</v>
      </c>
      <c r="AT359" s="85">
        <v>43452</v>
      </c>
      <c r="AU359" s="84" t="s">
        <v>1337</v>
      </c>
      <c r="AV359" s="85">
        <v>43491</v>
      </c>
      <c r="AW359" s="123">
        <v>43496</v>
      </c>
      <c r="AX359" s="123">
        <v>43516</v>
      </c>
      <c r="AY359" s="132">
        <v>22944</v>
      </c>
      <c r="AZ359" s="132">
        <f>ROUNDDOWN(AY359+(AY359*MASTER!$A$2/100),0)</f>
        <v>24779</v>
      </c>
      <c r="BA359" s="84" t="s">
        <v>778</v>
      </c>
      <c r="BC359" s="88">
        <v>0</v>
      </c>
      <c r="BG359" s="88">
        <v>0</v>
      </c>
      <c r="BI359" s="84" t="s">
        <v>276</v>
      </c>
      <c r="BJ359" s="88">
        <v>5980</v>
      </c>
      <c r="BK359" s="88">
        <v>6458.4</v>
      </c>
      <c r="BL359" s="84" t="s">
        <v>1559</v>
      </c>
      <c r="BS359" s="88">
        <v>0</v>
      </c>
      <c r="BV359" s="89">
        <v>15876</v>
      </c>
      <c r="BW359" s="89">
        <v>6458.4</v>
      </c>
      <c r="BX359" s="89">
        <v>43439</v>
      </c>
      <c r="BY359" s="89">
        <v>9417.6</v>
      </c>
      <c r="BZ359" s="112">
        <v>59.319727891156461</v>
      </c>
      <c r="CK359" s="88">
        <v>0</v>
      </c>
    </row>
    <row r="360" spans="1:89" x14ac:dyDescent="0.15">
      <c r="A360" s="84">
        <v>1</v>
      </c>
      <c r="B360" s="85">
        <v>43444</v>
      </c>
      <c r="C360" s="85">
        <v>43450</v>
      </c>
      <c r="F360" s="85" t="s">
        <v>338</v>
      </c>
      <c r="H360" s="85" t="s">
        <v>338</v>
      </c>
      <c r="J360" s="84">
        <v>1</v>
      </c>
      <c r="L360" s="84">
        <v>0</v>
      </c>
      <c r="M360" s="85">
        <v>43439</v>
      </c>
      <c r="N360" s="85" t="s">
        <v>265</v>
      </c>
      <c r="O360" s="86" t="s">
        <v>340</v>
      </c>
      <c r="P360" s="84" t="s">
        <v>26</v>
      </c>
      <c r="Q360" s="86" t="s">
        <v>127</v>
      </c>
      <c r="R360" s="86" t="s">
        <v>1195</v>
      </c>
      <c r="S360" s="87" t="s">
        <v>1128</v>
      </c>
      <c r="T360" s="87" t="s">
        <v>1196</v>
      </c>
      <c r="U360" s="88">
        <v>73000</v>
      </c>
      <c r="V360" s="88">
        <v>78840</v>
      </c>
      <c r="W360" s="88">
        <v>20000</v>
      </c>
      <c r="X360" s="88">
        <v>21600</v>
      </c>
      <c r="Y360" s="88">
        <v>53000</v>
      </c>
      <c r="Z360" s="88">
        <v>57240</v>
      </c>
      <c r="AA360" s="85">
        <v>43450</v>
      </c>
      <c r="AB360" s="85">
        <v>43450</v>
      </c>
      <c r="AD360" s="84">
        <v>0</v>
      </c>
      <c r="AG360" s="84">
        <v>0</v>
      </c>
      <c r="AJ360" s="84">
        <v>0</v>
      </c>
      <c r="AN360" s="84" t="s">
        <v>338</v>
      </c>
      <c r="AR360" s="85">
        <v>43441</v>
      </c>
      <c r="AS360" s="84">
        <v>6001627932</v>
      </c>
      <c r="AT360" s="85">
        <v>43441</v>
      </c>
      <c r="AU360" s="84" t="s">
        <v>1190</v>
      </c>
      <c r="AV360" s="85">
        <v>43450</v>
      </c>
      <c r="AW360" s="123">
        <v>43465</v>
      </c>
      <c r="AX360" s="123">
        <v>43485</v>
      </c>
      <c r="AY360" s="153">
        <v>73000</v>
      </c>
      <c r="AZ360" s="132">
        <f>ROUNDDOWN(AY360+(AY360*MASTER!$A$2/100),0)</f>
        <v>78840</v>
      </c>
      <c r="BC360" s="88">
        <v>0</v>
      </c>
      <c r="BG360" s="88">
        <v>0</v>
      </c>
      <c r="BK360" s="88">
        <v>0</v>
      </c>
      <c r="BS360" s="88">
        <v>0</v>
      </c>
      <c r="BV360" s="89">
        <v>21600</v>
      </c>
      <c r="BW360" s="89">
        <v>0</v>
      </c>
      <c r="BX360" s="89">
        <v>43439</v>
      </c>
      <c r="BY360" s="89">
        <v>21600</v>
      </c>
      <c r="BZ360" s="112">
        <v>100</v>
      </c>
      <c r="CK360" s="88">
        <v>0</v>
      </c>
    </row>
    <row r="361" spans="1:89" x14ac:dyDescent="0.15">
      <c r="A361" s="84">
        <v>1</v>
      </c>
      <c r="B361" s="85">
        <v>43444</v>
      </c>
      <c r="C361" s="85">
        <v>43450</v>
      </c>
      <c r="F361" s="85" t="s">
        <v>338</v>
      </c>
      <c r="H361" s="85" t="s">
        <v>338</v>
      </c>
      <c r="J361" s="84">
        <v>1</v>
      </c>
      <c r="L361" s="84">
        <v>0</v>
      </c>
      <c r="M361" s="85">
        <v>43439</v>
      </c>
      <c r="N361" s="85" t="s">
        <v>265</v>
      </c>
      <c r="O361" s="86" t="s">
        <v>340</v>
      </c>
      <c r="P361" s="84" t="s">
        <v>26</v>
      </c>
      <c r="Q361" s="86" t="s">
        <v>127</v>
      </c>
      <c r="R361" s="86" t="s">
        <v>1197</v>
      </c>
      <c r="S361" s="87" t="s">
        <v>1128</v>
      </c>
      <c r="T361" s="87" t="s">
        <v>1198</v>
      </c>
      <c r="U361" s="88">
        <v>70000</v>
      </c>
      <c r="V361" s="88">
        <v>75600</v>
      </c>
      <c r="W361" s="88">
        <v>61000</v>
      </c>
      <c r="X361" s="88">
        <v>65880</v>
      </c>
      <c r="Y361" s="88">
        <v>9000</v>
      </c>
      <c r="Z361" s="88">
        <v>9720</v>
      </c>
      <c r="AA361" s="85">
        <v>43450</v>
      </c>
      <c r="AB361" s="85">
        <v>43450</v>
      </c>
      <c r="AD361" s="84">
        <v>0</v>
      </c>
      <c r="AG361" s="84">
        <v>0</v>
      </c>
      <c r="AJ361" s="84">
        <v>0</v>
      </c>
      <c r="AN361" s="84" t="s">
        <v>338</v>
      </c>
      <c r="AR361" s="85">
        <v>43441</v>
      </c>
      <c r="AS361" s="84">
        <v>6001627932</v>
      </c>
      <c r="AT361" s="85">
        <v>43441</v>
      </c>
      <c r="AU361" s="84" t="s">
        <v>1190</v>
      </c>
      <c r="AV361" s="85">
        <v>43450</v>
      </c>
      <c r="AW361" s="123">
        <v>43465</v>
      </c>
      <c r="AX361" s="123">
        <v>43485</v>
      </c>
      <c r="AY361" s="153">
        <v>70000</v>
      </c>
      <c r="AZ361" s="132">
        <f>ROUNDDOWN(AY361+(AY361*MASTER!$A$2/100),0)</f>
        <v>75600</v>
      </c>
      <c r="BC361" s="88">
        <v>0</v>
      </c>
      <c r="BG361" s="88">
        <v>0</v>
      </c>
      <c r="BK361" s="88">
        <v>0</v>
      </c>
      <c r="BS361" s="88">
        <v>0</v>
      </c>
      <c r="BV361" s="89">
        <v>65880</v>
      </c>
      <c r="BW361" s="89">
        <v>0</v>
      </c>
      <c r="BX361" s="89">
        <v>43439</v>
      </c>
      <c r="BY361" s="89">
        <v>65880</v>
      </c>
      <c r="BZ361" s="112">
        <v>100</v>
      </c>
      <c r="CK361" s="88">
        <v>0</v>
      </c>
    </row>
    <row r="362" spans="1:89" x14ac:dyDescent="0.15">
      <c r="A362" s="84">
        <v>2</v>
      </c>
      <c r="B362" s="85">
        <v>43483</v>
      </c>
      <c r="C362" s="85">
        <v>43490</v>
      </c>
      <c r="D362" s="85">
        <v>43522</v>
      </c>
      <c r="F362" s="85">
        <v>43497</v>
      </c>
      <c r="G362" s="85">
        <v>43489</v>
      </c>
      <c r="H362" s="85">
        <v>43493</v>
      </c>
      <c r="I362" s="84" t="s">
        <v>401</v>
      </c>
      <c r="J362" s="84">
        <v>1</v>
      </c>
      <c r="L362" s="84">
        <v>0</v>
      </c>
      <c r="M362" s="85">
        <v>43439</v>
      </c>
      <c r="N362" s="85" t="s">
        <v>265</v>
      </c>
      <c r="O362" s="86" t="s">
        <v>340</v>
      </c>
      <c r="P362" s="84" t="s">
        <v>26</v>
      </c>
      <c r="Q362" s="86" t="s">
        <v>127</v>
      </c>
      <c r="R362" s="86" t="s">
        <v>1571</v>
      </c>
      <c r="S362" s="87" t="s">
        <v>1572</v>
      </c>
      <c r="T362" s="87" t="s">
        <v>1573</v>
      </c>
      <c r="U362" s="88">
        <v>120300</v>
      </c>
      <c r="V362" s="88">
        <v>129924</v>
      </c>
      <c r="W362" s="88">
        <v>100300</v>
      </c>
      <c r="X362" s="88">
        <v>108324</v>
      </c>
      <c r="Y362" s="88">
        <v>20000</v>
      </c>
      <c r="Z362" s="88">
        <v>21600</v>
      </c>
      <c r="AA362" s="85">
        <v>43488</v>
      </c>
      <c r="AB362" s="85">
        <v>43490</v>
      </c>
      <c r="AC362" s="85">
        <v>43490</v>
      </c>
      <c r="AD362" s="84">
        <v>0</v>
      </c>
      <c r="AG362" s="84">
        <v>0</v>
      </c>
      <c r="AJ362" s="84">
        <v>0</v>
      </c>
      <c r="AM362" s="84" t="s">
        <v>290</v>
      </c>
      <c r="AN362" s="84" t="s">
        <v>1574</v>
      </c>
      <c r="AR362" s="85">
        <v>43475</v>
      </c>
      <c r="AS362" s="84">
        <v>6001635898</v>
      </c>
      <c r="AT362" s="85">
        <v>43475</v>
      </c>
      <c r="AU362" s="84" t="s">
        <v>1507</v>
      </c>
      <c r="AV362" s="85">
        <v>43490</v>
      </c>
      <c r="AW362" s="123">
        <v>43496</v>
      </c>
      <c r="AX362" s="123">
        <v>43516</v>
      </c>
      <c r="AY362" s="132">
        <v>115488</v>
      </c>
      <c r="AZ362" s="132">
        <f>ROUNDDOWN(AY362+(AY362*MASTER!$A$2/100),0)</f>
        <v>124727</v>
      </c>
      <c r="BA362" s="84" t="s">
        <v>543</v>
      </c>
      <c r="BB362" s="88">
        <v>47400</v>
      </c>
      <c r="BC362" s="88">
        <v>51192</v>
      </c>
      <c r="BD362" s="84" t="s">
        <v>1233</v>
      </c>
      <c r="BG362" s="88">
        <v>0</v>
      </c>
      <c r="BI362" s="84" t="s">
        <v>434</v>
      </c>
      <c r="BJ362" s="88">
        <v>13000</v>
      </c>
      <c r="BK362" s="88">
        <v>14040</v>
      </c>
      <c r="BL362" s="84" t="s">
        <v>1233</v>
      </c>
      <c r="BS362" s="88">
        <v>0</v>
      </c>
      <c r="BV362" s="89">
        <v>108324</v>
      </c>
      <c r="BW362" s="89">
        <v>65232</v>
      </c>
      <c r="BX362" s="89">
        <v>43439</v>
      </c>
      <c r="BY362" s="89">
        <v>43092</v>
      </c>
      <c r="BZ362" s="112">
        <v>39.780658025922236</v>
      </c>
      <c r="CK362" s="88">
        <v>6300</v>
      </c>
    </row>
    <row r="363" spans="1:89" x14ac:dyDescent="0.15">
      <c r="A363" s="84">
        <v>2</v>
      </c>
      <c r="B363" s="85">
        <v>43543</v>
      </c>
      <c r="C363" s="85">
        <v>43553</v>
      </c>
      <c r="D363" s="85">
        <v>43581</v>
      </c>
      <c r="E363" s="85">
        <v>43557</v>
      </c>
      <c r="F363" s="85">
        <v>43560</v>
      </c>
      <c r="G363" s="85">
        <v>43552</v>
      </c>
      <c r="H363" s="85">
        <v>43556</v>
      </c>
      <c r="I363" s="84" t="s">
        <v>401</v>
      </c>
      <c r="J363" s="84">
        <v>2</v>
      </c>
      <c r="K363" s="85">
        <v>43503</v>
      </c>
      <c r="L363" s="84" t="s">
        <v>1210</v>
      </c>
      <c r="M363" s="85">
        <v>43439</v>
      </c>
      <c r="N363" s="85" t="s">
        <v>265</v>
      </c>
      <c r="O363" s="86" t="s">
        <v>340</v>
      </c>
      <c r="P363" s="84" t="s">
        <v>26</v>
      </c>
      <c r="Q363" s="86" t="s">
        <v>127</v>
      </c>
      <c r="R363" s="86" t="s">
        <v>1575</v>
      </c>
      <c r="S363" s="87" t="s">
        <v>1576</v>
      </c>
      <c r="T363" s="87" t="s">
        <v>1573</v>
      </c>
      <c r="U363" s="88">
        <v>92300</v>
      </c>
      <c r="V363" s="88">
        <v>99684</v>
      </c>
      <c r="W363" s="88">
        <v>92300</v>
      </c>
      <c r="X363" s="88">
        <v>99684</v>
      </c>
      <c r="Z363" s="88">
        <v>0</v>
      </c>
      <c r="AA363" s="85">
        <v>43551</v>
      </c>
      <c r="AB363" s="85">
        <v>43553</v>
      </c>
      <c r="AC363" s="85">
        <v>43553</v>
      </c>
      <c r="AD363" s="84">
        <v>0</v>
      </c>
      <c r="AG363" s="84">
        <v>0</v>
      </c>
      <c r="AJ363" s="84">
        <v>0</v>
      </c>
      <c r="AM363" s="84" t="s">
        <v>290</v>
      </c>
      <c r="AN363" s="84" t="s">
        <v>1577</v>
      </c>
      <c r="AR363" s="85">
        <v>43538</v>
      </c>
      <c r="AS363" s="84">
        <v>6001657296</v>
      </c>
      <c r="AT363" s="85">
        <v>43542</v>
      </c>
      <c r="AU363" s="84" t="s">
        <v>1578</v>
      </c>
      <c r="AV363" s="85">
        <v>43553</v>
      </c>
      <c r="AW363" s="123">
        <v>43555</v>
      </c>
      <c r="AX363" s="123">
        <v>43575</v>
      </c>
      <c r="AY363" s="132">
        <v>88608</v>
      </c>
      <c r="AZ363" s="132">
        <f>ROUNDDOWN(AY363+(AY363*MASTER!$A$2/100),0)</f>
        <v>95696</v>
      </c>
      <c r="BA363" s="84" t="s">
        <v>543</v>
      </c>
      <c r="BB363" s="88">
        <v>55400</v>
      </c>
      <c r="BC363" s="88">
        <v>59832</v>
      </c>
      <c r="BD363" s="84" t="s">
        <v>1579</v>
      </c>
      <c r="BG363" s="88">
        <v>0</v>
      </c>
      <c r="BK363" s="88">
        <v>0</v>
      </c>
      <c r="BS363" s="88">
        <v>0</v>
      </c>
      <c r="BV363" s="89">
        <v>99684</v>
      </c>
      <c r="BW363" s="89">
        <v>59832</v>
      </c>
      <c r="BX363" s="89">
        <v>0</v>
      </c>
      <c r="BY363" s="89">
        <v>43503</v>
      </c>
      <c r="BZ363" s="112">
        <v>39.978331527627304</v>
      </c>
      <c r="CD363" s="87" t="s">
        <v>1580</v>
      </c>
      <c r="CK363" s="88">
        <v>6300</v>
      </c>
    </row>
    <row r="364" spans="1:89" x14ac:dyDescent="0.15">
      <c r="A364" s="84">
        <v>2</v>
      </c>
      <c r="B364" s="85">
        <v>43448</v>
      </c>
      <c r="C364" s="85">
        <v>43449</v>
      </c>
      <c r="F364" s="85" t="s">
        <v>338</v>
      </c>
      <c r="G364" s="85">
        <v>43455</v>
      </c>
      <c r="H364" s="85" t="s">
        <v>338</v>
      </c>
      <c r="I364" s="84" t="s">
        <v>776</v>
      </c>
      <c r="J364" s="84">
        <v>3</v>
      </c>
      <c r="L364" s="84">
        <v>0</v>
      </c>
      <c r="M364" s="85">
        <v>43440</v>
      </c>
      <c r="N364" s="85" t="s">
        <v>265</v>
      </c>
      <c r="O364" s="86" t="s">
        <v>340</v>
      </c>
      <c r="P364" s="84" t="s">
        <v>26</v>
      </c>
      <c r="Q364" s="86" t="s">
        <v>127</v>
      </c>
      <c r="R364" s="86" t="s">
        <v>1133</v>
      </c>
      <c r="S364" s="87" t="s">
        <v>1005</v>
      </c>
      <c r="T364" s="87" t="s">
        <v>1134</v>
      </c>
      <c r="U364" s="88">
        <v>12000</v>
      </c>
      <c r="V364" s="88">
        <v>12960</v>
      </c>
      <c r="X364" s="88">
        <v>0</v>
      </c>
      <c r="Y364" s="88">
        <v>12000</v>
      </c>
      <c r="Z364" s="88">
        <v>12960</v>
      </c>
      <c r="AA364" s="85">
        <v>43443</v>
      </c>
      <c r="AB364" s="85">
        <v>43449</v>
      </c>
      <c r="AD364" s="84">
        <v>0</v>
      </c>
      <c r="AG364" s="84">
        <v>0</v>
      </c>
      <c r="AJ364" s="84">
        <v>0</v>
      </c>
      <c r="AM364" s="84" t="s">
        <v>290</v>
      </c>
      <c r="AN364" s="84" t="s">
        <v>1135</v>
      </c>
      <c r="AR364" s="85">
        <v>43446</v>
      </c>
      <c r="AS364" s="84">
        <v>6001629410</v>
      </c>
      <c r="AT364" s="85">
        <v>43447</v>
      </c>
      <c r="AU364" s="84" t="s">
        <v>1237</v>
      </c>
      <c r="AV364" s="85">
        <v>43449</v>
      </c>
      <c r="AW364" s="123">
        <v>43465</v>
      </c>
      <c r="AX364" s="123">
        <v>43485</v>
      </c>
      <c r="AY364" s="132">
        <v>11520</v>
      </c>
      <c r="AZ364" s="132">
        <f>ROUNDDOWN(AY364+(AY364*MASTER!$A$2/100),0)</f>
        <v>12441</v>
      </c>
      <c r="BA364" s="84" t="s">
        <v>778</v>
      </c>
      <c r="BC364" s="88">
        <v>0</v>
      </c>
      <c r="BG364" s="88">
        <v>0</v>
      </c>
      <c r="BK364" s="88">
        <v>0</v>
      </c>
      <c r="BS364" s="88">
        <v>0</v>
      </c>
      <c r="BV364" s="89">
        <v>0</v>
      </c>
      <c r="BW364" s="89">
        <v>0</v>
      </c>
      <c r="BX364" s="89">
        <v>43440</v>
      </c>
      <c r="BY364" s="89">
        <v>0</v>
      </c>
      <c r="BZ364" s="112" t="s">
        <v>338</v>
      </c>
    </row>
    <row r="365" spans="1:89" x14ac:dyDescent="0.15">
      <c r="A365" s="84">
        <v>1</v>
      </c>
      <c r="B365" s="85">
        <v>43448</v>
      </c>
      <c r="C365" s="85">
        <v>43454</v>
      </c>
      <c r="F365" s="85" t="s">
        <v>338</v>
      </c>
      <c r="G365" s="85">
        <v>43455</v>
      </c>
      <c r="H365" s="85" t="s">
        <v>338</v>
      </c>
      <c r="J365" s="84">
        <v>3</v>
      </c>
      <c r="L365" s="84">
        <v>0</v>
      </c>
      <c r="M365" s="85">
        <v>43440</v>
      </c>
      <c r="N365" s="85" t="s">
        <v>265</v>
      </c>
      <c r="O365" s="86" t="s">
        <v>340</v>
      </c>
      <c r="P365" s="84" t="s">
        <v>26</v>
      </c>
      <c r="Q365" s="86" t="s">
        <v>127</v>
      </c>
      <c r="R365" s="86" t="s">
        <v>1253</v>
      </c>
      <c r="S365" s="87" t="s">
        <v>1171</v>
      </c>
      <c r="T365" s="87" t="s">
        <v>1254</v>
      </c>
      <c r="U365" s="88">
        <v>12000</v>
      </c>
      <c r="V365" s="88">
        <v>12960</v>
      </c>
      <c r="X365" s="88">
        <v>0</v>
      </c>
      <c r="Y365" s="88">
        <v>12000</v>
      </c>
      <c r="Z365" s="88">
        <v>12960</v>
      </c>
      <c r="AA365" s="85">
        <v>43452</v>
      </c>
      <c r="AB365" s="85">
        <v>43454</v>
      </c>
      <c r="AD365" s="84">
        <v>0</v>
      </c>
      <c r="AG365" s="84">
        <v>0</v>
      </c>
      <c r="AJ365" s="84">
        <v>0</v>
      </c>
      <c r="AM365" s="84" t="s">
        <v>290</v>
      </c>
      <c r="AN365" s="84" t="s">
        <v>1255</v>
      </c>
      <c r="AR365" s="85">
        <v>43446</v>
      </c>
      <c r="AS365" s="84">
        <v>6001629410</v>
      </c>
      <c r="AT365" s="85">
        <v>43447</v>
      </c>
      <c r="AU365" s="84" t="s">
        <v>1237</v>
      </c>
      <c r="AV365" s="85">
        <v>43454</v>
      </c>
      <c r="AW365" s="123">
        <v>43465</v>
      </c>
      <c r="AX365" s="123">
        <v>43485</v>
      </c>
      <c r="AY365" s="132">
        <v>11520</v>
      </c>
      <c r="AZ365" s="132">
        <f>ROUNDDOWN(AY365+(AY365*MASTER!$A$2/100),0)</f>
        <v>12441</v>
      </c>
      <c r="BC365" s="88">
        <v>0</v>
      </c>
      <c r="BG365" s="88">
        <v>0</v>
      </c>
      <c r="BI365" s="84" t="s">
        <v>276</v>
      </c>
      <c r="BJ365" s="88">
        <v>7800</v>
      </c>
      <c r="BK365" s="88">
        <v>8424</v>
      </c>
      <c r="BL365" s="84" t="s">
        <v>863</v>
      </c>
      <c r="BS365" s="88">
        <v>0</v>
      </c>
      <c r="BV365" s="89">
        <v>0</v>
      </c>
      <c r="BW365" s="89">
        <v>8424</v>
      </c>
      <c r="BX365" s="89">
        <v>43440</v>
      </c>
      <c r="BY365" s="89">
        <v>-8424</v>
      </c>
      <c r="BZ365" s="112" t="s">
        <v>338</v>
      </c>
    </row>
    <row r="366" spans="1:89" x14ac:dyDescent="0.15">
      <c r="A366" s="84">
        <v>2</v>
      </c>
      <c r="B366" s="85">
        <v>43448</v>
      </c>
      <c r="C366" s="85">
        <v>43453</v>
      </c>
      <c r="F366" s="85">
        <v>43460</v>
      </c>
      <c r="G366" s="85">
        <v>43453</v>
      </c>
      <c r="H366" s="85">
        <v>43456</v>
      </c>
      <c r="I366" s="84" t="s">
        <v>776</v>
      </c>
      <c r="J366" s="84">
        <v>3</v>
      </c>
      <c r="L366" s="84">
        <v>0</v>
      </c>
      <c r="M366" s="85">
        <v>43440</v>
      </c>
      <c r="N366" s="85" t="s">
        <v>265</v>
      </c>
      <c r="O366" s="86" t="s">
        <v>340</v>
      </c>
      <c r="P366" s="84" t="s">
        <v>26</v>
      </c>
      <c r="Q366" s="86" t="s">
        <v>127</v>
      </c>
      <c r="R366" s="86" t="s">
        <v>1256</v>
      </c>
      <c r="S366" s="87" t="s">
        <v>691</v>
      </c>
      <c r="T366" s="87" t="s">
        <v>1257</v>
      </c>
      <c r="U366" s="88">
        <v>9200</v>
      </c>
      <c r="V366" s="88">
        <v>9936</v>
      </c>
      <c r="X366" s="88">
        <v>0</v>
      </c>
      <c r="Y366" s="88">
        <v>9200</v>
      </c>
      <c r="Z366" s="88">
        <v>9936</v>
      </c>
      <c r="AA366" s="85">
        <v>43451</v>
      </c>
      <c r="AB366" s="85">
        <v>43453</v>
      </c>
      <c r="AC366" s="85">
        <v>43453</v>
      </c>
      <c r="AD366" s="84">
        <v>0</v>
      </c>
      <c r="AG366" s="84">
        <v>0</v>
      </c>
      <c r="AJ366" s="84">
        <v>0</v>
      </c>
      <c r="AM366" s="84" t="s">
        <v>290</v>
      </c>
      <c r="AN366" s="84" t="s">
        <v>1258</v>
      </c>
      <c r="AR366" s="85">
        <v>43446</v>
      </c>
      <c r="AS366" s="84">
        <v>6001629410</v>
      </c>
      <c r="AT366" s="85">
        <v>43447</v>
      </c>
      <c r="AU366" s="84" t="s">
        <v>1237</v>
      </c>
      <c r="AV366" s="85">
        <v>43453</v>
      </c>
      <c r="AW366" s="123">
        <v>43465</v>
      </c>
      <c r="AX366" s="123">
        <v>43485</v>
      </c>
      <c r="AY366" s="132">
        <v>8832</v>
      </c>
      <c r="AZ366" s="132">
        <f>ROUNDDOWN(AY366+(AY366*MASTER!$A$2/100),0)</f>
        <v>9538</v>
      </c>
      <c r="BA366" s="84" t="s">
        <v>778</v>
      </c>
      <c r="BC366" s="88">
        <v>0</v>
      </c>
      <c r="BG366" s="88">
        <v>0</v>
      </c>
      <c r="BI366" s="84" t="s">
        <v>276</v>
      </c>
      <c r="BJ366" s="88">
        <v>5980</v>
      </c>
      <c r="BK366" s="88">
        <v>6458.4</v>
      </c>
      <c r="BL366" s="84" t="s">
        <v>863</v>
      </c>
      <c r="BS366" s="88">
        <v>0</v>
      </c>
      <c r="BV366" s="89">
        <v>0</v>
      </c>
      <c r="BW366" s="89">
        <v>6458.4</v>
      </c>
      <c r="BX366" s="89">
        <v>43440</v>
      </c>
      <c r="BY366" s="89">
        <v>-6458.4</v>
      </c>
      <c r="BZ366" s="112" t="s">
        <v>338</v>
      </c>
    </row>
    <row r="367" spans="1:89" x14ac:dyDescent="0.15">
      <c r="A367" s="84">
        <v>1</v>
      </c>
      <c r="C367" s="85">
        <v>43455</v>
      </c>
      <c r="F367" s="85" t="s">
        <v>338</v>
      </c>
      <c r="H367" s="85" t="s">
        <v>338</v>
      </c>
      <c r="J367" s="84">
        <v>2</v>
      </c>
      <c r="L367" s="84">
        <v>0</v>
      </c>
      <c r="M367" s="85">
        <v>43440</v>
      </c>
      <c r="N367" s="85" t="s">
        <v>264</v>
      </c>
      <c r="O367" s="86" t="s">
        <v>340</v>
      </c>
      <c r="P367" s="84" t="s">
        <v>272</v>
      </c>
      <c r="Q367" s="86" t="s">
        <v>127</v>
      </c>
      <c r="R367" s="86" t="s">
        <v>1382</v>
      </c>
      <c r="S367" s="87" t="s">
        <v>387</v>
      </c>
      <c r="T367" s="87" t="s">
        <v>1383</v>
      </c>
      <c r="U367" s="88">
        <v>52000</v>
      </c>
      <c r="V367" s="88">
        <v>56160</v>
      </c>
      <c r="W367" s="88">
        <v>52000</v>
      </c>
      <c r="X367" s="88">
        <v>56160</v>
      </c>
      <c r="Y367" s="88">
        <v>0</v>
      </c>
      <c r="Z367" s="88">
        <v>0</v>
      </c>
      <c r="AD367" s="84">
        <v>0</v>
      </c>
      <c r="AG367" s="84">
        <v>0</v>
      </c>
      <c r="AJ367" s="84">
        <v>0</v>
      </c>
      <c r="AR367" s="85">
        <v>43454</v>
      </c>
      <c r="AS367" s="84">
        <v>6001632518</v>
      </c>
      <c r="AT367" s="85">
        <v>43454</v>
      </c>
      <c r="AU367" s="84" t="s">
        <v>1384</v>
      </c>
      <c r="AV367" s="85">
        <v>43455</v>
      </c>
      <c r="AW367" s="123">
        <v>43465</v>
      </c>
      <c r="AX367" s="123">
        <v>43485</v>
      </c>
      <c r="AY367" s="140">
        <v>52000</v>
      </c>
      <c r="AZ367" s="132">
        <f>ROUNDDOWN(AY367+(AY367*MASTER!$A$2/100),0)</f>
        <v>56160</v>
      </c>
      <c r="BC367" s="88">
        <v>0</v>
      </c>
      <c r="BG367" s="88">
        <v>0</v>
      </c>
      <c r="BK367" s="88">
        <v>0</v>
      </c>
      <c r="BS367" s="88">
        <v>0</v>
      </c>
      <c r="BV367" s="89">
        <v>56160</v>
      </c>
      <c r="BW367" s="89">
        <v>0</v>
      </c>
      <c r="BX367" s="89">
        <v>43440</v>
      </c>
      <c r="BY367" s="89">
        <v>56160</v>
      </c>
      <c r="BZ367" s="112">
        <v>100</v>
      </c>
    </row>
    <row r="368" spans="1:89" x14ac:dyDescent="0.15">
      <c r="A368" s="84">
        <v>2</v>
      </c>
      <c r="B368" s="85">
        <v>43451</v>
      </c>
      <c r="C368" s="85">
        <v>43452</v>
      </c>
      <c r="D368" s="85">
        <v>43447</v>
      </c>
      <c r="E368" s="85">
        <v>43447</v>
      </c>
      <c r="F368" s="85" t="s">
        <v>338</v>
      </c>
      <c r="G368" s="85">
        <v>43447</v>
      </c>
      <c r="H368" s="85" t="s">
        <v>338</v>
      </c>
      <c r="I368" s="84" t="s">
        <v>380</v>
      </c>
      <c r="J368" s="84">
        <v>2</v>
      </c>
      <c r="L368" s="84">
        <v>0</v>
      </c>
      <c r="M368" s="85">
        <v>43444</v>
      </c>
      <c r="N368" s="85" t="s">
        <v>265</v>
      </c>
      <c r="O368" s="86" t="s">
        <v>340</v>
      </c>
      <c r="P368" s="84" t="s">
        <v>6</v>
      </c>
      <c r="Q368" s="86" t="s">
        <v>127</v>
      </c>
      <c r="R368" s="86" t="s">
        <v>1234</v>
      </c>
      <c r="S368" s="87" t="s">
        <v>1235</v>
      </c>
      <c r="T368" s="87" t="s">
        <v>342</v>
      </c>
      <c r="U368" s="88">
        <v>35000</v>
      </c>
      <c r="V368" s="88">
        <v>37800</v>
      </c>
      <c r="W368" s="88">
        <v>35000</v>
      </c>
      <c r="X368" s="88">
        <v>37800</v>
      </c>
      <c r="Z368" s="88">
        <v>0</v>
      </c>
      <c r="AA368" s="85">
        <v>43446</v>
      </c>
      <c r="AB368" s="85">
        <v>43446</v>
      </c>
      <c r="AD368" s="84">
        <v>0</v>
      </c>
      <c r="AG368" s="84">
        <v>0</v>
      </c>
      <c r="AJ368" s="84">
        <v>0</v>
      </c>
      <c r="AN368" s="84" t="s">
        <v>338</v>
      </c>
      <c r="AR368" s="85">
        <v>43448</v>
      </c>
      <c r="AS368" s="84">
        <v>6001630339</v>
      </c>
      <c r="AT368" s="85">
        <v>43448</v>
      </c>
      <c r="AU368" s="84" t="s">
        <v>1262</v>
      </c>
      <c r="AV368" s="85">
        <v>43452</v>
      </c>
      <c r="AW368" s="123">
        <v>43465</v>
      </c>
      <c r="AX368" s="123">
        <v>43485</v>
      </c>
      <c r="AY368" s="132">
        <v>33600</v>
      </c>
      <c r="AZ368" s="132">
        <f>ROUNDDOWN(AY368+(AY368*MASTER!$A$2/100),0)</f>
        <v>36288</v>
      </c>
      <c r="BA368" s="84" t="s">
        <v>400</v>
      </c>
      <c r="BB368" s="88">
        <v>24000</v>
      </c>
      <c r="BC368" s="88">
        <v>25920</v>
      </c>
      <c r="BD368" s="84" t="s">
        <v>190</v>
      </c>
      <c r="BG368" s="88">
        <v>0</v>
      </c>
      <c r="BK368" s="88">
        <v>0</v>
      </c>
      <c r="BS368" s="88">
        <v>0</v>
      </c>
      <c r="BV368" s="89">
        <v>37800</v>
      </c>
      <c r="BW368" s="89">
        <v>25920</v>
      </c>
      <c r="BX368" s="89">
        <v>43444</v>
      </c>
      <c r="BY368" s="89">
        <v>11880</v>
      </c>
      <c r="BZ368" s="112">
        <v>31.428571428571427</v>
      </c>
      <c r="CK368" s="88">
        <v>0</v>
      </c>
    </row>
    <row r="369" spans="1:89" x14ac:dyDescent="0.15">
      <c r="A369" s="84">
        <v>1</v>
      </c>
      <c r="B369" s="85">
        <v>43448</v>
      </c>
      <c r="C369" s="85">
        <v>43448</v>
      </c>
      <c r="F369" s="85" t="s">
        <v>338</v>
      </c>
      <c r="H369" s="85" t="s">
        <v>338</v>
      </c>
      <c r="J369" s="84">
        <v>2</v>
      </c>
      <c r="L369" s="84">
        <v>0</v>
      </c>
      <c r="M369" s="85">
        <v>43444</v>
      </c>
      <c r="N369" s="85" t="s">
        <v>265</v>
      </c>
      <c r="O369" s="86" t="s">
        <v>340</v>
      </c>
      <c r="P369" s="84" t="s">
        <v>272</v>
      </c>
      <c r="Q369" s="86" t="s">
        <v>127</v>
      </c>
      <c r="R369" s="86" t="s">
        <v>1250</v>
      </c>
      <c r="S369" s="87" t="s">
        <v>1251</v>
      </c>
      <c r="T369" s="87" t="s">
        <v>1252</v>
      </c>
      <c r="U369" s="88">
        <v>1240</v>
      </c>
      <c r="V369" s="88">
        <v>1339.2</v>
      </c>
      <c r="W369" s="88">
        <v>1240</v>
      </c>
      <c r="X369" s="88">
        <v>1339.2</v>
      </c>
      <c r="Z369" s="88">
        <v>0</v>
      </c>
      <c r="AD369" s="84">
        <v>0</v>
      </c>
      <c r="AG369" s="84">
        <v>0</v>
      </c>
      <c r="AJ369" s="84">
        <v>0</v>
      </c>
      <c r="AN369" s="84" t="s">
        <v>338</v>
      </c>
      <c r="AR369" s="85">
        <v>43447</v>
      </c>
      <c r="AS369" s="84">
        <v>6001629835</v>
      </c>
      <c r="AT369" s="85">
        <v>43447</v>
      </c>
      <c r="AU369" s="84" t="s">
        <v>1236</v>
      </c>
      <c r="AV369" s="85">
        <v>43448</v>
      </c>
      <c r="AW369" s="123">
        <v>43465</v>
      </c>
      <c r="AX369" s="123">
        <v>43485</v>
      </c>
      <c r="AY369" s="132">
        <v>1190</v>
      </c>
      <c r="AZ369" s="132">
        <f>ROUNDDOWN(AY369+(AY369*MASTER!$A$2/100),0)</f>
        <v>1285</v>
      </c>
      <c r="BC369" s="88">
        <v>0</v>
      </c>
      <c r="BG369" s="88">
        <v>0</v>
      </c>
      <c r="BK369" s="88">
        <v>0</v>
      </c>
      <c r="BS369" s="88">
        <v>0</v>
      </c>
      <c r="BV369" s="89">
        <v>1339.2</v>
      </c>
      <c r="BW369" s="89">
        <v>0</v>
      </c>
      <c r="BX369" s="89">
        <v>43444</v>
      </c>
      <c r="BY369" s="89">
        <v>1339.2</v>
      </c>
      <c r="BZ369" s="112">
        <v>100</v>
      </c>
      <c r="CK369" s="88">
        <v>0</v>
      </c>
    </row>
    <row r="370" spans="1:89" x14ac:dyDescent="0.15">
      <c r="A370" s="84">
        <v>1</v>
      </c>
      <c r="B370" s="85">
        <v>43448</v>
      </c>
      <c r="C370" s="85">
        <v>43451</v>
      </c>
      <c r="F370" s="85" t="s">
        <v>338</v>
      </c>
      <c r="H370" s="85" t="s">
        <v>338</v>
      </c>
      <c r="J370" s="84">
        <v>2</v>
      </c>
      <c r="L370" s="84">
        <v>0</v>
      </c>
      <c r="M370" s="85">
        <v>43444</v>
      </c>
      <c r="N370" s="85" t="s">
        <v>265</v>
      </c>
      <c r="O370" s="86" t="s">
        <v>340</v>
      </c>
      <c r="P370" s="84" t="s">
        <v>78</v>
      </c>
      <c r="Q370" s="86" t="s">
        <v>127</v>
      </c>
      <c r="R370" s="86" t="s">
        <v>1192</v>
      </c>
      <c r="S370" s="87" t="s">
        <v>407</v>
      </c>
      <c r="T370" s="87" t="s">
        <v>408</v>
      </c>
      <c r="U370" s="88">
        <v>8300</v>
      </c>
      <c r="V370" s="88">
        <v>8964</v>
      </c>
      <c r="W370" s="88">
        <v>8300</v>
      </c>
      <c r="X370" s="88">
        <v>8964</v>
      </c>
      <c r="Z370" s="88">
        <v>0</v>
      </c>
      <c r="AD370" s="84">
        <v>0</v>
      </c>
      <c r="AG370" s="84">
        <v>0</v>
      </c>
      <c r="AJ370" s="84">
        <v>0</v>
      </c>
      <c r="AR370" s="85">
        <v>43444</v>
      </c>
      <c r="AS370" s="84">
        <v>6001628289</v>
      </c>
      <c r="AT370" s="85">
        <v>43445</v>
      </c>
      <c r="AU370" s="84" t="s">
        <v>1202</v>
      </c>
      <c r="AV370" s="85">
        <v>43451</v>
      </c>
      <c r="AW370" s="123">
        <v>43465</v>
      </c>
      <c r="AX370" s="123">
        <v>43485</v>
      </c>
      <c r="AY370" s="132">
        <v>7968</v>
      </c>
      <c r="AZ370" s="132">
        <f>ROUNDDOWN(AY370+(AY370*MASTER!$A$2/100),0)</f>
        <v>8605</v>
      </c>
      <c r="BC370" s="88">
        <v>0</v>
      </c>
      <c r="BG370" s="88">
        <v>0</v>
      </c>
      <c r="BK370" s="88">
        <v>0</v>
      </c>
      <c r="BS370" s="88">
        <v>0</v>
      </c>
      <c r="BV370" s="89">
        <v>8964</v>
      </c>
      <c r="BW370" s="89">
        <v>0</v>
      </c>
      <c r="BX370" s="89">
        <v>43444</v>
      </c>
      <c r="BY370" s="89">
        <v>8964</v>
      </c>
      <c r="BZ370" s="112">
        <v>100</v>
      </c>
      <c r="CK370" s="88">
        <v>0</v>
      </c>
    </row>
    <row r="371" spans="1:89" x14ac:dyDescent="0.15">
      <c r="A371" s="84">
        <v>1</v>
      </c>
      <c r="B371" s="85">
        <v>43453</v>
      </c>
      <c r="C371" s="85">
        <v>43476</v>
      </c>
      <c r="F371" s="85" t="s">
        <v>338</v>
      </c>
      <c r="H371" s="85" t="s">
        <v>338</v>
      </c>
      <c r="J371" s="84">
        <v>2</v>
      </c>
      <c r="L371" s="84">
        <v>0</v>
      </c>
      <c r="M371" s="85">
        <v>43444</v>
      </c>
      <c r="N371" s="85" t="s">
        <v>265</v>
      </c>
      <c r="O371" s="86" t="s">
        <v>340</v>
      </c>
      <c r="P371" s="84" t="s">
        <v>78</v>
      </c>
      <c r="Q371" s="86" t="s">
        <v>127</v>
      </c>
      <c r="R371" s="86" t="s">
        <v>1194</v>
      </c>
      <c r="S371" s="87" t="s">
        <v>407</v>
      </c>
      <c r="T371" s="87" t="s">
        <v>408</v>
      </c>
      <c r="U371" s="88">
        <v>8300</v>
      </c>
      <c r="V371" s="88">
        <v>8964</v>
      </c>
      <c r="W371" s="88">
        <v>8300</v>
      </c>
      <c r="X371" s="88">
        <v>8964</v>
      </c>
      <c r="Z371" s="88">
        <v>0</v>
      </c>
      <c r="AD371" s="84">
        <v>0</v>
      </c>
      <c r="AG371" s="84">
        <v>0</v>
      </c>
      <c r="AJ371" s="84">
        <v>0</v>
      </c>
      <c r="AR371" s="85">
        <v>43444</v>
      </c>
      <c r="AS371" s="84">
        <v>6001628289</v>
      </c>
      <c r="AT371" s="85">
        <v>43445</v>
      </c>
      <c r="AU371" s="84" t="s">
        <v>1202</v>
      </c>
      <c r="AV371" s="85">
        <v>43476</v>
      </c>
      <c r="AW371" s="123">
        <v>43465</v>
      </c>
      <c r="AX371" s="123">
        <v>43485</v>
      </c>
      <c r="AY371" s="132">
        <v>7968</v>
      </c>
      <c r="AZ371" s="132">
        <f>ROUNDDOWN(AY371+(AY371*MASTER!$A$2/100),0)</f>
        <v>8605</v>
      </c>
      <c r="BC371" s="88">
        <v>0</v>
      </c>
      <c r="BG371" s="88">
        <v>0</v>
      </c>
      <c r="BK371" s="88">
        <v>0</v>
      </c>
      <c r="BS371" s="88">
        <v>0</v>
      </c>
      <c r="BV371" s="89">
        <v>8964</v>
      </c>
      <c r="BW371" s="89">
        <v>0</v>
      </c>
      <c r="BX371" s="89">
        <v>43444</v>
      </c>
      <c r="BY371" s="89">
        <v>8964</v>
      </c>
      <c r="BZ371" s="112">
        <v>100</v>
      </c>
      <c r="CK371" s="88">
        <v>0</v>
      </c>
    </row>
    <row r="372" spans="1:89" x14ac:dyDescent="0.15">
      <c r="A372" s="84">
        <v>1</v>
      </c>
      <c r="B372" s="85">
        <v>43453</v>
      </c>
      <c r="C372" s="85">
        <v>43472</v>
      </c>
      <c r="F372" s="85" t="s">
        <v>338</v>
      </c>
      <c r="H372" s="85" t="s">
        <v>338</v>
      </c>
      <c r="J372" s="84">
        <v>2</v>
      </c>
      <c r="L372" s="84">
        <v>0</v>
      </c>
      <c r="M372" s="85">
        <v>43444</v>
      </c>
      <c r="N372" s="85" t="s">
        <v>265</v>
      </c>
      <c r="O372" s="86" t="s">
        <v>340</v>
      </c>
      <c r="P372" s="84" t="s">
        <v>78</v>
      </c>
      <c r="Q372" s="86" t="s">
        <v>127</v>
      </c>
      <c r="R372" s="86" t="s">
        <v>1193</v>
      </c>
      <c r="S372" s="87" t="s">
        <v>407</v>
      </c>
      <c r="T372" s="87" t="s">
        <v>408</v>
      </c>
      <c r="U372" s="88">
        <v>8300</v>
      </c>
      <c r="V372" s="88">
        <v>8964</v>
      </c>
      <c r="W372" s="88">
        <v>8300</v>
      </c>
      <c r="X372" s="88">
        <v>8964</v>
      </c>
      <c r="Z372" s="88">
        <v>0</v>
      </c>
      <c r="AD372" s="84">
        <v>0</v>
      </c>
      <c r="AG372" s="84">
        <v>0</v>
      </c>
      <c r="AJ372" s="84">
        <v>0</v>
      </c>
      <c r="AR372" s="85">
        <v>43444</v>
      </c>
      <c r="AS372" s="84">
        <v>6001628289</v>
      </c>
      <c r="AT372" s="85">
        <v>43445</v>
      </c>
      <c r="AU372" s="84" t="s">
        <v>1202</v>
      </c>
      <c r="AV372" s="85">
        <v>43472</v>
      </c>
      <c r="AW372" s="123">
        <v>43465</v>
      </c>
      <c r="AX372" s="123">
        <v>43485</v>
      </c>
      <c r="AY372" s="132">
        <v>7968</v>
      </c>
      <c r="AZ372" s="132">
        <f>ROUNDDOWN(AY372+(AY372*MASTER!$A$2/100),0)</f>
        <v>8605</v>
      </c>
      <c r="BC372" s="88">
        <v>0</v>
      </c>
      <c r="BG372" s="88">
        <v>0</v>
      </c>
      <c r="BK372" s="88">
        <v>0</v>
      </c>
      <c r="BS372" s="88">
        <v>0</v>
      </c>
      <c r="BV372" s="89">
        <v>8964</v>
      </c>
      <c r="BW372" s="89">
        <v>0</v>
      </c>
      <c r="BX372" s="89">
        <v>43444</v>
      </c>
      <c r="BY372" s="89">
        <v>8964</v>
      </c>
      <c r="BZ372" s="112">
        <v>100</v>
      </c>
      <c r="CK372" s="88">
        <v>0</v>
      </c>
    </row>
    <row r="373" spans="1:89" x14ac:dyDescent="0.15">
      <c r="A373" s="84">
        <v>2</v>
      </c>
      <c r="B373" s="85">
        <v>43454</v>
      </c>
      <c r="C373" s="85">
        <v>43474</v>
      </c>
      <c r="F373" s="85" t="s">
        <v>338</v>
      </c>
      <c r="G373" s="85">
        <v>43476</v>
      </c>
      <c r="H373" s="85" t="s">
        <v>338</v>
      </c>
      <c r="I373" s="84" t="s">
        <v>1191</v>
      </c>
      <c r="J373" s="84">
        <v>1</v>
      </c>
      <c r="L373" s="84">
        <v>0</v>
      </c>
      <c r="M373" s="85">
        <v>43445</v>
      </c>
      <c r="N373" s="85" t="s">
        <v>265</v>
      </c>
      <c r="O373" s="86" t="s">
        <v>340</v>
      </c>
      <c r="P373" s="84" t="s">
        <v>26</v>
      </c>
      <c r="Q373" s="86" t="s">
        <v>127</v>
      </c>
      <c r="R373" s="86" t="s">
        <v>1379</v>
      </c>
      <c r="S373" s="87" t="s">
        <v>1380</v>
      </c>
      <c r="T373" s="87" t="s">
        <v>721</v>
      </c>
      <c r="U373" s="88">
        <v>23900</v>
      </c>
      <c r="V373" s="88">
        <v>25812</v>
      </c>
      <c r="W373" s="88">
        <v>14700</v>
      </c>
      <c r="X373" s="88">
        <v>15876</v>
      </c>
      <c r="Y373" s="88">
        <v>9200</v>
      </c>
      <c r="Z373" s="88">
        <v>9936</v>
      </c>
      <c r="AA373" s="85">
        <v>43473</v>
      </c>
      <c r="AB373" s="85">
        <v>43474</v>
      </c>
      <c r="AD373" s="84">
        <v>0</v>
      </c>
      <c r="AG373" s="84">
        <v>0</v>
      </c>
      <c r="AJ373" s="84">
        <v>0</v>
      </c>
      <c r="AM373" s="84" t="s">
        <v>290</v>
      </c>
      <c r="AN373" s="84" t="s">
        <v>1381</v>
      </c>
      <c r="AR373" s="85">
        <v>43453</v>
      </c>
      <c r="AS373" s="84">
        <v>6001632069</v>
      </c>
      <c r="AT373" s="85">
        <v>43453</v>
      </c>
      <c r="AU373" s="84" t="s">
        <v>1349</v>
      </c>
      <c r="AV373" s="85">
        <v>43474</v>
      </c>
      <c r="AW373" s="123">
        <v>43496</v>
      </c>
      <c r="AX373" s="123">
        <v>43516</v>
      </c>
      <c r="AY373" s="132">
        <v>22944</v>
      </c>
      <c r="AZ373" s="132">
        <f>ROUNDDOWN(AY373+(AY373*MASTER!$A$2/100),0)</f>
        <v>24779</v>
      </c>
      <c r="BA373" s="84" t="s">
        <v>778</v>
      </c>
      <c r="BC373" s="88">
        <v>0</v>
      </c>
      <c r="BG373" s="88">
        <v>0</v>
      </c>
      <c r="BI373" s="84" t="s">
        <v>276</v>
      </c>
      <c r="BJ373" s="88">
        <v>5980</v>
      </c>
      <c r="BK373" s="88">
        <v>6458.4</v>
      </c>
      <c r="BL373" s="84" t="s">
        <v>1421</v>
      </c>
      <c r="BS373" s="88">
        <v>0</v>
      </c>
      <c r="BV373" s="89">
        <v>15876</v>
      </c>
      <c r="BW373" s="89">
        <v>6458.4</v>
      </c>
      <c r="BX373" s="89">
        <v>43445</v>
      </c>
      <c r="BY373" s="89">
        <v>9417.6</v>
      </c>
      <c r="BZ373" s="112">
        <v>59.319727891156461</v>
      </c>
      <c r="CK373" s="88">
        <v>0</v>
      </c>
    </row>
    <row r="374" spans="1:89" x14ac:dyDescent="0.15">
      <c r="A374" s="84">
        <v>2</v>
      </c>
      <c r="B374" s="85">
        <v>43460</v>
      </c>
      <c r="C374" s="85">
        <v>43476</v>
      </c>
      <c r="D374" s="85" t="s">
        <v>374</v>
      </c>
      <c r="F374" s="85">
        <v>43483</v>
      </c>
      <c r="G374" s="85">
        <v>43481</v>
      </c>
      <c r="H374" s="85">
        <v>43479</v>
      </c>
      <c r="I374" s="84" t="s">
        <v>1191</v>
      </c>
      <c r="J374" s="84">
        <v>1</v>
      </c>
      <c r="L374" s="84">
        <v>0</v>
      </c>
      <c r="M374" s="85">
        <v>43445</v>
      </c>
      <c r="N374" s="85" t="s">
        <v>265</v>
      </c>
      <c r="O374" s="86" t="s">
        <v>340</v>
      </c>
      <c r="P374" s="84" t="s">
        <v>26</v>
      </c>
      <c r="Q374" s="86" t="s">
        <v>127</v>
      </c>
      <c r="R374" s="86" t="s">
        <v>1414</v>
      </c>
      <c r="S374" s="87" t="s">
        <v>921</v>
      </c>
      <c r="T374" s="87" t="s">
        <v>1089</v>
      </c>
      <c r="U374" s="88">
        <v>23900</v>
      </c>
      <c r="V374" s="88">
        <v>25812</v>
      </c>
      <c r="W374" s="88">
        <v>14700</v>
      </c>
      <c r="X374" s="88">
        <v>15876</v>
      </c>
      <c r="Y374" s="88">
        <v>9200</v>
      </c>
      <c r="Z374" s="88">
        <v>9936</v>
      </c>
      <c r="AA374" s="85">
        <v>43474</v>
      </c>
      <c r="AB374" s="85">
        <v>43476</v>
      </c>
      <c r="AC374" s="85">
        <v>43476</v>
      </c>
      <c r="AD374" s="84">
        <v>0</v>
      </c>
      <c r="AG374" s="84">
        <v>0</v>
      </c>
      <c r="AJ374" s="84">
        <v>0</v>
      </c>
      <c r="AM374" s="84" t="s">
        <v>290</v>
      </c>
      <c r="AN374" s="84" t="s">
        <v>1415</v>
      </c>
      <c r="AR374" s="85">
        <v>43459</v>
      </c>
      <c r="AS374" s="84">
        <v>6001633405</v>
      </c>
      <c r="AT374" s="85">
        <v>43459</v>
      </c>
      <c r="AU374" s="84" t="s">
        <v>1407</v>
      </c>
      <c r="AV374" s="85">
        <v>43476</v>
      </c>
      <c r="AW374" s="123">
        <v>43496</v>
      </c>
      <c r="AX374" s="123">
        <v>43516</v>
      </c>
      <c r="AY374" s="132">
        <v>22944</v>
      </c>
      <c r="AZ374" s="132">
        <f>ROUNDDOWN(AY374+(AY374*MASTER!$A$2/100),0)</f>
        <v>24779</v>
      </c>
      <c r="BA374" s="84" t="s">
        <v>778</v>
      </c>
      <c r="BC374" s="88">
        <v>0</v>
      </c>
      <c r="BG374" s="88">
        <v>0</v>
      </c>
      <c r="BI374" s="84" t="s">
        <v>276</v>
      </c>
      <c r="BJ374" s="88">
        <v>5980</v>
      </c>
      <c r="BK374" s="88">
        <v>6458.4</v>
      </c>
      <c r="BL374" s="84" t="s">
        <v>1421</v>
      </c>
      <c r="BS374" s="88">
        <v>0</v>
      </c>
      <c r="BV374" s="89">
        <v>15876</v>
      </c>
      <c r="BW374" s="89">
        <v>6458.4</v>
      </c>
      <c r="BX374" s="89">
        <v>43445</v>
      </c>
      <c r="BY374" s="89">
        <v>9417.6</v>
      </c>
      <c r="BZ374" s="112">
        <v>59.319727891156461</v>
      </c>
      <c r="CK374" s="88">
        <v>0</v>
      </c>
    </row>
    <row r="375" spans="1:89" x14ac:dyDescent="0.15">
      <c r="A375" s="84">
        <v>2</v>
      </c>
      <c r="B375" s="85">
        <v>43451</v>
      </c>
      <c r="C375" s="85">
        <v>43452</v>
      </c>
      <c r="D375" s="85">
        <v>43445</v>
      </c>
      <c r="E375" s="85">
        <v>43445</v>
      </c>
      <c r="F375" s="85" t="s">
        <v>338</v>
      </c>
      <c r="G375" s="85">
        <v>43445</v>
      </c>
      <c r="H375" s="85" t="s">
        <v>338</v>
      </c>
      <c r="I375" s="84" t="s">
        <v>380</v>
      </c>
      <c r="J375" s="84">
        <v>2</v>
      </c>
      <c r="L375" s="84">
        <v>0</v>
      </c>
      <c r="M375" s="85">
        <v>43445</v>
      </c>
      <c r="N375" s="85" t="s">
        <v>265</v>
      </c>
      <c r="O375" s="86" t="s">
        <v>340</v>
      </c>
      <c r="P375" s="84" t="s">
        <v>6</v>
      </c>
      <c r="Q375" s="86" t="s">
        <v>127</v>
      </c>
      <c r="R375" s="86" t="s">
        <v>1206</v>
      </c>
      <c r="S375" s="87" t="s">
        <v>1207</v>
      </c>
      <c r="T375" s="87" t="s">
        <v>342</v>
      </c>
      <c r="U375" s="88">
        <v>35000</v>
      </c>
      <c r="V375" s="88">
        <v>37800</v>
      </c>
      <c r="W375" s="88">
        <v>35000</v>
      </c>
      <c r="X375" s="88">
        <v>37800</v>
      </c>
      <c r="Z375" s="88">
        <v>0</v>
      </c>
      <c r="AA375" s="85">
        <v>43445</v>
      </c>
      <c r="AB375" s="85">
        <v>43445</v>
      </c>
      <c r="AD375" s="84">
        <v>0</v>
      </c>
      <c r="AG375" s="84">
        <v>0</v>
      </c>
      <c r="AJ375" s="84">
        <v>0</v>
      </c>
      <c r="AR375" s="85">
        <v>43448</v>
      </c>
      <c r="AS375" s="84">
        <v>6001630339</v>
      </c>
      <c r="AT375" s="85">
        <v>43448</v>
      </c>
      <c r="AU375" s="84" t="s">
        <v>1262</v>
      </c>
      <c r="AV375" s="85">
        <v>43452</v>
      </c>
      <c r="AW375" s="123">
        <v>43465</v>
      </c>
      <c r="AX375" s="123">
        <v>43485</v>
      </c>
      <c r="AY375" s="132">
        <v>33600</v>
      </c>
      <c r="AZ375" s="132">
        <f>ROUNDDOWN(AY375+(AY375*MASTER!$A$2/100),0)</f>
        <v>36288</v>
      </c>
      <c r="BA375" s="84" t="s">
        <v>287</v>
      </c>
      <c r="BB375" s="88">
        <v>22000</v>
      </c>
      <c r="BC375" s="88">
        <v>23760</v>
      </c>
      <c r="BD375" s="84" t="s">
        <v>190</v>
      </c>
      <c r="BG375" s="88">
        <v>0</v>
      </c>
      <c r="BK375" s="88">
        <v>0</v>
      </c>
      <c r="BS375" s="88">
        <v>0</v>
      </c>
      <c r="BV375" s="89">
        <v>37800</v>
      </c>
      <c r="BW375" s="89">
        <v>23760</v>
      </c>
      <c r="BX375" s="89">
        <v>43445</v>
      </c>
      <c r="BY375" s="89">
        <v>14040</v>
      </c>
      <c r="BZ375" s="112">
        <v>37.142857142857146</v>
      </c>
    </row>
    <row r="376" spans="1:89" x14ac:dyDescent="0.15">
      <c r="A376" s="84">
        <v>2</v>
      </c>
      <c r="B376" s="85">
        <v>43483</v>
      </c>
      <c r="C376" s="85">
        <v>43490</v>
      </c>
      <c r="D376" s="85" t="s">
        <v>374</v>
      </c>
      <c r="F376" s="85">
        <v>43497</v>
      </c>
      <c r="G376" s="85">
        <v>43489</v>
      </c>
      <c r="H376" s="85">
        <v>43493</v>
      </c>
      <c r="I376" s="84" t="s">
        <v>401</v>
      </c>
      <c r="J376" s="84">
        <v>1</v>
      </c>
      <c r="K376" s="85">
        <v>43472</v>
      </c>
      <c r="L376" s="84" t="s">
        <v>659</v>
      </c>
      <c r="M376" s="85">
        <v>43446</v>
      </c>
      <c r="N376" s="85" t="s">
        <v>265</v>
      </c>
      <c r="O376" s="86" t="s">
        <v>340</v>
      </c>
      <c r="P376" s="84" t="s">
        <v>26</v>
      </c>
      <c r="Q376" s="86" t="s">
        <v>127</v>
      </c>
      <c r="R376" s="86" t="s">
        <v>1459</v>
      </c>
      <c r="S376" s="87" t="s">
        <v>1426</v>
      </c>
      <c r="T376" s="87" t="s">
        <v>590</v>
      </c>
      <c r="U376" s="88">
        <v>23900</v>
      </c>
      <c r="V376" s="88">
        <v>25812</v>
      </c>
      <c r="W376" s="88">
        <v>14700</v>
      </c>
      <c r="X376" s="88">
        <v>15876</v>
      </c>
      <c r="Y376" s="88">
        <v>9200</v>
      </c>
      <c r="Z376" s="88">
        <v>9936</v>
      </c>
      <c r="AA376" s="85">
        <v>43489</v>
      </c>
      <c r="AB376" s="85">
        <v>43490</v>
      </c>
      <c r="AC376" s="85">
        <v>43490</v>
      </c>
      <c r="AD376" s="84">
        <v>0</v>
      </c>
      <c r="AG376" s="84">
        <v>0</v>
      </c>
      <c r="AJ376" s="84">
        <v>0</v>
      </c>
      <c r="AM376" s="84" t="s">
        <v>290</v>
      </c>
      <c r="AN376" s="84" t="s">
        <v>1460</v>
      </c>
      <c r="AR376" s="85">
        <v>43453</v>
      </c>
      <c r="AS376" s="84">
        <v>6001632069</v>
      </c>
      <c r="AT376" s="85">
        <v>43453</v>
      </c>
      <c r="AU376" s="84" t="s">
        <v>1349</v>
      </c>
      <c r="AV376" s="85">
        <v>43490</v>
      </c>
      <c r="AW376" s="123">
        <v>43496</v>
      </c>
      <c r="AX376" s="123">
        <v>43516</v>
      </c>
      <c r="AY376" s="132">
        <v>22944</v>
      </c>
      <c r="AZ376" s="132">
        <f>ROUNDDOWN(AY376+(AY376*MASTER!$A$2/100),0)</f>
        <v>24779</v>
      </c>
      <c r="BA376" s="84" t="s">
        <v>778</v>
      </c>
      <c r="BC376" s="88">
        <v>0</v>
      </c>
      <c r="BG376" s="88">
        <v>0</v>
      </c>
      <c r="BI376" s="84" t="s">
        <v>276</v>
      </c>
      <c r="BJ376" s="88">
        <v>5980</v>
      </c>
      <c r="BK376" s="88">
        <v>6458.4</v>
      </c>
      <c r="BL376" s="84" t="s">
        <v>1559</v>
      </c>
      <c r="BS376" s="88">
        <v>0</v>
      </c>
      <c r="BV376" s="89">
        <v>15876</v>
      </c>
      <c r="BW376" s="89">
        <v>6458.4</v>
      </c>
      <c r="BX376" s="89">
        <v>0</v>
      </c>
      <c r="BY376" s="89">
        <v>9417.6</v>
      </c>
      <c r="BZ376" s="112">
        <v>43472</v>
      </c>
      <c r="CD376" s="87" t="s">
        <v>1461</v>
      </c>
      <c r="CK376" s="88">
        <v>0</v>
      </c>
    </row>
    <row r="377" spans="1:89" x14ac:dyDescent="0.15">
      <c r="A377" s="84">
        <v>2</v>
      </c>
      <c r="C377" s="85" t="s">
        <v>338</v>
      </c>
      <c r="F377" s="85" t="s">
        <v>338</v>
      </c>
      <c r="H377" s="85" t="s">
        <v>338</v>
      </c>
      <c r="J377" s="84">
        <v>4</v>
      </c>
      <c r="L377" s="84">
        <v>0</v>
      </c>
      <c r="M377" s="85">
        <v>43446</v>
      </c>
      <c r="N377" s="85" t="s">
        <v>265</v>
      </c>
      <c r="O377" s="86" t="s">
        <v>340</v>
      </c>
      <c r="P377" s="84" t="s">
        <v>6</v>
      </c>
      <c r="Q377" s="86" t="s">
        <v>127</v>
      </c>
      <c r="R377" s="86" t="s">
        <v>1211</v>
      </c>
      <c r="S377" s="87" t="s">
        <v>1024</v>
      </c>
      <c r="T377" s="87" t="s">
        <v>1212</v>
      </c>
      <c r="U377" s="88">
        <v>0</v>
      </c>
      <c r="V377" s="88">
        <v>0</v>
      </c>
      <c r="W377" s="88">
        <v>0</v>
      </c>
      <c r="X377" s="88">
        <v>0</v>
      </c>
      <c r="Y377" s="88">
        <v>0</v>
      </c>
      <c r="Z377" s="88">
        <v>0</v>
      </c>
      <c r="AA377" s="85">
        <v>43419</v>
      </c>
      <c r="AB377" s="85">
        <v>43419</v>
      </c>
      <c r="AD377" s="84">
        <v>0</v>
      </c>
      <c r="AG377" s="84">
        <v>0</v>
      </c>
      <c r="AJ377" s="84">
        <v>0</v>
      </c>
      <c r="AN377" s="84" t="s">
        <v>338</v>
      </c>
      <c r="AY377" s="132">
        <v>0</v>
      </c>
      <c r="AZ377" s="132">
        <f>ROUNDDOWN(AY377+(AY377*MASTER!$A$2/100),0)</f>
        <v>0</v>
      </c>
      <c r="BA377" s="84" t="s">
        <v>287</v>
      </c>
      <c r="BB377" s="88">
        <v>21000</v>
      </c>
      <c r="BC377" s="88">
        <v>22680</v>
      </c>
      <c r="BD377" s="84" t="s">
        <v>190</v>
      </c>
      <c r="BG377" s="88">
        <v>0</v>
      </c>
      <c r="BK377" s="88">
        <v>0</v>
      </c>
      <c r="BS377" s="88">
        <v>0</v>
      </c>
      <c r="BV377" s="89">
        <v>0</v>
      </c>
      <c r="BW377" s="89">
        <v>22680</v>
      </c>
      <c r="BX377" s="89">
        <v>43446</v>
      </c>
      <c r="BY377" s="89">
        <v>-22680</v>
      </c>
      <c r="BZ377" s="112" t="s">
        <v>338</v>
      </c>
    </row>
    <row r="378" spans="1:89" x14ac:dyDescent="0.15">
      <c r="A378" s="84">
        <v>2</v>
      </c>
      <c r="C378" s="85" t="s">
        <v>338</v>
      </c>
      <c r="F378" s="85" t="s">
        <v>338</v>
      </c>
      <c r="H378" s="85" t="s">
        <v>338</v>
      </c>
      <c r="J378" s="84">
        <v>4</v>
      </c>
      <c r="L378" s="84">
        <v>0</v>
      </c>
      <c r="M378" s="85">
        <v>43446</v>
      </c>
      <c r="N378" s="85" t="s">
        <v>265</v>
      </c>
      <c r="O378" s="86" t="s">
        <v>340</v>
      </c>
      <c r="P378" s="84" t="s">
        <v>6</v>
      </c>
      <c r="Q378" s="86" t="s">
        <v>127</v>
      </c>
      <c r="R378" s="86" t="s">
        <v>1213</v>
      </c>
      <c r="S378" s="87" t="s">
        <v>1024</v>
      </c>
      <c r="T378" s="87" t="s">
        <v>1212</v>
      </c>
      <c r="U378" s="88">
        <v>0</v>
      </c>
      <c r="V378" s="88">
        <v>0</v>
      </c>
      <c r="W378" s="88">
        <v>0</v>
      </c>
      <c r="X378" s="88">
        <v>0</v>
      </c>
      <c r="Y378" s="88">
        <v>0</v>
      </c>
      <c r="Z378" s="88">
        <v>0</v>
      </c>
      <c r="AA378" s="85">
        <v>43433</v>
      </c>
      <c r="AB378" s="85">
        <v>43433</v>
      </c>
      <c r="AD378" s="84">
        <v>0</v>
      </c>
      <c r="AG378" s="84">
        <v>0</v>
      </c>
      <c r="AJ378" s="84">
        <v>0</v>
      </c>
      <c r="AN378" s="84" t="s">
        <v>338</v>
      </c>
      <c r="AY378" s="132">
        <v>0</v>
      </c>
      <c r="AZ378" s="132">
        <f>ROUNDDOWN(AY378+(AY378*MASTER!$A$2/100),0)</f>
        <v>0</v>
      </c>
      <c r="BA378" s="84" t="s">
        <v>287</v>
      </c>
      <c r="BB378" s="88">
        <v>21000</v>
      </c>
      <c r="BC378" s="88">
        <v>22680</v>
      </c>
      <c r="BD378" s="84" t="s">
        <v>190</v>
      </c>
      <c r="BG378" s="88">
        <v>0</v>
      </c>
      <c r="BK378" s="88">
        <v>0</v>
      </c>
      <c r="BS378" s="88">
        <v>0</v>
      </c>
      <c r="BV378" s="89">
        <v>0</v>
      </c>
      <c r="BW378" s="89">
        <v>22680</v>
      </c>
      <c r="BX378" s="89">
        <v>43446</v>
      </c>
      <c r="BY378" s="89">
        <v>-22680</v>
      </c>
      <c r="BZ378" s="112" t="s">
        <v>338</v>
      </c>
    </row>
    <row r="379" spans="1:89" x14ac:dyDescent="0.15">
      <c r="A379" s="84">
        <v>1</v>
      </c>
      <c r="B379" s="85">
        <v>43448</v>
      </c>
      <c r="C379" s="85">
        <v>43451</v>
      </c>
      <c r="F379" s="85" t="s">
        <v>338</v>
      </c>
      <c r="H379" s="85" t="s">
        <v>338</v>
      </c>
      <c r="J379" s="84">
        <v>2</v>
      </c>
      <c r="L379" s="84">
        <v>0</v>
      </c>
      <c r="M379" s="85">
        <v>43446</v>
      </c>
      <c r="N379" s="85" t="s">
        <v>265</v>
      </c>
      <c r="O379" s="86" t="s">
        <v>340</v>
      </c>
      <c r="P379" s="84" t="s">
        <v>78</v>
      </c>
      <c r="Q379" s="86" t="s">
        <v>127</v>
      </c>
      <c r="R379" s="86" t="s">
        <v>1243</v>
      </c>
      <c r="S379" s="87" t="s">
        <v>407</v>
      </c>
      <c r="T379" s="87" t="s">
        <v>408</v>
      </c>
      <c r="U379" s="88">
        <v>8300</v>
      </c>
      <c r="V379" s="88">
        <v>8964</v>
      </c>
      <c r="W379" s="88">
        <v>8300</v>
      </c>
      <c r="X379" s="88">
        <v>8964</v>
      </c>
      <c r="Z379" s="88">
        <v>0</v>
      </c>
      <c r="AD379" s="84">
        <v>0</v>
      </c>
      <c r="AG379" s="84">
        <v>0</v>
      </c>
      <c r="AJ379" s="84">
        <v>0</v>
      </c>
      <c r="AR379" s="85">
        <v>43446</v>
      </c>
      <c r="AS379" s="84">
        <v>6001629378</v>
      </c>
      <c r="AT379" s="85">
        <v>43447</v>
      </c>
      <c r="AU379" s="84" t="s">
        <v>1267</v>
      </c>
      <c r="AV379" s="85">
        <v>43451</v>
      </c>
      <c r="AW379" s="123">
        <v>43465</v>
      </c>
      <c r="AX379" s="123">
        <v>43485</v>
      </c>
      <c r="AY379" s="132">
        <v>7968</v>
      </c>
      <c r="AZ379" s="132">
        <f>ROUNDDOWN(AY379+(AY379*MASTER!$A$2/100),0)</f>
        <v>8605</v>
      </c>
      <c r="BC379" s="88">
        <v>0</v>
      </c>
      <c r="BG379" s="88">
        <v>0</v>
      </c>
      <c r="BK379" s="88">
        <v>0</v>
      </c>
      <c r="BS379" s="88">
        <v>0</v>
      </c>
      <c r="BV379" s="89">
        <v>8964</v>
      </c>
      <c r="BW379" s="89">
        <v>0</v>
      </c>
      <c r="BX379" s="89">
        <v>43446</v>
      </c>
      <c r="BY379" s="89">
        <v>8964</v>
      </c>
      <c r="BZ379" s="112">
        <v>100</v>
      </c>
      <c r="CK379" s="88">
        <v>0</v>
      </c>
    </row>
    <row r="380" spans="1:89" s="151" customFormat="1" x14ac:dyDescent="0.15">
      <c r="A380" s="141">
        <v>3</v>
      </c>
      <c r="B380" s="142"/>
      <c r="C380" s="142" t="s">
        <v>338</v>
      </c>
      <c r="D380" s="142"/>
      <c r="E380" s="142"/>
      <c r="F380" s="142" t="s">
        <v>338</v>
      </c>
      <c r="G380" s="142"/>
      <c r="H380" s="142" t="s">
        <v>338</v>
      </c>
      <c r="I380" s="141"/>
      <c r="J380" s="141">
        <v>2</v>
      </c>
      <c r="K380" s="142"/>
      <c r="L380" s="141">
        <v>0</v>
      </c>
      <c r="M380" s="142">
        <v>43446</v>
      </c>
      <c r="N380" s="142" t="s">
        <v>265</v>
      </c>
      <c r="O380" s="143" t="s">
        <v>340</v>
      </c>
      <c r="P380" s="141" t="s">
        <v>26</v>
      </c>
      <c r="Q380" s="143" t="s">
        <v>127</v>
      </c>
      <c r="R380" s="143" t="s">
        <v>1323</v>
      </c>
      <c r="S380" s="144" t="s">
        <v>1324</v>
      </c>
      <c r="T380" s="144" t="s">
        <v>1075</v>
      </c>
      <c r="U380" s="145">
        <v>81900</v>
      </c>
      <c r="V380" s="145">
        <v>88452</v>
      </c>
      <c r="W380" s="145">
        <v>81900</v>
      </c>
      <c r="X380" s="145">
        <v>88452</v>
      </c>
      <c r="Y380" s="145"/>
      <c r="Z380" s="145">
        <v>0</v>
      </c>
      <c r="AA380" s="142"/>
      <c r="AB380" s="142"/>
      <c r="AC380" s="142"/>
      <c r="AD380" s="141">
        <v>0</v>
      </c>
      <c r="AE380" s="141"/>
      <c r="AF380" s="141"/>
      <c r="AG380" s="141">
        <v>0</v>
      </c>
      <c r="AH380" s="141"/>
      <c r="AI380" s="141"/>
      <c r="AJ380" s="141">
        <v>0</v>
      </c>
      <c r="AK380" s="141"/>
      <c r="AL380" s="141"/>
      <c r="AM380" s="141" t="s">
        <v>290</v>
      </c>
      <c r="AN380" s="141" t="s">
        <v>1325</v>
      </c>
      <c r="AO380" s="142"/>
      <c r="AP380" s="141"/>
      <c r="AQ380" s="141"/>
      <c r="AR380" s="142"/>
      <c r="AS380" s="141"/>
      <c r="AT380" s="142"/>
      <c r="AU380" s="141"/>
      <c r="AV380" s="142"/>
      <c r="AW380" s="146"/>
      <c r="AX380" s="146"/>
      <c r="AY380" s="147">
        <v>78624</v>
      </c>
      <c r="AZ380" s="132">
        <f>ROUNDDOWN(AY380+(AY380*MASTER!$A$2/100),0)</f>
        <v>84913</v>
      </c>
      <c r="BA380" s="141"/>
      <c r="BB380" s="145"/>
      <c r="BC380" s="145">
        <v>0</v>
      </c>
      <c r="BD380" s="141"/>
      <c r="BE380" s="141"/>
      <c r="BF380" s="145"/>
      <c r="BG380" s="145">
        <v>0</v>
      </c>
      <c r="BH380" s="141"/>
      <c r="BI380" s="141"/>
      <c r="BJ380" s="145"/>
      <c r="BK380" s="145">
        <v>0</v>
      </c>
      <c r="BL380" s="141"/>
      <c r="BM380" s="145"/>
      <c r="BN380" s="145"/>
      <c r="BO380" s="145"/>
      <c r="BP380" s="145"/>
      <c r="BQ380" s="145"/>
      <c r="BR380" s="145"/>
      <c r="BS380" s="145">
        <v>0</v>
      </c>
      <c r="BT380" s="148"/>
      <c r="BU380" s="148"/>
      <c r="BV380" s="149">
        <v>88452</v>
      </c>
      <c r="BW380" s="149">
        <v>0</v>
      </c>
      <c r="BX380" s="149">
        <v>43446</v>
      </c>
      <c r="BY380" s="149">
        <v>88452</v>
      </c>
      <c r="BZ380" s="150">
        <v>100</v>
      </c>
      <c r="CA380" s="141"/>
      <c r="CB380" s="141"/>
      <c r="CC380" s="141"/>
      <c r="CD380" s="144" t="s">
        <v>1322</v>
      </c>
      <c r="CE380" s="142"/>
      <c r="CF380" s="142"/>
      <c r="CG380" s="142"/>
      <c r="CH380" s="142"/>
      <c r="CI380" s="142"/>
      <c r="CJ380" s="142"/>
      <c r="CK380" s="145">
        <v>0</v>
      </c>
    </row>
    <row r="381" spans="1:89" x14ac:dyDescent="0.15">
      <c r="A381" s="84">
        <v>2</v>
      </c>
      <c r="C381" s="85" t="s">
        <v>338</v>
      </c>
      <c r="F381" s="85" t="s">
        <v>338</v>
      </c>
      <c r="H381" s="85" t="s">
        <v>338</v>
      </c>
      <c r="J381" s="84">
        <v>4</v>
      </c>
      <c r="L381" s="84">
        <v>0</v>
      </c>
      <c r="M381" s="85">
        <v>43448</v>
      </c>
      <c r="N381" s="85" t="s">
        <v>265</v>
      </c>
      <c r="O381" s="86" t="s">
        <v>340</v>
      </c>
      <c r="P381" s="84" t="s">
        <v>6</v>
      </c>
      <c r="Q381" s="86" t="s">
        <v>127</v>
      </c>
      <c r="R381" s="86" t="s">
        <v>1259</v>
      </c>
      <c r="S381" s="87" t="s">
        <v>347</v>
      </c>
      <c r="T381" s="87" t="s">
        <v>342</v>
      </c>
      <c r="U381" s="88">
        <v>0</v>
      </c>
      <c r="V381" s="88">
        <v>0</v>
      </c>
      <c r="W381" s="88">
        <v>0</v>
      </c>
      <c r="X381" s="88">
        <v>0</v>
      </c>
      <c r="Y381" s="88">
        <v>0</v>
      </c>
      <c r="Z381" s="88">
        <v>0</v>
      </c>
      <c r="AA381" s="85">
        <v>43431</v>
      </c>
      <c r="AB381" s="85">
        <v>43431</v>
      </c>
      <c r="AD381" s="84">
        <v>0</v>
      </c>
      <c r="AG381" s="84">
        <v>0</v>
      </c>
      <c r="AJ381" s="84">
        <v>0</v>
      </c>
      <c r="AN381" s="84" t="s">
        <v>338</v>
      </c>
      <c r="AY381" s="132">
        <v>0</v>
      </c>
      <c r="AZ381" s="132">
        <f>ROUNDDOWN(AY381+(AY381*MASTER!$A$2/100),0)</f>
        <v>0</v>
      </c>
      <c r="BA381" s="84" t="s">
        <v>666</v>
      </c>
      <c r="BB381" s="88">
        <v>23000</v>
      </c>
      <c r="BC381" s="88">
        <v>24840</v>
      </c>
      <c r="BD381" s="84" t="s">
        <v>190</v>
      </c>
      <c r="BG381" s="88">
        <v>0</v>
      </c>
      <c r="BK381" s="88">
        <v>0</v>
      </c>
      <c r="BS381" s="88">
        <v>0</v>
      </c>
      <c r="BV381" s="89">
        <v>0</v>
      </c>
      <c r="BW381" s="89">
        <v>24840</v>
      </c>
      <c r="BX381" s="89">
        <v>43448</v>
      </c>
      <c r="BY381" s="89">
        <v>-24840</v>
      </c>
      <c r="BZ381" s="112" t="s">
        <v>338</v>
      </c>
    </row>
    <row r="382" spans="1:89" x14ac:dyDescent="0.15">
      <c r="A382" s="84">
        <v>1</v>
      </c>
      <c r="B382" s="85">
        <v>43453</v>
      </c>
      <c r="C382" s="85">
        <v>43454</v>
      </c>
      <c r="F382" s="85" t="s">
        <v>338</v>
      </c>
      <c r="H382" s="85" t="s">
        <v>338</v>
      </c>
      <c r="J382" s="84">
        <v>2</v>
      </c>
      <c r="L382" s="84">
        <v>0</v>
      </c>
      <c r="M382" s="85">
        <v>43448</v>
      </c>
      <c r="N382" s="85" t="s">
        <v>265</v>
      </c>
      <c r="O382" s="86" t="s">
        <v>340</v>
      </c>
      <c r="P382" s="84" t="s">
        <v>78</v>
      </c>
      <c r="Q382" s="86" t="s">
        <v>127</v>
      </c>
      <c r="R382" s="86" t="s">
        <v>1327</v>
      </c>
      <c r="S382" s="87" t="s">
        <v>407</v>
      </c>
      <c r="T382" s="87" t="s">
        <v>582</v>
      </c>
      <c r="U382" s="88">
        <v>5150</v>
      </c>
      <c r="V382" s="88">
        <v>5562</v>
      </c>
      <c r="W382" s="88">
        <v>5150</v>
      </c>
      <c r="X382" s="88">
        <v>5562</v>
      </c>
      <c r="Z382" s="88">
        <v>0</v>
      </c>
      <c r="AD382" s="84">
        <v>0</v>
      </c>
      <c r="AG382" s="84">
        <v>0</v>
      </c>
      <c r="AJ382" s="84">
        <v>0</v>
      </c>
      <c r="AR382" s="85">
        <v>43448</v>
      </c>
      <c r="AS382" s="84">
        <v>6001630321</v>
      </c>
      <c r="AT382" s="85">
        <v>43451</v>
      </c>
      <c r="AU382" s="84" t="s">
        <v>1342</v>
      </c>
      <c r="AV382" s="85">
        <v>43454</v>
      </c>
      <c r="AW382" s="123">
        <v>43465</v>
      </c>
      <c r="AX382" s="123">
        <v>43485</v>
      </c>
      <c r="AY382" s="132">
        <v>4944</v>
      </c>
      <c r="AZ382" s="132">
        <f>ROUNDDOWN(AY382+(AY382*MASTER!$A$2/100),0)</f>
        <v>5339</v>
      </c>
      <c r="BC382" s="88">
        <v>0</v>
      </c>
      <c r="BG382" s="88">
        <v>0</v>
      </c>
      <c r="BK382" s="88">
        <v>0</v>
      </c>
      <c r="BS382" s="88">
        <v>0</v>
      </c>
      <c r="BV382" s="89">
        <v>5562</v>
      </c>
      <c r="BW382" s="89">
        <v>0</v>
      </c>
      <c r="BX382" s="89">
        <v>43448</v>
      </c>
      <c r="BY382" s="89">
        <v>5562</v>
      </c>
      <c r="BZ382" s="112">
        <v>100</v>
      </c>
      <c r="CK382" s="88">
        <v>0</v>
      </c>
    </row>
    <row r="383" spans="1:89" x14ac:dyDescent="0.15">
      <c r="A383" s="84">
        <v>1</v>
      </c>
      <c r="C383" s="85" t="s">
        <v>338</v>
      </c>
      <c r="F383" s="85" t="s">
        <v>338</v>
      </c>
      <c r="H383" s="85" t="s">
        <v>338</v>
      </c>
      <c r="J383" s="84">
        <v>2</v>
      </c>
      <c r="L383" s="84">
        <v>0</v>
      </c>
      <c r="M383" s="85">
        <v>43449</v>
      </c>
      <c r="N383" s="85" t="s">
        <v>264</v>
      </c>
      <c r="O383" s="86" t="s">
        <v>340</v>
      </c>
      <c r="P383" s="84" t="s">
        <v>272</v>
      </c>
      <c r="Q383" s="86" t="s">
        <v>127</v>
      </c>
      <c r="R383" s="86" t="s">
        <v>1260</v>
      </c>
      <c r="S383" s="87" t="s">
        <v>387</v>
      </c>
      <c r="T383" s="87" t="s">
        <v>1266</v>
      </c>
      <c r="U383" s="88">
        <v>80000</v>
      </c>
      <c r="V383" s="88">
        <v>86400</v>
      </c>
      <c r="W383" s="88">
        <v>80000</v>
      </c>
      <c r="X383" s="88">
        <v>86400</v>
      </c>
      <c r="Z383" s="88">
        <v>0</v>
      </c>
      <c r="AD383" s="84">
        <v>0</v>
      </c>
      <c r="AG383" s="84">
        <v>0</v>
      </c>
      <c r="AJ383" s="84">
        <v>0</v>
      </c>
      <c r="AR383" s="85">
        <v>43496</v>
      </c>
      <c r="AS383" s="84">
        <v>6001642563</v>
      </c>
      <c r="AT383" s="85">
        <v>43500</v>
      </c>
      <c r="AU383" s="84" t="s">
        <v>1581</v>
      </c>
      <c r="AV383" s="85">
        <v>43504</v>
      </c>
      <c r="AW383" s="123">
        <v>43524</v>
      </c>
      <c r="AX383" s="123">
        <v>43544</v>
      </c>
      <c r="AY383" s="140">
        <v>80000</v>
      </c>
      <c r="AZ383" s="132">
        <f>ROUNDDOWN(AY383+(AY383*MASTER!$A$2/100),0)</f>
        <v>86400</v>
      </c>
      <c r="BC383" s="88">
        <v>0</v>
      </c>
      <c r="BG383" s="88">
        <v>0</v>
      </c>
      <c r="BK383" s="88">
        <v>0</v>
      </c>
      <c r="BS383" s="88">
        <v>0</v>
      </c>
      <c r="BV383" s="89">
        <v>86400</v>
      </c>
      <c r="BW383" s="89">
        <v>0</v>
      </c>
      <c r="BX383" s="89">
        <v>43449</v>
      </c>
      <c r="BY383" s="89">
        <v>86400</v>
      </c>
      <c r="BZ383" s="112">
        <v>100</v>
      </c>
    </row>
    <row r="384" spans="1:89" x14ac:dyDescent="0.15">
      <c r="A384" s="84">
        <v>2</v>
      </c>
      <c r="B384" s="85">
        <v>43454</v>
      </c>
      <c r="C384" s="85">
        <v>43462</v>
      </c>
      <c r="D384" s="85">
        <v>43487</v>
      </c>
      <c r="F384" s="85" t="s">
        <v>338</v>
      </c>
      <c r="G384" s="85">
        <v>43472</v>
      </c>
      <c r="H384" s="85" t="s">
        <v>338</v>
      </c>
      <c r="I384" s="84" t="s">
        <v>1191</v>
      </c>
      <c r="J384" s="84">
        <v>2</v>
      </c>
      <c r="L384" s="84">
        <v>0</v>
      </c>
      <c r="M384" s="85">
        <v>43451</v>
      </c>
      <c r="N384" s="85" t="s">
        <v>265</v>
      </c>
      <c r="O384" s="86" t="s">
        <v>340</v>
      </c>
      <c r="P384" s="84" t="s">
        <v>26</v>
      </c>
      <c r="Q384" s="86" t="s">
        <v>127</v>
      </c>
      <c r="R384" s="86" t="s">
        <v>1263</v>
      </c>
      <c r="S384" s="87" t="s">
        <v>1264</v>
      </c>
      <c r="T384" s="87" t="s">
        <v>1075</v>
      </c>
      <c r="U384" s="88">
        <v>118400</v>
      </c>
      <c r="V384" s="88">
        <v>127872</v>
      </c>
      <c r="W384" s="88">
        <v>118400</v>
      </c>
      <c r="X384" s="88">
        <v>127872</v>
      </c>
      <c r="Z384" s="88">
        <v>0</v>
      </c>
      <c r="AA384" s="85">
        <v>43461</v>
      </c>
      <c r="AB384" s="85">
        <v>43462</v>
      </c>
      <c r="AD384" s="84">
        <v>0</v>
      </c>
      <c r="AG384" s="84">
        <v>0</v>
      </c>
      <c r="AJ384" s="84">
        <v>0</v>
      </c>
      <c r="AM384" s="84" t="s">
        <v>290</v>
      </c>
      <c r="AN384" s="84" t="s">
        <v>1265</v>
      </c>
      <c r="AR384" s="85">
        <v>43453</v>
      </c>
      <c r="AS384" s="84">
        <v>6001632073</v>
      </c>
      <c r="AT384" s="85">
        <v>43453</v>
      </c>
      <c r="AU384" s="84" t="s">
        <v>1350</v>
      </c>
      <c r="AV384" s="85">
        <v>43462</v>
      </c>
      <c r="AW384" s="123">
        <v>43465</v>
      </c>
      <c r="AX384" s="123">
        <v>43485</v>
      </c>
      <c r="AY384" s="132">
        <v>113664</v>
      </c>
      <c r="AZ384" s="132">
        <f>ROUNDDOWN(AY384+(AY384*MASTER!$A$2/100),0)</f>
        <v>122757</v>
      </c>
      <c r="BA384" s="84" t="s">
        <v>543</v>
      </c>
      <c r="BB384" s="88">
        <v>65000</v>
      </c>
      <c r="BC384" s="88">
        <v>70200</v>
      </c>
      <c r="BD384" s="84" t="s">
        <v>1138</v>
      </c>
      <c r="BG384" s="88">
        <v>0</v>
      </c>
      <c r="BK384" s="88">
        <v>0</v>
      </c>
      <c r="BS384" s="88">
        <v>0</v>
      </c>
      <c r="BV384" s="89">
        <v>127872</v>
      </c>
      <c r="BW384" s="89">
        <v>70200</v>
      </c>
      <c r="BX384" s="89">
        <v>43451</v>
      </c>
      <c r="BY384" s="89">
        <v>57672</v>
      </c>
      <c r="BZ384" s="112">
        <v>45.101351351351347</v>
      </c>
      <c r="CK384" s="88">
        <v>0</v>
      </c>
    </row>
    <row r="385" spans="1:89" x14ac:dyDescent="0.15">
      <c r="A385" s="84">
        <v>1</v>
      </c>
      <c r="B385" s="85">
        <v>43453</v>
      </c>
      <c r="C385" s="85">
        <v>43472</v>
      </c>
      <c r="F385" s="85" t="s">
        <v>338</v>
      </c>
      <c r="H385" s="85" t="s">
        <v>338</v>
      </c>
      <c r="J385" s="84">
        <v>2</v>
      </c>
      <c r="L385" s="84">
        <v>0</v>
      </c>
      <c r="M385" s="85">
        <v>43451</v>
      </c>
      <c r="N385" s="85" t="s">
        <v>265</v>
      </c>
      <c r="O385" s="86" t="s">
        <v>340</v>
      </c>
      <c r="P385" s="84" t="s">
        <v>78</v>
      </c>
      <c r="Q385" s="86" t="s">
        <v>127</v>
      </c>
      <c r="R385" s="86" t="s">
        <v>1326</v>
      </c>
      <c r="S385" s="87" t="s">
        <v>407</v>
      </c>
      <c r="T385" s="87" t="s">
        <v>408</v>
      </c>
      <c r="U385" s="88">
        <v>8300</v>
      </c>
      <c r="V385" s="88">
        <v>8964</v>
      </c>
      <c r="W385" s="88">
        <v>8300</v>
      </c>
      <c r="X385" s="88">
        <v>8964</v>
      </c>
      <c r="Z385" s="88">
        <v>0</v>
      </c>
      <c r="AD385" s="84">
        <v>0</v>
      </c>
      <c r="AG385" s="84">
        <v>0</v>
      </c>
      <c r="AJ385" s="84">
        <v>0</v>
      </c>
      <c r="AR385" s="85">
        <v>43451</v>
      </c>
      <c r="AS385" s="84">
        <v>6001630803</v>
      </c>
      <c r="AT385" s="85">
        <v>43451</v>
      </c>
      <c r="AU385" s="84" t="s">
        <v>1343</v>
      </c>
      <c r="AV385" s="85">
        <v>43472</v>
      </c>
      <c r="AW385" s="123">
        <v>43465</v>
      </c>
      <c r="AX385" s="123">
        <v>43485</v>
      </c>
      <c r="AY385" s="132">
        <v>7968</v>
      </c>
      <c r="AZ385" s="132">
        <f>ROUNDDOWN(AY385+(AY385*MASTER!$A$2/100),0)</f>
        <v>8605</v>
      </c>
      <c r="BC385" s="88">
        <v>0</v>
      </c>
      <c r="BG385" s="88">
        <v>0</v>
      </c>
      <c r="BK385" s="88">
        <v>0</v>
      </c>
      <c r="BS385" s="88">
        <v>0</v>
      </c>
      <c r="BV385" s="89">
        <v>8964</v>
      </c>
      <c r="BW385" s="89">
        <v>0</v>
      </c>
      <c r="BX385" s="89">
        <v>43451</v>
      </c>
      <c r="BY385" s="89">
        <v>8964</v>
      </c>
      <c r="BZ385" s="112">
        <v>100</v>
      </c>
      <c r="CK385" s="88">
        <v>0</v>
      </c>
    </row>
    <row r="386" spans="1:89" x14ac:dyDescent="0.15">
      <c r="A386" s="84">
        <v>2</v>
      </c>
      <c r="B386" s="85">
        <v>43460</v>
      </c>
      <c r="C386" s="85">
        <v>43473</v>
      </c>
      <c r="D386" s="85">
        <v>43481</v>
      </c>
      <c r="E386" s="85">
        <v>43481</v>
      </c>
      <c r="F386" s="85" t="s">
        <v>338</v>
      </c>
      <c r="G386" s="85">
        <v>43481</v>
      </c>
      <c r="H386" s="85" t="s">
        <v>338</v>
      </c>
      <c r="I386" s="84" t="s">
        <v>380</v>
      </c>
      <c r="J386" s="84">
        <v>2</v>
      </c>
      <c r="L386" s="84">
        <v>0</v>
      </c>
      <c r="M386" s="85">
        <v>43451</v>
      </c>
      <c r="N386" s="85" t="s">
        <v>265</v>
      </c>
      <c r="O386" s="86" t="s">
        <v>340</v>
      </c>
      <c r="P386" s="84" t="s">
        <v>6</v>
      </c>
      <c r="Q386" s="86" t="s">
        <v>127</v>
      </c>
      <c r="R386" s="86" t="s">
        <v>1328</v>
      </c>
      <c r="S386" s="87" t="s">
        <v>1329</v>
      </c>
      <c r="T386" s="87" t="s">
        <v>342</v>
      </c>
      <c r="U386" s="88">
        <v>35000</v>
      </c>
      <c r="V386" s="88">
        <v>37800</v>
      </c>
      <c r="W386" s="88">
        <v>35000</v>
      </c>
      <c r="X386" s="88">
        <v>37800</v>
      </c>
      <c r="Z386" s="88">
        <v>0</v>
      </c>
      <c r="AA386" s="85">
        <v>43460</v>
      </c>
      <c r="AB386" s="85">
        <v>43473</v>
      </c>
      <c r="AD386" s="84">
        <v>0</v>
      </c>
      <c r="AG386" s="84">
        <v>0</v>
      </c>
      <c r="AJ386" s="84">
        <v>0</v>
      </c>
      <c r="AR386" s="85">
        <v>43459</v>
      </c>
      <c r="AS386" s="84">
        <v>6001633405</v>
      </c>
      <c r="AT386" s="85">
        <v>43459</v>
      </c>
      <c r="AU386" s="84" t="s">
        <v>1407</v>
      </c>
      <c r="AV386" s="85">
        <v>43473</v>
      </c>
      <c r="AW386" s="123">
        <v>43496</v>
      </c>
      <c r="AX386" s="123">
        <v>43516</v>
      </c>
      <c r="AY386" s="132">
        <v>33600</v>
      </c>
      <c r="AZ386" s="132">
        <f>ROUNDDOWN(AY386+(AY386*MASTER!$A$2/100),0)</f>
        <v>36288</v>
      </c>
      <c r="BA386" s="84" t="s">
        <v>286</v>
      </c>
      <c r="BB386" s="88">
        <v>30000</v>
      </c>
      <c r="BC386" s="88">
        <v>32400</v>
      </c>
      <c r="BD386" s="84" t="s">
        <v>1138</v>
      </c>
      <c r="BG386" s="88">
        <v>0</v>
      </c>
      <c r="BK386" s="88">
        <v>0</v>
      </c>
      <c r="BS386" s="88">
        <v>0</v>
      </c>
      <c r="BV386" s="89">
        <v>37800</v>
      </c>
      <c r="BW386" s="89">
        <v>32400</v>
      </c>
      <c r="BX386" s="89">
        <v>43451</v>
      </c>
      <c r="BY386" s="89">
        <v>5400</v>
      </c>
      <c r="BZ386" s="112">
        <v>14.285714285714285</v>
      </c>
    </row>
    <row r="387" spans="1:89" x14ac:dyDescent="0.15">
      <c r="A387" s="84">
        <v>2</v>
      </c>
      <c r="B387" s="85">
        <v>43474</v>
      </c>
      <c r="C387" s="85">
        <v>43486</v>
      </c>
      <c r="D387" s="85" t="s">
        <v>374</v>
      </c>
      <c r="F387" s="85">
        <v>43493</v>
      </c>
      <c r="G387" s="85">
        <v>43488</v>
      </c>
      <c r="H387" s="85">
        <v>43489</v>
      </c>
      <c r="I387" s="84" t="s">
        <v>401</v>
      </c>
      <c r="J387" s="84">
        <v>1</v>
      </c>
      <c r="L387" s="84">
        <v>0</v>
      </c>
      <c r="M387" s="85">
        <v>43452</v>
      </c>
      <c r="N387" s="85" t="s">
        <v>265</v>
      </c>
      <c r="O387" s="86" t="s">
        <v>340</v>
      </c>
      <c r="P387" s="84" t="s">
        <v>26</v>
      </c>
      <c r="Q387" s="86" t="s">
        <v>127</v>
      </c>
      <c r="R387" s="86" t="s">
        <v>1330</v>
      </c>
      <c r="S387" s="87" t="s">
        <v>555</v>
      </c>
      <c r="T387" s="87" t="s">
        <v>1331</v>
      </c>
      <c r="U387" s="88">
        <v>23900</v>
      </c>
      <c r="V387" s="88">
        <v>25812</v>
      </c>
      <c r="W387" s="88">
        <v>14700</v>
      </c>
      <c r="X387" s="88">
        <v>15876</v>
      </c>
      <c r="Y387" s="88">
        <v>9200</v>
      </c>
      <c r="Z387" s="88">
        <v>9936</v>
      </c>
      <c r="AA387" s="85">
        <v>43485</v>
      </c>
      <c r="AB387" s="85">
        <v>43486</v>
      </c>
      <c r="AC387" s="85">
        <v>43486</v>
      </c>
      <c r="AD387" s="84">
        <v>0</v>
      </c>
      <c r="AG387" s="84">
        <v>0</v>
      </c>
      <c r="AJ387" s="84">
        <v>0</v>
      </c>
      <c r="AM387" s="84" t="s">
        <v>290</v>
      </c>
      <c r="AN387" s="84" t="s">
        <v>1332</v>
      </c>
      <c r="AR387" s="85">
        <v>43460</v>
      </c>
      <c r="AS387" s="84">
        <v>6001633728</v>
      </c>
      <c r="AT387" s="85">
        <v>43461</v>
      </c>
      <c r="AU387" s="84" t="s">
        <v>1418</v>
      </c>
      <c r="AV387" s="85">
        <v>43486</v>
      </c>
      <c r="AW387" s="123">
        <v>43496</v>
      </c>
      <c r="AX387" s="123">
        <v>43516</v>
      </c>
      <c r="AY387" s="132">
        <v>22944</v>
      </c>
      <c r="AZ387" s="132">
        <f>ROUNDDOWN(AY387+(AY387*MASTER!$A$2/100),0)</f>
        <v>24779</v>
      </c>
      <c r="BA387" s="84" t="s">
        <v>778</v>
      </c>
      <c r="BC387" s="88">
        <v>0</v>
      </c>
      <c r="BG387" s="88">
        <v>0</v>
      </c>
      <c r="BI387" s="84" t="s">
        <v>276</v>
      </c>
      <c r="BJ387" s="88">
        <v>5980</v>
      </c>
      <c r="BK387" s="88">
        <v>6458.4</v>
      </c>
      <c r="BL387" s="84" t="s">
        <v>1559</v>
      </c>
      <c r="BS387" s="88">
        <v>0</v>
      </c>
      <c r="BV387" s="89">
        <v>15876</v>
      </c>
      <c r="BW387" s="89">
        <v>6458.4</v>
      </c>
      <c r="BX387" s="89">
        <v>43452</v>
      </c>
      <c r="BY387" s="89">
        <v>9417.6</v>
      </c>
      <c r="BZ387" s="112">
        <v>59.319727891156461</v>
      </c>
      <c r="CK387" s="88">
        <v>0</v>
      </c>
    </row>
    <row r="388" spans="1:89" s="151" customFormat="1" x14ac:dyDescent="0.15">
      <c r="A388" s="141">
        <v>3</v>
      </c>
      <c r="B388" s="142"/>
      <c r="C388" s="142" t="s">
        <v>338</v>
      </c>
      <c r="D388" s="142"/>
      <c r="E388" s="142"/>
      <c r="F388" s="142" t="s">
        <v>338</v>
      </c>
      <c r="G388" s="142"/>
      <c r="H388" s="142" t="s">
        <v>338</v>
      </c>
      <c r="I388" s="141"/>
      <c r="J388" s="141">
        <v>1</v>
      </c>
      <c r="K388" s="142"/>
      <c r="L388" s="141">
        <v>0</v>
      </c>
      <c r="M388" s="142">
        <v>43452</v>
      </c>
      <c r="N388" s="142" t="s">
        <v>265</v>
      </c>
      <c r="O388" s="143" t="s">
        <v>340</v>
      </c>
      <c r="P388" s="141" t="s">
        <v>26</v>
      </c>
      <c r="Q388" s="143" t="s">
        <v>127</v>
      </c>
      <c r="R388" s="143" t="s">
        <v>1582</v>
      </c>
      <c r="S388" s="144" t="s">
        <v>571</v>
      </c>
      <c r="T388" s="144" t="s">
        <v>1583</v>
      </c>
      <c r="U388" s="145">
        <v>65300</v>
      </c>
      <c r="V388" s="145">
        <v>70524</v>
      </c>
      <c r="W388" s="145">
        <v>53300</v>
      </c>
      <c r="X388" s="145">
        <v>57564</v>
      </c>
      <c r="Y388" s="145">
        <v>12000</v>
      </c>
      <c r="Z388" s="145">
        <v>12960</v>
      </c>
      <c r="AA388" s="142"/>
      <c r="AB388" s="142"/>
      <c r="AC388" s="142"/>
      <c r="AD388" s="141">
        <v>0</v>
      </c>
      <c r="AE388" s="141"/>
      <c r="AF388" s="141"/>
      <c r="AG388" s="141">
        <v>0</v>
      </c>
      <c r="AH388" s="141"/>
      <c r="AI388" s="141"/>
      <c r="AJ388" s="141">
        <v>0</v>
      </c>
      <c r="AK388" s="141"/>
      <c r="AL388" s="141"/>
      <c r="AM388" s="141" t="s">
        <v>290</v>
      </c>
      <c r="AN388" s="141" t="s">
        <v>1584</v>
      </c>
      <c r="AO388" s="142"/>
      <c r="AP388" s="141"/>
      <c r="AQ388" s="141"/>
      <c r="AR388" s="142"/>
      <c r="AS388" s="141"/>
      <c r="AT388" s="142"/>
      <c r="AU388" s="141"/>
      <c r="AV388" s="142"/>
      <c r="AW388" s="146"/>
      <c r="AX388" s="146"/>
      <c r="AY388" s="147">
        <v>62688</v>
      </c>
      <c r="AZ388" s="132">
        <f>ROUNDDOWN(AY388+(AY388*MASTER!$A$2/100),0)</f>
        <v>67703</v>
      </c>
      <c r="BA388" s="141"/>
      <c r="BB388" s="145"/>
      <c r="BC388" s="145">
        <v>0</v>
      </c>
      <c r="BD388" s="141"/>
      <c r="BE388" s="141"/>
      <c r="BF388" s="145"/>
      <c r="BG388" s="145">
        <v>0</v>
      </c>
      <c r="BH388" s="141"/>
      <c r="BI388" s="141"/>
      <c r="BJ388" s="145"/>
      <c r="BK388" s="145">
        <v>0</v>
      </c>
      <c r="BL388" s="141"/>
      <c r="BM388" s="145"/>
      <c r="BN388" s="145"/>
      <c r="BO388" s="145"/>
      <c r="BP388" s="145"/>
      <c r="BQ388" s="145"/>
      <c r="BR388" s="145"/>
      <c r="BS388" s="145">
        <v>0</v>
      </c>
      <c r="BT388" s="148"/>
      <c r="BU388" s="148"/>
      <c r="BV388" s="149">
        <v>57564</v>
      </c>
      <c r="BW388" s="149">
        <v>0</v>
      </c>
      <c r="BX388" s="149">
        <v>43452</v>
      </c>
      <c r="BY388" s="149">
        <v>57564</v>
      </c>
      <c r="BZ388" s="150">
        <v>100</v>
      </c>
      <c r="CA388" s="141"/>
      <c r="CB388" s="141"/>
      <c r="CC388" s="141"/>
      <c r="CD388" s="144" t="s">
        <v>1585</v>
      </c>
      <c r="CE388" s="142"/>
      <c r="CF388" s="142"/>
      <c r="CG388" s="142"/>
      <c r="CH388" s="142"/>
      <c r="CI388" s="142"/>
      <c r="CJ388" s="142"/>
      <c r="CK388" s="145">
        <v>6300</v>
      </c>
    </row>
    <row r="389" spans="1:89" x14ac:dyDescent="0.15">
      <c r="A389" s="84">
        <v>1</v>
      </c>
      <c r="B389" s="85">
        <v>43453</v>
      </c>
      <c r="C389" s="85">
        <v>43454</v>
      </c>
      <c r="F389" s="85" t="s">
        <v>338</v>
      </c>
      <c r="H389" s="85" t="s">
        <v>338</v>
      </c>
      <c r="J389" s="84">
        <v>2</v>
      </c>
      <c r="L389" s="84">
        <v>0</v>
      </c>
      <c r="M389" s="85">
        <v>43452</v>
      </c>
      <c r="N389" s="85" t="s">
        <v>265</v>
      </c>
      <c r="O389" s="86" t="s">
        <v>340</v>
      </c>
      <c r="P389" s="84" t="s">
        <v>272</v>
      </c>
      <c r="Q389" s="86" t="s">
        <v>127</v>
      </c>
      <c r="R389" s="86" t="s">
        <v>1333</v>
      </c>
      <c r="S389" s="87" t="s">
        <v>1340</v>
      </c>
      <c r="T389" s="87" t="s">
        <v>931</v>
      </c>
      <c r="U389" s="88">
        <v>4200</v>
      </c>
      <c r="V389" s="88">
        <v>4536</v>
      </c>
      <c r="W389" s="88">
        <v>4200</v>
      </c>
      <c r="X389" s="88">
        <v>4536</v>
      </c>
      <c r="Z389" s="88">
        <v>0</v>
      </c>
      <c r="AD389" s="84">
        <v>0</v>
      </c>
      <c r="AG389" s="84">
        <v>0</v>
      </c>
      <c r="AJ389" s="84">
        <v>0</v>
      </c>
      <c r="AR389" s="85">
        <v>43452</v>
      </c>
      <c r="AS389" s="84">
        <v>6001631410</v>
      </c>
      <c r="AT389" s="85">
        <v>43452</v>
      </c>
      <c r="AU389" s="84" t="s">
        <v>1336</v>
      </c>
      <c r="AV389" s="85">
        <v>43454</v>
      </c>
      <c r="AW389" s="123">
        <v>43465</v>
      </c>
      <c r="AX389" s="123">
        <v>43485</v>
      </c>
      <c r="AY389" s="132">
        <v>4032</v>
      </c>
      <c r="AZ389" s="132">
        <f>ROUNDDOWN(AY389+(AY389*MASTER!$A$2/100),0)</f>
        <v>4354</v>
      </c>
      <c r="BC389" s="88">
        <v>0</v>
      </c>
      <c r="BG389" s="88">
        <v>0</v>
      </c>
      <c r="BK389" s="88">
        <v>0</v>
      </c>
      <c r="BS389" s="88">
        <v>0</v>
      </c>
      <c r="BV389" s="89">
        <v>4536</v>
      </c>
      <c r="BW389" s="89">
        <v>0</v>
      </c>
      <c r="BX389" s="89">
        <v>43452</v>
      </c>
      <c r="BY389" s="89">
        <v>4536</v>
      </c>
      <c r="BZ389" s="112">
        <v>100</v>
      </c>
      <c r="CD389" s="87" t="s">
        <v>1341</v>
      </c>
      <c r="CK389" s="88">
        <v>0</v>
      </c>
    </row>
    <row r="390" spans="1:89" x14ac:dyDescent="0.15">
      <c r="A390" s="84">
        <v>1</v>
      </c>
      <c r="B390" s="85">
        <v>43482</v>
      </c>
      <c r="C390" s="85">
        <v>43482</v>
      </c>
      <c r="F390" s="85" t="s">
        <v>338</v>
      </c>
      <c r="H390" s="85" t="s">
        <v>338</v>
      </c>
      <c r="J390" s="84">
        <v>2</v>
      </c>
      <c r="L390" s="84">
        <v>0</v>
      </c>
      <c r="M390" s="85">
        <v>43452</v>
      </c>
      <c r="N390" s="85" t="s">
        <v>265</v>
      </c>
      <c r="O390" s="86" t="s">
        <v>340</v>
      </c>
      <c r="P390" s="84" t="s">
        <v>78</v>
      </c>
      <c r="Q390" s="86" t="s">
        <v>127</v>
      </c>
      <c r="R390" s="86" t="s">
        <v>1334</v>
      </c>
      <c r="S390" s="87" t="s">
        <v>407</v>
      </c>
      <c r="T390" s="87" t="s">
        <v>408</v>
      </c>
      <c r="U390" s="88">
        <v>8300</v>
      </c>
      <c r="V390" s="88">
        <v>8964</v>
      </c>
      <c r="W390" s="88">
        <v>8300</v>
      </c>
      <c r="X390" s="88">
        <v>8964</v>
      </c>
      <c r="Z390" s="88">
        <v>0</v>
      </c>
      <c r="AD390" s="84">
        <v>0</v>
      </c>
      <c r="AG390" s="84">
        <v>0</v>
      </c>
      <c r="AJ390" s="84">
        <v>0</v>
      </c>
      <c r="AR390" s="85">
        <v>43452</v>
      </c>
      <c r="AS390" s="84">
        <v>6001631410</v>
      </c>
      <c r="AT390" s="85">
        <v>43452</v>
      </c>
      <c r="AU390" s="84" t="s">
        <v>1336</v>
      </c>
      <c r="AV390" s="85">
        <v>43482</v>
      </c>
      <c r="AW390" s="123">
        <v>43496</v>
      </c>
      <c r="AX390" s="123">
        <v>43516</v>
      </c>
      <c r="AY390" s="132">
        <v>7968</v>
      </c>
      <c r="AZ390" s="132">
        <f>ROUNDDOWN(AY390+(AY390*MASTER!$A$2/100),0)</f>
        <v>8605</v>
      </c>
      <c r="BC390" s="88">
        <v>0</v>
      </c>
      <c r="BG390" s="88">
        <v>0</v>
      </c>
      <c r="BK390" s="88">
        <v>0</v>
      </c>
      <c r="BS390" s="88">
        <v>0</v>
      </c>
      <c r="BV390" s="89">
        <v>8964</v>
      </c>
      <c r="BW390" s="89">
        <v>0</v>
      </c>
      <c r="BX390" s="89">
        <v>43452</v>
      </c>
      <c r="BY390" s="89">
        <v>8964</v>
      </c>
      <c r="BZ390" s="112">
        <v>100</v>
      </c>
      <c r="CK390" s="88">
        <v>0</v>
      </c>
    </row>
    <row r="391" spans="1:89" x14ac:dyDescent="0.15">
      <c r="A391" s="84">
        <v>1</v>
      </c>
      <c r="B391" s="85">
        <v>43453</v>
      </c>
      <c r="C391" s="85">
        <v>43458</v>
      </c>
      <c r="F391" s="85" t="s">
        <v>338</v>
      </c>
      <c r="H391" s="85" t="s">
        <v>338</v>
      </c>
      <c r="J391" s="84">
        <v>2</v>
      </c>
      <c r="L391" s="84">
        <v>0</v>
      </c>
      <c r="M391" s="85">
        <v>43452</v>
      </c>
      <c r="N391" s="85" t="s">
        <v>265</v>
      </c>
      <c r="O391" s="86" t="s">
        <v>340</v>
      </c>
      <c r="P391" s="84" t="s">
        <v>78</v>
      </c>
      <c r="Q391" s="86" t="s">
        <v>127</v>
      </c>
      <c r="R391" s="86" t="s">
        <v>1335</v>
      </c>
      <c r="S391" s="87" t="s">
        <v>407</v>
      </c>
      <c r="T391" s="87" t="s">
        <v>582</v>
      </c>
      <c r="U391" s="88">
        <v>5150</v>
      </c>
      <c r="V391" s="88">
        <v>5562</v>
      </c>
      <c r="W391" s="88">
        <v>5150</v>
      </c>
      <c r="X391" s="88">
        <v>5562</v>
      </c>
      <c r="Z391" s="88">
        <v>0</v>
      </c>
      <c r="AD391" s="84">
        <v>0</v>
      </c>
      <c r="AG391" s="84">
        <v>0</v>
      </c>
      <c r="AJ391" s="84">
        <v>0</v>
      </c>
      <c r="AR391" s="85">
        <v>43452</v>
      </c>
      <c r="AS391" s="84">
        <v>6001631410</v>
      </c>
      <c r="AT391" s="85">
        <v>43452</v>
      </c>
      <c r="AU391" s="84" t="s">
        <v>1336</v>
      </c>
      <c r="AV391" s="85">
        <v>43458</v>
      </c>
      <c r="AW391" s="123">
        <v>43465</v>
      </c>
      <c r="AX391" s="123">
        <v>43485</v>
      </c>
      <c r="AY391" s="132">
        <f>ROUNDDOWN((0.96*U391),0)</f>
        <v>4944</v>
      </c>
      <c r="AZ391" s="132">
        <f>ROUNDDOWN(AY391+(AY391*MASTER!$A$2/100),0)</f>
        <v>5339</v>
      </c>
      <c r="BC391" s="88">
        <v>0</v>
      </c>
      <c r="BG391" s="88">
        <v>0</v>
      </c>
      <c r="BK391" s="88">
        <v>0</v>
      </c>
      <c r="BS391" s="88">
        <v>0</v>
      </c>
      <c r="BV391" s="89">
        <v>5562</v>
      </c>
      <c r="BW391" s="89">
        <v>0</v>
      </c>
      <c r="BX391" s="89">
        <v>43452</v>
      </c>
      <c r="BY391" s="89">
        <v>5562</v>
      </c>
      <c r="BZ391" s="112">
        <v>100</v>
      </c>
      <c r="CK391" s="88">
        <v>0</v>
      </c>
    </row>
    <row r="392" spans="1:89" s="151" customFormat="1" x14ac:dyDescent="0.15">
      <c r="A392" s="141">
        <v>3</v>
      </c>
      <c r="B392" s="142"/>
      <c r="C392" s="142" t="s">
        <v>338</v>
      </c>
      <c r="D392" s="142"/>
      <c r="E392" s="142"/>
      <c r="F392" s="142" t="s">
        <v>338</v>
      </c>
      <c r="G392" s="142"/>
      <c r="H392" s="142" t="s">
        <v>338</v>
      </c>
      <c r="I392" s="141"/>
      <c r="J392" s="141">
        <v>2</v>
      </c>
      <c r="K392" s="142"/>
      <c r="L392" s="141">
        <v>0</v>
      </c>
      <c r="M392" s="142">
        <v>43452</v>
      </c>
      <c r="N392" s="142" t="s">
        <v>265</v>
      </c>
      <c r="O392" s="143" t="s">
        <v>340</v>
      </c>
      <c r="P392" s="141" t="s">
        <v>6</v>
      </c>
      <c r="Q392" s="143" t="s">
        <v>127</v>
      </c>
      <c r="R392" s="143" t="s">
        <v>1339</v>
      </c>
      <c r="S392" s="144" t="s">
        <v>384</v>
      </c>
      <c r="T392" s="144" t="s">
        <v>342</v>
      </c>
      <c r="U392" s="145">
        <v>35000</v>
      </c>
      <c r="V392" s="145">
        <v>37800</v>
      </c>
      <c r="W392" s="145">
        <v>35000</v>
      </c>
      <c r="X392" s="145">
        <v>37800</v>
      </c>
      <c r="Y392" s="145"/>
      <c r="Z392" s="145">
        <v>0</v>
      </c>
      <c r="AA392" s="142">
        <v>43452</v>
      </c>
      <c r="AB392" s="142"/>
      <c r="AC392" s="142"/>
      <c r="AD392" s="141">
        <v>0</v>
      </c>
      <c r="AE392" s="141"/>
      <c r="AF392" s="141"/>
      <c r="AG392" s="141">
        <v>0</v>
      </c>
      <c r="AH392" s="141"/>
      <c r="AI392" s="141"/>
      <c r="AJ392" s="141">
        <v>0</v>
      </c>
      <c r="AK392" s="141"/>
      <c r="AL392" s="141"/>
      <c r="AM392" s="141"/>
      <c r="AN392" s="141"/>
      <c r="AO392" s="142"/>
      <c r="AP392" s="141"/>
      <c r="AQ392" s="141"/>
      <c r="AR392" s="142"/>
      <c r="AS392" s="141"/>
      <c r="AT392" s="142"/>
      <c r="AU392" s="141"/>
      <c r="AV392" s="142"/>
      <c r="AW392" s="146"/>
      <c r="AX392" s="146"/>
      <c r="AY392" s="147">
        <f>ROUNDDOWN((0.96*U392),0)</f>
        <v>33600</v>
      </c>
      <c r="AZ392" s="132">
        <f>ROUNDDOWN(AY392+(AY392*MASTER!$A$2/100),0)</f>
        <v>36288</v>
      </c>
      <c r="BA392" s="141"/>
      <c r="BB392" s="145"/>
      <c r="BC392" s="145">
        <v>0</v>
      </c>
      <c r="BD392" s="141"/>
      <c r="BE392" s="141"/>
      <c r="BF392" s="145"/>
      <c r="BG392" s="145">
        <v>0</v>
      </c>
      <c r="BH392" s="141"/>
      <c r="BI392" s="141"/>
      <c r="BJ392" s="145"/>
      <c r="BK392" s="145">
        <v>0</v>
      </c>
      <c r="BL392" s="141"/>
      <c r="BM392" s="145"/>
      <c r="BN392" s="145"/>
      <c r="BO392" s="145"/>
      <c r="BP392" s="145"/>
      <c r="BQ392" s="145"/>
      <c r="BR392" s="145"/>
      <c r="BS392" s="145">
        <v>0</v>
      </c>
      <c r="BT392" s="148"/>
      <c r="BU392" s="148"/>
      <c r="BV392" s="149">
        <v>37800</v>
      </c>
      <c r="BW392" s="149">
        <v>0</v>
      </c>
      <c r="BX392" s="149">
        <v>43452</v>
      </c>
      <c r="BY392" s="149">
        <v>37800</v>
      </c>
      <c r="BZ392" s="150">
        <v>100</v>
      </c>
      <c r="CA392" s="141"/>
      <c r="CB392" s="141"/>
      <c r="CC392" s="141"/>
      <c r="CD392" s="144" t="s">
        <v>1338</v>
      </c>
      <c r="CE392" s="142"/>
      <c r="CF392" s="142"/>
      <c r="CG392" s="142"/>
      <c r="CH392" s="142"/>
      <c r="CI392" s="142"/>
      <c r="CJ392" s="142"/>
      <c r="CK392" s="145"/>
    </row>
    <row r="393" spans="1:89" x14ac:dyDescent="0.15">
      <c r="A393" s="84">
        <v>2</v>
      </c>
      <c r="B393" s="85">
        <v>43454</v>
      </c>
      <c r="C393" s="85">
        <v>43455</v>
      </c>
      <c r="D393" s="85">
        <v>43454</v>
      </c>
      <c r="E393" s="85">
        <v>43454</v>
      </c>
      <c r="F393" s="85" t="s">
        <v>338</v>
      </c>
      <c r="G393" s="85">
        <v>43454</v>
      </c>
      <c r="H393" s="85" t="s">
        <v>338</v>
      </c>
      <c r="I393" s="84" t="s">
        <v>380</v>
      </c>
      <c r="J393" s="84">
        <v>2</v>
      </c>
      <c r="L393" s="84">
        <v>0</v>
      </c>
      <c r="M393" s="85">
        <v>43453</v>
      </c>
      <c r="N393" s="85" t="s">
        <v>265</v>
      </c>
      <c r="O393" s="86" t="s">
        <v>340</v>
      </c>
      <c r="P393" s="84" t="s">
        <v>6</v>
      </c>
      <c r="Q393" s="86" t="s">
        <v>127</v>
      </c>
      <c r="R393" s="86" t="s">
        <v>1347</v>
      </c>
      <c r="S393" s="87" t="s">
        <v>1348</v>
      </c>
      <c r="T393" s="87" t="s">
        <v>342</v>
      </c>
      <c r="U393" s="88">
        <v>35000</v>
      </c>
      <c r="V393" s="88">
        <v>37800</v>
      </c>
      <c r="W393" s="88">
        <v>35000</v>
      </c>
      <c r="X393" s="88">
        <v>37800</v>
      </c>
      <c r="Z393" s="88">
        <v>0</v>
      </c>
      <c r="AA393" s="85">
        <v>43454</v>
      </c>
      <c r="AB393" s="85">
        <v>43454</v>
      </c>
      <c r="AD393" s="84">
        <v>0</v>
      </c>
      <c r="AG393" s="84">
        <v>0</v>
      </c>
      <c r="AJ393" s="84">
        <v>0</v>
      </c>
      <c r="AN393" s="84" t="s">
        <v>338</v>
      </c>
      <c r="AR393" s="85">
        <v>43453</v>
      </c>
      <c r="AS393" s="84">
        <v>6001632212</v>
      </c>
      <c r="AT393" s="85">
        <v>43453</v>
      </c>
      <c r="AU393" s="84" t="s">
        <v>1351</v>
      </c>
      <c r="AV393" s="85">
        <v>43455</v>
      </c>
      <c r="AW393" s="123">
        <v>43465</v>
      </c>
      <c r="AX393" s="123">
        <v>43485</v>
      </c>
      <c r="AY393" s="132">
        <v>33600</v>
      </c>
      <c r="AZ393" s="132">
        <f>ROUNDDOWN(AY393+(AY393*MASTER!$A$2/100),0)</f>
        <v>36288</v>
      </c>
      <c r="BA393" s="84" t="s">
        <v>14</v>
      </c>
      <c r="BB393" s="88">
        <v>30000</v>
      </c>
      <c r="BC393" s="88">
        <v>32400</v>
      </c>
      <c r="BD393" s="84" t="s">
        <v>1138</v>
      </c>
      <c r="BG393" s="88">
        <v>0</v>
      </c>
      <c r="BK393" s="88">
        <v>0</v>
      </c>
      <c r="BS393" s="88">
        <v>0</v>
      </c>
      <c r="BV393" s="89">
        <v>37800</v>
      </c>
      <c r="BW393" s="89">
        <v>32400</v>
      </c>
      <c r="BX393" s="89">
        <v>43453</v>
      </c>
      <c r="BY393" s="89">
        <v>5400</v>
      </c>
      <c r="BZ393" s="112">
        <v>14.285714285714285</v>
      </c>
      <c r="CK393" s="88">
        <v>0</v>
      </c>
    </row>
    <row r="394" spans="1:89" x14ac:dyDescent="0.15">
      <c r="A394" s="84">
        <v>1</v>
      </c>
      <c r="B394" s="85">
        <v>43476</v>
      </c>
      <c r="C394" s="85">
        <v>43486</v>
      </c>
      <c r="F394" s="85" t="s">
        <v>338</v>
      </c>
      <c r="H394" s="85" t="s">
        <v>338</v>
      </c>
      <c r="J394" s="84">
        <v>2</v>
      </c>
      <c r="L394" s="84">
        <v>0</v>
      </c>
      <c r="M394" s="85">
        <v>43453</v>
      </c>
      <c r="N394" s="85" t="s">
        <v>265</v>
      </c>
      <c r="O394" s="86" t="s">
        <v>340</v>
      </c>
      <c r="P394" s="84" t="s">
        <v>26</v>
      </c>
      <c r="Q394" s="86" t="s">
        <v>127</v>
      </c>
      <c r="R394" s="86" t="s">
        <v>1352</v>
      </c>
      <c r="S394" s="87" t="s">
        <v>351</v>
      </c>
      <c r="T394" s="87" t="s">
        <v>379</v>
      </c>
      <c r="U394" s="88">
        <v>50000</v>
      </c>
      <c r="V394" s="88">
        <v>54000</v>
      </c>
      <c r="W394" s="88">
        <v>50000</v>
      </c>
      <c r="X394" s="88">
        <v>54000</v>
      </c>
      <c r="Z394" s="88">
        <v>0</v>
      </c>
      <c r="AA394" s="85">
        <v>43790</v>
      </c>
      <c r="AD394" s="84">
        <v>0</v>
      </c>
      <c r="AG394" s="84">
        <v>0</v>
      </c>
      <c r="AJ394" s="84">
        <v>0</v>
      </c>
      <c r="AR394" s="85">
        <v>43475</v>
      </c>
      <c r="AS394" s="84">
        <v>6001635898</v>
      </c>
      <c r="AT394" s="85">
        <v>43475</v>
      </c>
      <c r="AU394" s="84" t="s">
        <v>1507</v>
      </c>
      <c r="AV394" s="85">
        <v>43486</v>
      </c>
      <c r="AW394" s="123">
        <v>43496</v>
      </c>
      <c r="AX394" s="123">
        <v>43516</v>
      </c>
      <c r="AY394" s="132">
        <v>48000</v>
      </c>
      <c r="AZ394" s="132">
        <f>ROUNDDOWN(AY394+(AY394*MASTER!$A$2/100),0)</f>
        <v>51840</v>
      </c>
      <c r="BC394" s="88">
        <v>0</v>
      </c>
      <c r="BG394" s="88">
        <v>0</v>
      </c>
      <c r="BK394" s="88">
        <v>0</v>
      </c>
      <c r="BS394" s="88">
        <v>0</v>
      </c>
      <c r="BV394" s="89">
        <v>54000</v>
      </c>
      <c r="BW394" s="89">
        <v>0</v>
      </c>
      <c r="BX394" s="89">
        <v>43453</v>
      </c>
      <c r="BY394" s="89">
        <v>54000</v>
      </c>
      <c r="BZ394" s="112">
        <v>100</v>
      </c>
    </row>
    <row r="395" spans="1:89" x14ac:dyDescent="0.15">
      <c r="A395" s="84">
        <v>2</v>
      </c>
      <c r="B395" s="85">
        <v>43483</v>
      </c>
      <c r="C395" s="85">
        <v>43490</v>
      </c>
      <c r="D395" s="85">
        <v>43508</v>
      </c>
      <c r="F395" s="85">
        <v>43497</v>
      </c>
      <c r="G395" s="85">
        <v>43493</v>
      </c>
      <c r="H395" s="85">
        <v>43493</v>
      </c>
      <c r="I395" s="84" t="s">
        <v>401</v>
      </c>
      <c r="J395" s="84">
        <v>1</v>
      </c>
      <c r="L395" s="84">
        <v>0</v>
      </c>
      <c r="M395" s="85">
        <v>43454</v>
      </c>
      <c r="N395" s="85" t="s">
        <v>265</v>
      </c>
      <c r="O395" s="86" t="s">
        <v>340</v>
      </c>
      <c r="P395" s="84" t="s">
        <v>26</v>
      </c>
      <c r="Q395" s="86" t="s">
        <v>127</v>
      </c>
      <c r="R395" s="86" t="s">
        <v>1586</v>
      </c>
      <c r="S395" s="87" t="s">
        <v>1587</v>
      </c>
      <c r="T395" s="87" t="s">
        <v>1588</v>
      </c>
      <c r="U395" s="88">
        <v>89200</v>
      </c>
      <c r="V395" s="88">
        <v>96336</v>
      </c>
      <c r="W395" s="88">
        <v>63000</v>
      </c>
      <c r="X395" s="88">
        <v>68040</v>
      </c>
      <c r="Y395" s="88">
        <v>26200</v>
      </c>
      <c r="Z395" s="88">
        <v>28296</v>
      </c>
      <c r="AA395" s="85">
        <v>43489</v>
      </c>
      <c r="AB395" s="85">
        <v>43490</v>
      </c>
      <c r="AC395" s="85">
        <v>43490</v>
      </c>
      <c r="AD395" s="84">
        <v>0</v>
      </c>
      <c r="AG395" s="84">
        <v>0</v>
      </c>
      <c r="AJ395" s="84">
        <v>0</v>
      </c>
      <c r="AM395" s="84" t="s">
        <v>290</v>
      </c>
      <c r="AN395" s="84" t="s">
        <v>1589</v>
      </c>
      <c r="AR395" s="85">
        <v>43475</v>
      </c>
      <c r="AS395" s="84">
        <v>6001635898</v>
      </c>
      <c r="AT395" s="85">
        <v>43475</v>
      </c>
      <c r="AU395" s="84" t="s">
        <v>1507</v>
      </c>
      <c r="AV395" s="85">
        <v>43490</v>
      </c>
      <c r="AW395" s="123">
        <v>43496</v>
      </c>
      <c r="AX395" s="123">
        <v>43516</v>
      </c>
      <c r="AY395" s="132">
        <v>85632</v>
      </c>
      <c r="AZ395" s="132">
        <f>ROUNDDOWN(AY395+(AY395*MASTER!$A$2/100),0)</f>
        <v>92482</v>
      </c>
      <c r="BA395" s="84" t="s">
        <v>477</v>
      </c>
      <c r="BB395" s="88">
        <v>36000</v>
      </c>
      <c r="BC395" s="88">
        <v>38880</v>
      </c>
      <c r="BD395" s="84" t="s">
        <v>1233</v>
      </c>
      <c r="BG395" s="88">
        <v>0</v>
      </c>
      <c r="BI395" s="84" t="s">
        <v>434</v>
      </c>
      <c r="BJ395" s="88">
        <v>17030</v>
      </c>
      <c r="BK395" s="88">
        <v>18392.400000000001</v>
      </c>
      <c r="BL395" s="84" t="s">
        <v>1233</v>
      </c>
      <c r="BS395" s="88">
        <v>0</v>
      </c>
      <c r="BV395" s="89">
        <v>68040</v>
      </c>
      <c r="BW395" s="89">
        <v>57272.4</v>
      </c>
      <c r="BX395" s="89">
        <v>43454</v>
      </c>
      <c r="BY395" s="89">
        <v>10767.6</v>
      </c>
      <c r="BZ395" s="112">
        <v>15.825396825396822</v>
      </c>
      <c r="CK395" s="88">
        <v>0</v>
      </c>
    </row>
    <row r="396" spans="1:89" x14ac:dyDescent="0.15">
      <c r="A396" s="84">
        <v>2</v>
      </c>
      <c r="B396" s="85">
        <v>43496</v>
      </c>
      <c r="C396" s="85">
        <v>43505</v>
      </c>
      <c r="D396" s="85">
        <v>43524</v>
      </c>
      <c r="F396" s="85">
        <v>43512</v>
      </c>
      <c r="G396" s="85">
        <v>43508</v>
      </c>
      <c r="H396" s="85">
        <v>43508</v>
      </c>
      <c r="I396" s="84" t="s">
        <v>1191</v>
      </c>
      <c r="J396" s="84">
        <v>1</v>
      </c>
      <c r="L396" s="84">
        <v>0</v>
      </c>
      <c r="M396" s="85">
        <v>43454</v>
      </c>
      <c r="N396" s="85" t="s">
        <v>265</v>
      </c>
      <c r="O396" s="86" t="s">
        <v>340</v>
      </c>
      <c r="P396" s="84" t="s">
        <v>26</v>
      </c>
      <c r="Q396" s="86" t="s">
        <v>127</v>
      </c>
      <c r="R396" s="86" t="s">
        <v>1590</v>
      </c>
      <c r="S396" s="87" t="s">
        <v>1591</v>
      </c>
      <c r="T396" s="87" t="s">
        <v>1592</v>
      </c>
      <c r="U396" s="88">
        <v>236000</v>
      </c>
      <c r="V396" s="88">
        <v>254880</v>
      </c>
      <c r="W396" s="88">
        <v>116300</v>
      </c>
      <c r="X396" s="88">
        <v>125604</v>
      </c>
      <c r="Y396" s="88">
        <v>119700</v>
      </c>
      <c r="Z396" s="88">
        <v>129276</v>
      </c>
      <c r="AA396" s="85">
        <v>43502</v>
      </c>
      <c r="AB396" s="85">
        <v>43505</v>
      </c>
      <c r="AC396" s="85">
        <v>43505</v>
      </c>
      <c r="AD396" s="84">
        <v>0</v>
      </c>
      <c r="AG396" s="84">
        <v>0</v>
      </c>
      <c r="AJ396" s="84">
        <v>0</v>
      </c>
      <c r="AM396" s="84" t="s">
        <v>290</v>
      </c>
      <c r="AN396" s="84" t="s">
        <v>1593</v>
      </c>
      <c r="AR396" s="85">
        <v>43487</v>
      </c>
      <c r="AS396" s="84">
        <v>6001639675</v>
      </c>
      <c r="AT396" s="85">
        <v>43487</v>
      </c>
      <c r="AU396" s="84" t="s">
        <v>1594</v>
      </c>
      <c r="AV396" s="85">
        <v>43505</v>
      </c>
      <c r="AW396" s="123">
        <v>43524</v>
      </c>
      <c r="AX396" s="123">
        <v>43544</v>
      </c>
      <c r="AY396" s="132">
        <v>226560</v>
      </c>
      <c r="AZ396" s="132">
        <f>ROUNDDOWN(AY396+(AY396*MASTER!$A$2/100),0)</f>
        <v>244684</v>
      </c>
      <c r="BA396" s="84" t="s">
        <v>14</v>
      </c>
      <c r="BB396" s="88">
        <v>67400</v>
      </c>
      <c r="BC396" s="88">
        <v>72792</v>
      </c>
      <c r="BD396" s="84" t="s">
        <v>1233</v>
      </c>
      <c r="BG396" s="88">
        <v>0</v>
      </c>
      <c r="BI396" s="84" t="s">
        <v>434</v>
      </c>
      <c r="BJ396" s="88">
        <v>77805</v>
      </c>
      <c r="BK396" s="88">
        <v>84029.4</v>
      </c>
      <c r="BL396" s="84" t="s">
        <v>1233</v>
      </c>
      <c r="BS396" s="88">
        <v>0</v>
      </c>
      <c r="BV396" s="89">
        <v>125604</v>
      </c>
      <c r="BW396" s="89">
        <v>156821.4</v>
      </c>
      <c r="BX396" s="89">
        <v>43454</v>
      </c>
      <c r="BY396" s="89">
        <v>-31217.4</v>
      </c>
      <c r="BZ396" s="112">
        <v>-24.853826311263969</v>
      </c>
      <c r="CK396" s="88">
        <v>6300</v>
      </c>
    </row>
    <row r="397" spans="1:89" x14ac:dyDescent="0.15">
      <c r="A397" s="84">
        <v>2</v>
      </c>
      <c r="B397" s="85">
        <v>43500</v>
      </c>
      <c r="C397" s="85">
        <v>43512</v>
      </c>
      <c r="D397" s="85">
        <v>43521</v>
      </c>
      <c r="F397" s="85">
        <v>43518</v>
      </c>
      <c r="G397" s="85">
        <v>43514</v>
      </c>
      <c r="H397" s="85">
        <v>43514</v>
      </c>
      <c r="I397" s="84" t="s">
        <v>401</v>
      </c>
      <c r="J397" s="84">
        <v>1</v>
      </c>
      <c r="L397" s="84">
        <v>0</v>
      </c>
      <c r="M397" s="85">
        <v>43454</v>
      </c>
      <c r="N397" s="85" t="s">
        <v>265</v>
      </c>
      <c r="O397" s="86" t="s">
        <v>340</v>
      </c>
      <c r="P397" s="84" t="s">
        <v>26</v>
      </c>
      <c r="Q397" s="86" t="s">
        <v>127</v>
      </c>
      <c r="R397" s="86" t="s">
        <v>1595</v>
      </c>
      <c r="S397" s="87" t="s">
        <v>432</v>
      </c>
      <c r="T397" s="87" t="s">
        <v>1535</v>
      </c>
      <c r="U397" s="88">
        <v>95500</v>
      </c>
      <c r="V397" s="88">
        <v>103140</v>
      </c>
      <c r="W397" s="88">
        <v>83500</v>
      </c>
      <c r="X397" s="88">
        <v>90180</v>
      </c>
      <c r="Y397" s="88">
        <v>12000</v>
      </c>
      <c r="Z397" s="88">
        <v>12960</v>
      </c>
      <c r="AA397" s="85">
        <v>43510</v>
      </c>
      <c r="AB397" s="85">
        <v>43511</v>
      </c>
      <c r="AC397" s="85">
        <v>43511</v>
      </c>
      <c r="AD397" s="84">
        <v>0</v>
      </c>
      <c r="AG397" s="84">
        <v>0</v>
      </c>
      <c r="AJ397" s="84">
        <v>0</v>
      </c>
      <c r="AM397" s="84" t="s">
        <v>290</v>
      </c>
      <c r="AN397" s="84" t="s">
        <v>1596</v>
      </c>
      <c r="AR397" s="85">
        <v>43482</v>
      </c>
      <c r="AS397" s="84">
        <v>6001638017</v>
      </c>
      <c r="AT397" s="85">
        <v>43482</v>
      </c>
      <c r="AU397" s="84" t="s">
        <v>1553</v>
      </c>
      <c r="AV397" s="85">
        <v>43512</v>
      </c>
      <c r="AW397" s="123">
        <v>43524</v>
      </c>
      <c r="AX397" s="123">
        <v>43544</v>
      </c>
      <c r="AY397" s="132">
        <v>91680</v>
      </c>
      <c r="AZ397" s="132">
        <f>ROUNDDOWN(AY397+(AY397*MASTER!$A$2/100),0)</f>
        <v>99014</v>
      </c>
      <c r="BA397" s="84" t="s">
        <v>286</v>
      </c>
      <c r="BB397" s="88">
        <v>33000</v>
      </c>
      <c r="BC397" s="88">
        <v>35640</v>
      </c>
      <c r="BD397" s="84" t="s">
        <v>1233</v>
      </c>
      <c r="BG397" s="88">
        <v>0</v>
      </c>
      <c r="BI397" s="84" t="s">
        <v>434</v>
      </c>
      <c r="BJ397" s="88">
        <v>7800</v>
      </c>
      <c r="BK397" s="88">
        <v>8424</v>
      </c>
      <c r="BL397" s="84" t="s">
        <v>1233</v>
      </c>
      <c r="BS397" s="88">
        <v>0</v>
      </c>
      <c r="BV397" s="89">
        <v>90180</v>
      </c>
      <c r="BW397" s="89">
        <v>44064</v>
      </c>
      <c r="BX397" s="89">
        <v>43454</v>
      </c>
      <c r="BY397" s="89">
        <v>46116</v>
      </c>
      <c r="BZ397" s="112">
        <v>51.137724550898199</v>
      </c>
      <c r="CK397" s="88">
        <v>0</v>
      </c>
    </row>
    <row r="398" spans="1:89" x14ac:dyDescent="0.15">
      <c r="A398" s="84">
        <v>1</v>
      </c>
      <c r="C398" s="85" t="s">
        <v>338</v>
      </c>
      <c r="F398" s="85" t="s">
        <v>338</v>
      </c>
      <c r="H398" s="85" t="s">
        <v>338</v>
      </c>
      <c r="J398" s="84">
        <v>4</v>
      </c>
      <c r="L398" s="84">
        <v>0</v>
      </c>
      <c r="M398" s="85">
        <v>43454</v>
      </c>
      <c r="N398" s="85" t="s">
        <v>265</v>
      </c>
      <c r="O398" s="86" t="s">
        <v>340</v>
      </c>
      <c r="P398" s="84" t="s">
        <v>26</v>
      </c>
      <c r="Q398" s="86" t="s">
        <v>127</v>
      </c>
      <c r="R398" s="86" t="s">
        <v>1353</v>
      </c>
      <c r="S398" s="87" t="s">
        <v>1171</v>
      </c>
      <c r="T398" s="87" t="s">
        <v>1401</v>
      </c>
      <c r="U398" s="88">
        <v>0</v>
      </c>
      <c r="V398" s="88">
        <v>0</v>
      </c>
      <c r="X398" s="88">
        <v>0</v>
      </c>
      <c r="Z398" s="88">
        <v>0</v>
      </c>
      <c r="AD398" s="84">
        <v>0</v>
      </c>
      <c r="AG398" s="84">
        <v>0</v>
      </c>
      <c r="AJ398" s="84">
        <v>0</v>
      </c>
      <c r="AY398" s="132">
        <v>0</v>
      </c>
      <c r="AZ398" s="132">
        <f>ROUNDDOWN(AY398+(AY398*MASTER!$A$2/100),0)</f>
        <v>0</v>
      </c>
      <c r="BC398" s="88">
        <v>0</v>
      </c>
      <c r="BG398" s="88">
        <v>0</v>
      </c>
      <c r="BI398" s="84" t="s">
        <v>434</v>
      </c>
      <c r="BJ398" s="88">
        <v>7800</v>
      </c>
      <c r="BK398" s="88">
        <v>8424</v>
      </c>
      <c r="BL398" s="84" t="s">
        <v>190</v>
      </c>
      <c r="BS398" s="88">
        <v>0</v>
      </c>
      <c r="BV398" s="89">
        <v>0</v>
      </c>
      <c r="BW398" s="89">
        <v>8424</v>
      </c>
      <c r="BX398" s="89">
        <v>43454</v>
      </c>
      <c r="BY398" s="89">
        <v>-8424</v>
      </c>
      <c r="BZ398" s="112" t="s">
        <v>338</v>
      </c>
      <c r="CD398" s="87" t="s">
        <v>1402</v>
      </c>
    </row>
    <row r="399" spans="1:89" x14ac:dyDescent="0.15">
      <c r="A399" s="84">
        <v>1</v>
      </c>
      <c r="B399" s="85">
        <v>43455</v>
      </c>
      <c r="C399" s="85">
        <v>43459</v>
      </c>
      <c r="F399" s="85" t="s">
        <v>338</v>
      </c>
      <c r="H399" s="85" t="s">
        <v>338</v>
      </c>
      <c r="J399" s="84">
        <v>2</v>
      </c>
      <c r="L399" s="84">
        <v>0</v>
      </c>
      <c r="M399" s="85">
        <v>43454</v>
      </c>
      <c r="N399" s="85" t="s">
        <v>265</v>
      </c>
      <c r="O399" s="86" t="s">
        <v>340</v>
      </c>
      <c r="P399" s="84" t="s">
        <v>271</v>
      </c>
      <c r="Q399" s="86" t="s">
        <v>127</v>
      </c>
      <c r="R399" s="86" t="s">
        <v>1385</v>
      </c>
      <c r="S399" s="87" t="s">
        <v>562</v>
      </c>
      <c r="T399" s="87" t="s">
        <v>1386</v>
      </c>
      <c r="U399" s="88">
        <v>600000</v>
      </c>
      <c r="V399" s="88">
        <v>648000</v>
      </c>
      <c r="W399" s="88">
        <v>600000</v>
      </c>
      <c r="X399" s="88">
        <v>648000</v>
      </c>
      <c r="Z399" s="88">
        <v>0</v>
      </c>
      <c r="AD399" s="84">
        <v>0</v>
      </c>
      <c r="AG399" s="84">
        <v>0</v>
      </c>
      <c r="AJ399" s="84">
        <v>0</v>
      </c>
      <c r="AN399" s="84" t="s">
        <v>338</v>
      </c>
      <c r="AR399" s="85">
        <v>43454</v>
      </c>
      <c r="AS399" s="84">
        <v>6001632679</v>
      </c>
      <c r="AT399" s="85">
        <v>43454</v>
      </c>
      <c r="AU399" s="84" t="s">
        <v>1387</v>
      </c>
      <c r="AV399" s="85">
        <v>43459</v>
      </c>
      <c r="AW399" s="123">
        <v>43465</v>
      </c>
      <c r="AX399" s="123">
        <v>43485</v>
      </c>
      <c r="AY399" s="132">
        <v>576000</v>
      </c>
      <c r="AZ399" s="132">
        <f>ROUNDDOWN(AY399+(AY399*MASTER!$A$2/100),0)</f>
        <v>622080</v>
      </c>
      <c r="BC399" s="88">
        <v>0</v>
      </c>
      <c r="BG399" s="88">
        <v>0</v>
      </c>
      <c r="BK399" s="88">
        <v>0</v>
      </c>
      <c r="BS399" s="88">
        <v>0</v>
      </c>
      <c r="BV399" s="89">
        <v>648000</v>
      </c>
      <c r="BW399" s="89">
        <v>0</v>
      </c>
      <c r="BX399" s="89">
        <v>43454</v>
      </c>
      <c r="BY399" s="89">
        <v>648000</v>
      </c>
      <c r="BZ399" s="112">
        <v>100</v>
      </c>
      <c r="CK399" s="88">
        <v>600000</v>
      </c>
    </row>
    <row r="400" spans="1:89" x14ac:dyDescent="0.15">
      <c r="A400" s="84">
        <v>1</v>
      </c>
      <c r="B400" s="85">
        <v>43518</v>
      </c>
      <c r="C400" s="85">
        <v>43518</v>
      </c>
      <c r="F400" s="85" t="s">
        <v>338</v>
      </c>
      <c r="H400" s="85" t="s">
        <v>338</v>
      </c>
      <c r="J400" s="84">
        <v>1</v>
      </c>
      <c r="K400" s="85">
        <v>43455</v>
      </c>
      <c r="L400" s="84" t="s">
        <v>818</v>
      </c>
      <c r="M400" s="85">
        <v>43454</v>
      </c>
      <c r="N400" s="85" t="s">
        <v>265</v>
      </c>
      <c r="O400" s="86" t="s">
        <v>340</v>
      </c>
      <c r="P400" s="84" t="s">
        <v>6</v>
      </c>
      <c r="Q400" s="86" t="s">
        <v>127</v>
      </c>
      <c r="R400" s="86" t="s">
        <v>1391</v>
      </c>
      <c r="S400" s="87" t="s">
        <v>562</v>
      </c>
      <c r="T400" s="87" t="s">
        <v>1392</v>
      </c>
      <c r="U400" s="88">
        <v>53000</v>
      </c>
      <c r="V400" s="88">
        <v>57240</v>
      </c>
      <c r="W400" s="88">
        <v>35000</v>
      </c>
      <c r="X400" s="88">
        <v>37800</v>
      </c>
      <c r="Y400" s="88">
        <v>18000</v>
      </c>
      <c r="Z400" s="88">
        <v>19440</v>
      </c>
      <c r="AD400" s="84">
        <v>0</v>
      </c>
      <c r="AG400" s="84">
        <v>0</v>
      </c>
      <c r="AJ400" s="84">
        <v>0</v>
      </c>
      <c r="AR400" s="85">
        <v>43473</v>
      </c>
      <c r="AS400" s="84">
        <v>6001634807</v>
      </c>
      <c r="AT400" s="85">
        <v>43473</v>
      </c>
      <c r="AU400" s="84" t="s">
        <v>1462</v>
      </c>
      <c r="AV400" s="85">
        <v>43518</v>
      </c>
      <c r="AW400" s="123">
        <v>43524</v>
      </c>
      <c r="AX400" s="123">
        <v>43544</v>
      </c>
      <c r="AY400" s="132">
        <v>50880</v>
      </c>
      <c r="AZ400" s="132">
        <f>ROUNDDOWN(AY400+(AY400*MASTER!$A$2/100),0)</f>
        <v>54950</v>
      </c>
      <c r="BC400" s="88">
        <v>0</v>
      </c>
      <c r="BG400" s="88">
        <v>0</v>
      </c>
      <c r="BK400" s="88">
        <v>0</v>
      </c>
      <c r="BS400" s="88">
        <v>0</v>
      </c>
      <c r="BV400" s="89">
        <v>37800</v>
      </c>
      <c r="BW400" s="89">
        <v>0</v>
      </c>
      <c r="BX400" s="89">
        <v>0</v>
      </c>
      <c r="BY400" s="89">
        <v>43455</v>
      </c>
      <c r="BZ400" s="112">
        <v>100</v>
      </c>
      <c r="CD400" s="87" t="s">
        <v>1393</v>
      </c>
    </row>
    <row r="401" spans="1:89" x14ac:dyDescent="0.15">
      <c r="A401" s="84">
        <v>2</v>
      </c>
      <c r="B401" s="85">
        <v>43490</v>
      </c>
      <c r="C401" s="85">
        <v>43489</v>
      </c>
      <c r="D401" s="85">
        <v>43521</v>
      </c>
      <c r="F401" s="85">
        <v>43496</v>
      </c>
      <c r="G401" s="85">
        <v>43489</v>
      </c>
      <c r="H401" s="85">
        <v>43492</v>
      </c>
      <c r="I401" s="84" t="s">
        <v>1191</v>
      </c>
      <c r="J401" s="84">
        <v>2</v>
      </c>
      <c r="L401" s="84">
        <v>0</v>
      </c>
      <c r="M401" s="85">
        <v>43455</v>
      </c>
      <c r="N401" s="85" t="s">
        <v>265</v>
      </c>
      <c r="O401" s="86" t="s">
        <v>340</v>
      </c>
      <c r="P401" s="84" t="s">
        <v>26</v>
      </c>
      <c r="Q401" s="86" t="s">
        <v>127</v>
      </c>
      <c r="R401" s="86" t="s">
        <v>1388</v>
      </c>
      <c r="S401" s="87" t="s">
        <v>555</v>
      </c>
      <c r="T401" s="87" t="s">
        <v>1075</v>
      </c>
      <c r="U401" s="88">
        <v>81900</v>
      </c>
      <c r="V401" s="88">
        <v>88452</v>
      </c>
      <c r="W401" s="88">
        <v>81900</v>
      </c>
      <c r="X401" s="88">
        <v>88452</v>
      </c>
      <c r="Z401" s="88">
        <v>0</v>
      </c>
      <c r="AA401" s="85">
        <v>43488</v>
      </c>
      <c r="AB401" s="85">
        <v>43489</v>
      </c>
      <c r="AC401" s="85">
        <v>43489</v>
      </c>
      <c r="AD401" s="84">
        <v>0</v>
      </c>
      <c r="AG401" s="84">
        <v>0</v>
      </c>
      <c r="AJ401" s="84">
        <v>0</v>
      </c>
      <c r="AM401" s="84" t="s">
        <v>290</v>
      </c>
      <c r="AN401" s="84" t="s">
        <v>1389</v>
      </c>
      <c r="AR401" s="85">
        <v>43488</v>
      </c>
      <c r="AS401" s="84">
        <v>6001639885</v>
      </c>
      <c r="AT401" s="85">
        <v>43488</v>
      </c>
      <c r="AU401" s="84" t="s">
        <v>1597</v>
      </c>
      <c r="AV401" s="85">
        <v>43489</v>
      </c>
      <c r="AW401" s="123">
        <v>43496</v>
      </c>
      <c r="AX401" s="123">
        <v>43516</v>
      </c>
      <c r="AY401" s="132">
        <v>78624</v>
      </c>
      <c r="AZ401" s="132">
        <f>ROUNDDOWN(AY401+(AY401*MASTER!$A$2/100),0)</f>
        <v>84913</v>
      </c>
      <c r="BA401" s="84" t="s">
        <v>286</v>
      </c>
      <c r="BB401" s="88">
        <v>48000</v>
      </c>
      <c r="BC401" s="88">
        <v>51840</v>
      </c>
      <c r="BD401" s="84" t="s">
        <v>1233</v>
      </c>
      <c r="BG401" s="88">
        <v>0</v>
      </c>
      <c r="BK401" s="88">
        <v>0</v>
      </c>
      <c r="BS401" s="88">
        <v>0</v>
      </c>
      <c r="BV401" s="89">
        <v>88452</v>
      </c>
      <c r="BW401" s="89">
        <v>51840</v>
      </c>
      <c r="BX401" s="89">
        <v>43455</v>
      </c>
      <c r="BY401" s="89">
        <v>36612</v>
      </c>
      <c r="BZ401" s="112">
        <v>41.391941391941387</v>
      </c>
      <c r="CK401" s="88">
        <v>0</v>
      </c>
    </row>
    <row r="402" spans="1:89" x14ac:dyDescent="0.15">
      <c r="A402" s="84">
        <v>2</v>
      </c>
      <c r="B402" s="85">
        <v>43476</v>
      </c>
      <c r="C402" s="85">
        <v>43482</v>
      </c>
      <c r="D402" s="85">
        <v>43503</v>
      </c>
      <c r="F402" s="85" t="s">
        <v>338</v>
      </c>
      <c r="G402" s="85">
        <v>43486</v>
      </c>
      <c r="H402" s="85" t="s">
        <v>338</v>
      </c>
      <c r="I402" s="84" t="s">
        <v>1191</v>
      </c>
      <c r="J402" s="84">
        <v>2</v>
      </c>
      <c r="L402" s="84">
        <v>0</v>
      </c>
      <c r="M402" s="85">
        <v>43455</v>
      </c>
      <c r="N402" s="85" t="s">
        <v>265</v>
      </c>
      <c r="O402" s="86" t="s">
        <v>340</v>
      </c>
      <c r="P402" s="84" t="s">
        <v>26</v>
      </c>
      <c r="Q402" s="86" t="s">
        <v>127</v>
      </c>
      <c r="R402" s="86" t="s">
        <v>1517</v>
      </c>
      <c r="S402" s="87" t="s">
        <v>1518</v>
      </c>
      <c r="T402" s="87" t="s">
        <v>1075</v>
      </c>
      <c r="U402" s="88">
        <v>81900</v>
      </c>
      <c r="V402" s="88">
        <v>88452</v>
      </c>
      <c r="W402" s="88">
        <v>81900</v>
      </c>
      <c r="X402" s="88">
        <v>88452</v>
      </c>
      <c r="Z402" s="88">
        <v>0</v>
      </c>
      <c r="AA402" s="85">
        <v>43481</v>
      </c>
      <c r="AB402" s="85">
        <v>43481</v>
      </c>
      <c r="AD402" s="84">
        <v>0</v>
      </c>
      <c r="AG402" s="84">
        <v>0</v>
      </c>
      <c r="AJ402" s="84">
        <v>0</v>
      </c>
      <c r="AM402" s="84" t="s">
        <v>290</v>
      </c>
      <c r="AN402" s="84" t="s">
        <v>1519</v>
      </c>
      <c r="AR402" s="85">
        <v>43475</v>
      </c>
      <c r="AS402" s="84">
        <v>6001635898</v>
      </c>
      <c r="AT402" s="85">
        <v>43475</v>
      </c>
      <c r="AU402" s="84" t="s">
        <v>1507</v>
      </c>
      <c r="AV402" s="85">
        <v>43482</v>
      </c>
      <c r="AW402" s="123">
        <v>43496</v>
      </c>
      <c r="AX402" s="123">
        <v>43516</v>
      </c>
      <c r="AY402" s="132">
        <v>78624</v>
      </c>
      <c r="AZ402" s="132">
        <f>ROUNDDOWN(AY402+(AY402*MASTER!$A$2/100),0)</f>
        <v>84913</v>
      </c>
      <c r="BA402" s="84" t="s">
        <v>400</v>
      </c>
      <c r="BB402" s="88">
        <v>74000</v>
      </c>
      <c r="BC402" s="88">
        <v>79920</v>
      </c>
      <c r="BD402" s="84" t="s">
        <v>1138</v>
      </c>
      <c r="BG402" s="88">
        <v>0</v>
      </c>
      <c r="BK402" s="88">
        <v>0</v>
      </c>
      <c r="BS402" s="88">
        <v>0</v>
      </c>
      <c r="BV402" s="89">
        <v>88452</v>
      </c>
      <c r="BW402" s="89">
        <v>79920</v>
      </c>
      <c r="BX402" s="89">
        <v>43455</v>
      </c>
      <c r="BY402" s="89">
        <v>8532</v>
      </c>
      <c r="BZ402" s="112">
        <v>9.6459096459096472</v>
      </c>
      <c r="CK402" s="88">
        <v>0</v>
      </c>
    </row>
    <row r="403" spans="1:89" x14ac:dyDescent="0.15">
      <c r="A403" s="84">
        <v>1</v>
      </c>
      <c r="B403" s="85">
        <v>43472</v>
      </c>
      <c r="C403" s="85">
        <v>43476</v>
      </c>
      <c r="F403" s="85" t="s">
        <v>338</v>
      </c>
      <c r="H403" s="85" t="s">
        <v>338</v>
      </c>
      <c r="J403" s="84">
        <v>2</v>
      </c>
      <c r="L403" s="84">
        <v>0</v>
      </c>
      <c r="M403" s="85">
        <v>43455</v>
      </c>
      <c r="N403" s="85" t="s">
        <v>265</v>
      </c>
      <c r="O403" s="86" t="s">
        <v>340</v>
      </c>
      <c r="P403" s="84" t="s">
        <v>26</v>
      </c>
      <c r="Q403" s="86" t="s">
        <v>127</v>
      </c>
      <c r="R403" s="86" t="s">
        <v>1422</v>
      </c>
      <c r="S403" s="87" t="s">
        <v>351</v>
      </c>
      <c r="T403" s="87" t="s">
        <v>679</v>
      </c>
      <c r="U403" s="88">
        <v>10000</v>
      </c>
      <c r="V403" s="88">
        <v>10800</v>
      </c>
      <c r="W403" s="88">
        <v>10000</v>
      </c>
      <c r="X403" s="88">
        <v>10800</v>
      </c>
      <c r="Z403" s="88">
        <v>0</v>
      </c>
      <c r="AA403" s="85">
        <v>43453</v>
      </c>
      <c r="AB403" s="85">
        <v>43453</v>
      </c>
      <c r="AD403" s="84">
        <v>0</v>
      </c>
      <c r="AG403" s="84">
        <v>0</v>
      </c>
      <c r="AJ403" s="84">
        <v>0</v>
      </c>
      <c r="AN403" s="84" t="s">
        <v>338</v>
      </c>
      <c r="AR403" s="85">
        <v>43461</v>
      </c>
      <c r="AS403" s="84">
        <v>6001634063</v>
      </c>
      <c r="AT403" s="85">
        <v>43461</v>
      </c>
      <c r="AU403" s="84" t="s">
        <v>1419</v>
      </c>
      <c r="AV403" s="85">
        <v>43476</v>
      </c>
      <c r="AW403" s="123">
        <v>43496</v>
      </c>
      <c r="AX403" s="123">
        <v>43516</v>
      </c>
      <c r="AY403" s="140">
        <v>10000</v>
      </c>
      <c r="AZ403" s="132">
        <f>ROUNDDOWN(AY403+(AY403*MASTER!$A$2/100),0)</f>
        <v>10800</v>
      </c>
      <c r="BC403" s="88">
        <v>0</v>
      </c>
      <c r="BG403" s="88">
        <v>0</v>
      </c>
      <c r="BK403" s="88">
        <v>0</v>
      </c>
      <c r="BS403" s="88">
        <v>0</v>
      </c>
      <c r="BV403" s="89">
        <v>10800</v>
      </c>
      <c r="BW403" s="89">
        <v>0</v>
      </c>
      <c r="BX403" s="89">
        <v>43455</v>
      </c>
      <c r="BY403" s="89">
        <v>10800</v>
      </c>
      <c r="BZ403" s="112">
        <v>100</v>
      </c>
      <c r="CK403" s="88">
        <v>0</v>
      </c>
    </row>
    <row r="404" spans="1:89" x14ac:dyDescent="0.15">
      <c r="A404" s="84">
        <v>1</v>
      </c>
      <c r="B404" s="85">
        <v>43472</v>
      </c>
      <c r="C404" s="85">
        <v>43476</v>
      </c>
      <c r="F404" s="85" t="s">
        <v>338</v>
      </c>
      <c r="H404" s="85" t="s">
        <v>338</v>
      </c>
      <c r="J404" s="84">
        <v>2</v>
      </c>
      <c r="L404" s="84">
        <v>0</v>
      </c>
      <c r="M404" s="85">
        <v>43455</v>
      </c>
      <c r="N404" s="85" t="s">
        <v>265</v>
      </c>
      <c r="O404" s="86" t="s">
        <v>340</v>
      </c>
      <c r="P404" s="84" t="s">
        <v>26</v>
      </c>
      <c r="Q404" s="86" t="s">
        <v>127</v>
      </c>
      <c r="R404" s="86" t="s">
        <v>1423</v>
      </c>
      <c r="S404" s="87" t="s">
        <v>351</v>
      </c>
      <c r="T404" s="87" t="s">
        <v>681</v>
      </c>
      <c r="U404" s="88">
        <v>10000</v>
      </c>
      <c r="V404" s="88">
        <v>10800</v>
      </c>
      <c r="W404" s="88">
        <v>10000</v>
      </c>
      <c r="X404" s="88">
        <v>10800</v>
      </c>
      <c r="Z404" s="88">
        <v>0</v>
      </c>
      <c r="AA404" s="85">
        <v>43453</v>
      </c>
      <c r="AB404" s="85">
        <v>43453</v>
      </c>
      <c r="AD404" s="84">
        <v>0</v>
      </c>
      <c r="AG404" s="84">
        <v>0</v>
      </c>
      <c r="AJ404" s="84">
        <v>0</v>
      </c>
      <c r="AN404" s="84" t="s">
        <v>338</v>
      </c>
      <c r="AR404" s="85">
        <v>43461</v>
      </c>
      <c r="AS404" s="84">
        <v>6001634063</v>
      </c>
      <c r="AT404" s="85">
        <v>43461</v>
      </c>
      <c r="AU404" s="84" t="s">
        <v>1419</v>
      </c>
      <c r="AV404" s="85">
        <v>43476</v>
      </c>
      <c r="AW404" s="123">
        <v>43496</v>
      </c>
      <c r="AX404" s="123">
        <v>43516</v>
      </c>
      <c r="AY404" s="140">
        <v>10000</v>
      </c>
      <c r="AZ404" s="132">
        <f>ROUNDDOWN(AY404+(AY404*MASTER!$A$2/100),0)</f>
        <v>10800</v>
      </c>
      <c r="BC404" s="88">
        <v>0</v>
      </c>
      <c r="BG404" s="88">
        <v>0</v>
      </c>
      <c r="BK404" s="88">
        <v>0</v>
      </c>
      <c r="BS404" s="88">
        <v>0</v>
      </c>
      <c r="BV404" s="89">
        <v>10800</v>
      </c>
      <c r="BW404" s="89">
        <v>0</v>
      </c>
      <c r="BX404" s="89">
        <v>43455</v>
      </c>
      <c r="BY404" s="89">
        <v>10800</v>
      </c>
      <c r="BZ404" s="112">
        <v>100</v>
      </c>
      <c r="CK404" s="88">
        <v>0</v>
      </c>
    </row>
    <row r="405" spans="1:89" x14ac:dyDescent="0.15">
      <c r="A405" s="84">
        <v>1</v>
      </c>
      <c r="B405" s="85">
        <v>43472</v>
      </c>
      <c r="C405" s="85">
        <v>43476</v>
      </c>
      <c r="F405" s="85" t="s">
        <v>338</v>
      </c>
      <c r="H405" s="85" t="s">
        <v>338</v>
      </c>
      <c r="J405" s="84">
        <v>2</v>
      </c>
      <c r="L405" s="84">
        <v>0</v>
      </c>
      <c r="M405" s="85">
        <v>43455</v>
      </c>
      <c r="N405" s="85" t="s">
        <v>265</v>
      </c>
      <c r="O405" s="86" t="s">
        <v>340</v>
      </c>
      <c r="P405" s="84" t="s">
        <v>26</v>
      </c>
      <c r="Q405" s="86" t="s">
        <v>127</v>
      </c>
      <c r="R405" s="86" t="s">
        <v>1424</v>
      </c>
      <c r="S405" s="87" t="s">
        <v>351</v>
      </c>
      <c r="T405" s="87" t="s">
        <v>734</v>
      </c>
      <c r="U405" s="88">
        <v>10000</v>
      </c>
      <c r="V405" s="88">
        <v>10800</v>
      </c>
      <c r="W405" s="88">
        <v>10000</v>
      </c>
      <c r="X405" s="88">
        <v>10800</v>
      </c>
      <c r="Z405" s="88">
        <v>0</v>
      </c>
      <c r="AA405" s="85">
        <v>43453</v>
      </c>
      <c r="AB405" s="85">
        <v>43453</v>
      </c>
      <c r="AD405" s="84">
        <v>0</v>
      </c>
      <c r="AG405" s="84">
        <v>0</v>
      </c>
      <c r="AJ405" s="84">
        <v>0</v>
      </c>
      <c r="AN405" s="84" t="s">
        <v>338</v>
      </c>
      <c r="AR405" s="85">
        <v>43461</v>
      </c>
      <c r="AS405" s="84">
        <v>6001634063</v>
      </c>
      <c r="AT405" s="85">
        <v>43461</v>
      </c>
      <c r="AU405" s="84" t="s">
        <v>1419</v>
      </c>
      <c r="AV405" s="85">
        <v>43476</v>
      </c>
      <c r="AW405" s="123">
        <v>43496</v>
      </c>
      <c r="AX405" s="123">
        <v>43516</v>
      </c>
      <c r="AY405" s="140">
        <v>10000</v>
      </c>
      <c r="AZ405" s="132">
        <f>ROUNDDOWN(AY405+(AY405*MASTER!$A$2/100),0)</f>
        <v>10800</v>
      </c>
      <c r="BC405" s="88">
        <v>0</v>
      </c>
      <c r="BG405" s="88">
        <v>0</v>
      </c>
      <c r="BK405" s="88">
        <v>0</v>
      </c>
      <c r="BS405" s="88">
        <v>0</v>
      </c>
      <c r="BV405" s="89">
        <v>10800</v>
      </c>
      <c r="BW405" s="89">
        <v>0</v>
      </c>
      <c r="BX405" s="89">
        <v>43455</v>
      </c>
      <c r="BY405" s="89">
        <v>10800</v>
      </c>
      <c r="BZ405" s="112">
        <v>100</v>
      </c>
      <c r="CK405" s="88">
        <v>0</v>
      </c>
    </row>
    <row r="406" spans="1:89" x14ac:dyDescent="0.15">
      <c r="A406" s="84">
        <v>1</v>
      </c>
      <c r="B406" s="85">
        <v>43472</v>
      </c>
      <c r="C406" s="85">
        <v>43476</v>
      </c>
      <c r="F406" s="85" t="s">
        <v>338</v>
      </c>
      <c r="H406" s="85" t="s">
        <v>338</v>
      </c>
      <c r="J406" s="84">
        <v>2</v>
      </c>
      <c r="L406" s="84">
        <v>0</v>
      </c>
      <c r="M406" s="85">
        <v>43455</v>
      </c>
      <c r="N406" s="85" t="s">
        <v>265</v>
      </c>
      <c r="O406" s="86" t="s">
        <v>340</v>
      </c>
      <c r="P406" s="84" t="s">
        <v>26</v>
      </c>
      <c r="Q406" s="86" t="s">
        <v>127</v>
      </c>
      <c r="R406" s="86" t="s">
        <v>1425</v>
      </c>
      <c r="S406" s="87" t="s">
        <v>351</v>
      </c>
      <c r="T406" s="87" t="s">
        <v>941</v>
      </c>
      <c r="U406" s="88">
        <v>2500</v>
      </c>
      <c r="V406" s="88">
        <v>2700</v>
      </c>
      <c r="W406" s="88">
        <v>2500</v>
      </c>
      <c r="X406" s="88">
        <v>2700</v>
      </c>
      <c r="Z406" s="88">
        <v>0</v>
      </c>
      <c r="AA406" s="85">
        <v>43453</v>
      </c>
      <c r="AB406" s="85">
        <v>43453</v>
      </c>
      <c r="AD406" s="84">
        <v>0</v>
      </c>
      <c r="AG406" s="84">
        <v>0</v>
      </c>
      <c r="AJ406" s="84">
        <v>0</v>
      </c>
      <c r="AN406" s="84" t="s">
        <v>338</v>
      </c>
      <c r="AR406" s="85">
        <v>43461</v>
      </c>
      <c r="AS406" s="84">
        <v>6001634063</v>
      </c>
      <c r="AT406" s="85">
        <v>43461</v>
      </c>
      <c r="AU406" s="84" t="s">
        <v>1419</v>
      </c>
      <c r="AV406" s="85">
        <v>43476</v>
      </c>
      <c r="AW406" s="123">
        <v>43496</v>
      </c>
      <c r="AX406" s="123">
        <v>43516</v>
      </c>
      <c r="AY406" s="140">
        <v>2500</v>
      </c>
      <c r="AZ406" s="132">
        <f>ROUNDDOWN(AY406+(AY406*MASTER!$A$2/100),0)</f>
        <v>2700</v>
      </c>
      <c r="BC406" s="88">
        <v>0</v>
      </c>
      <c r="BG406" s="88">
        <v>0</v>
      </c>
      <c r="BK406" s="88">
        <v>0</v>
      </c>
      <c r="BS406" s="88">
        <v>0</v>
      </c>
      <c r="BV406" s="89">
        <v>2700</v>
      </c>
      <c r="BW406" s="89">
        <v>0</v>
      </c>
      <c r="BX406" s="89">
        <v>43455</v>
      </c>
      <c r="BY406" s="89">
        <v>2700</v>
      </c>
      <c r="BZ406" s="112">
        <v>100</v>
      </c>
      <c r="CK406" s="88">
        <v>0</v>
      </c>
    </row>
    <row r="407" spans="1:89" x14ac:dyDescent="0.15">
      <c r="A407" s="84">
        <v>2</v>
      </c>
      <c r="B407" s="85">
        <v>43483</v>
      </c>
      <c r="C407" s="85">
        <v>43497</v>
      </c>
      <c r="D407" s="85">
        <v>43522</v>
      </c>
      <c r="F407" s="85">
        <v>43504</v>
      </c>
      <c r="G407" s="85">
        <v>43496</v>
      </c>
      <c r="H407" s="85">
        <v>43500</v>
      </c>
      <c r="I407" s="84" t="s">
        <v>401</v>
      </c>
      <c r="J407" s="84">
        <v>1</v>
      </c>
      <c r="L407" s="84">
        <v>0</v>
      </c>
      <c r="M407" s="85">
        <v>43455</v>
      </c>
      <c r="N407" s="85" t="s">
        <v>265</v>
      </c>
      <c r="O407" s="86" t="s">
        <v>340</v>
      </c>
      <c r="P407" s="84" t="s">
        <v>26</v>
      </c>
      <c r="Q407" s="86" t="s">
        <v>127</v>
      </c>
      <c r="R407" s="86" t="s">
        <v>1492</v>
      </c>
      <c r="S407" s="87" t="s">
        <v>1282</v>
      </c>
      <c r="T407" s="87" t="s">
        <v>1493</v>
      </c>
      <c r="U407" s="88">
        <v>50000</v>
      </c>
      <c r="V407" s="88">
        <v>54000</v>
      </c>
      <c r="W407" s="88">
        <v>47000</v>
      </c>
      <c r="X407" s="88">
        <v>50760</v>
      </c>
      <c r="Y407" s="88">
        <v>3000</v>
      </c>
      <c r="Z407" s="88">
        <v>3240</v>
      </c>
      <c r="AA407" s="85">
        <v>43495</v>
      </c>
      <c r="AB407" s="85">
        <v>43497</v>
      </c>
      <c r="AC407" s="85">
        <v>43497</v>
      </c>
      <c r="AD407" s="84">
        <v>0</v>
      </c>
      <c r="AG407" s="84">
        <v>0</v>
      </c>
      <c r="AJ407" s="84">
        <v>0</v>
      </c>
      <c r="AM407" s="84" t="s">
        <v>290</v>
      </c>
      <c r="AN407" s="84" t="s">
        <v>1494</v>
      </c>
      <c r="AR407" s="85">
        <v>43474</v>
      </c>
      <c r="AS407" s="84">
        <v>6001635308</v>
      </c>
      <c r="AT407" s="85">
        <v>43474</v>
      </c>
      <c r="AU407" s="84" t="s">
        <v>1598</v>
      </c>
      <c r="AV407" s="85">
        <v>43497</v>
      </c>
      <c r="AW407" s="123">
        <v>43524</v>
      </c>
      <c r="AX407" s="123">
        <v>43544</v>
      </c>
      <c r="AY407" s="132">
        <v>48000</v>
      </c>
      <c r="AZ407" s="132">
        <f>ROUNDDOWN(AY407+(AY407*MASTER!$A$2/100),0)</f>
        <v>51840</v>
      </c>
      <c r="BA407" s="84" t="s">
        <v>543</v>
      </c>
      <c r="BB407" s="88">
        <v>24000</v>
      </c>
      <c r="BC407" s="88">
        <v>25920</v>
      </c>
      <c r="BD407" s="84" t="s">
        <v>1233</v>
      </c>
      <c r="BG407" s="88">
        <v>0</v>
      </c>
      <c r="BI407" s="84" t="s">
        <v>434</v>
      </c>
      <c r="BJ407" s="88">
        <v>1950</v>
      </c>
      <c r="BK407" s="88">
        <v>2106</v>
      </c>
      <c r="BL407" s="84" t="s">
        <v>1233</v>
      </c>
      <c r="BS407" s="88">
        <v>0</v>
      </c>
      <c r="BV407" s="89">
        <v>50760</v>
      </c>
      <c r="BW407" s="89">
        <v>28026</v>
      </c>
      <c r="BX407" s="89">
        <v>43455</v>
      </c>
      <c r="BY407" s="89">
        <v>22734</v>
      </c>
      <c r="BZ407" s="112">
        <v>44.787234042553195</v>
      </c>
      <c r="CK407" s="88">
        <v>0</v>
      </c>
    </row>
    <row r="408" spans="1:89" x14ac:dyDescent="0.15">
      <c r="A408" s="84">
        <v>2</v>
      </c>
      <c r="C408" s="85" t="s">
        <v>338</v>
      </c>
      <c r="F408" s="85" t="s">
        <v>338</v>
      </c>
      <c r="H408" s="85" t="s">
        <v>338</v>
      </c>
      <c r="J408" s="84">
        <v>4</v>
      </c>
      <c r="L408" s="84">
        <v>0</v>
      </c>
      <c r="M408" s="85">
        <v>43455</v>
      </c>
      <c r="N408" s="85" t="s">
        <v>265</v>
      </c>
      <c r="O408" s="86" t="s">
        <v>340</v>
      </c>
      <c r="P408" s="84" t="s">
        <v>6</v>
      </c>
      <c r="Q408" s="86" t="s">
        <v>127</v>
      </c>
      <c r="R408" s="86" t="s">
        <v>1394</v>
      </c>
      <c r="S408" s="87" t="s">
        <v>1024</v>
      </c>
      <c r="T408" s="87" t="s">
        <v>1212</v>
      </c>
      <c r="U408" s="88">
        <v>0</v>
      </c>
      <c r="V408" s="88">
        <v>0</v>
      </c>
      <c r="W408" s="88">
        <v>0</v>
      </c>
      <c r="X408" s="88">
        <v>0</v>
      </c>
      <c r="Y408" s="88">
        <v>0</v>
      </c>
      <c r="Z408" s="88">
        <v>0</v>
      </c>
      <c r="AA408" s="85">
        <v>43412</v>
      </c>
      <c r="AB408" s="85">
        <v>43412</v>
      </c>
      <c r="AD408" s="84">
        <v>0</v>
      </c>
      <c r="AG408" s="84">
        <v>0</v>
      </c>
      <c r="AJ408" s="84">
        <v>0</v>
      </c>
      <c r="AN408" s="84" t="s">
        <v>338</v>
      </c>
      <c r="AY408" s="132">
        <v>0</v>
      </c>
      <c r="AZ408" s="132">
        <f>ROUNDDOWN(AY408+(AY408*MASTER!$A$2/100),0)</f>
        <v>0</v>
      </c>
      <c r="BA408" s="84" t="s">
        <v>287</v>
      </c>
      <c r="BB408" s="88">
        <v>21000</v>
      </c>
      <c r="BC408" s="88">
        <v>22680</v>
      </c>
      <c r="BD408" s="84" t="s">
        <v>190</v>
      </c>
      <c r="BG408" s="88">
        <v>0</v>
      </c>
      <c r="BK408" s="88">
        <v>0</v>
      </c>
      <c r="BS408" s="88">
        <v>0</v>
      </c>
      <c r="BV408" s="89">
        <v>0</v>
      </c>
      <c r="BW408" s="89">
        <v>22680</v>
      </c>
      <c r="BX408" s="89">
        <v>43455</v>
      </c>
      <c r="BY408" s="89">
        <v>-22680</v>
      </c>
      <c r="BZ408" s="112" t="s">
        <v>338</v>
      </c>
    </row>
    <row r="409" spans="1:89" x14ac:dyDescent="0.15">
      <c r="A409" s="84">
        <v>2</v>
      </c>
      <c r="C409" s="85" t="s">
        <v>338</v>
      </c>
      <c r="F409" s="85" t="s">
        <v>338</v>
      </c>
      <c r="H409" s="85" t="s">
        <v>338</v>
      </c>
      <c r="J409" s="84">
        <v>4</v>
      </c>
      <c r="L409" s="84">
        <v>0</v>
      </c>
      <c r="M409" s="85">
        <v>43458</v>
      </c>
      <c r="N409" s="85" t="s">
        <v>265</v>
      </c>
      <c r="O409" s="86" t="s">
        <v>340</v>
      </c>
      <c r="P409" s="84" t="s">
        <v>272</v>
      </c>
      <c r="Q409" s="86" t="s">
        <v>127</v>
      </c>
      <c r="R409" s="86" t="s">
        <v>1395</v>
      </c>
      <c r="S409" s="87" t="s">
        <v>351</v>
      </c>
      <c r="T409" s="87" t="s">
        <v>529</v>
      </c>
      <c r="U409" s="88">
        <v>0</v>
      </c>
      <c r="V409" s="88">
        <v>0</v>
      </c>
      <c r="W409" s="88">
        <v>0</v>
      </c>
      <c r="X409" s="88">
        <v>0</v>
      </c>
      <c r="Y409" s="88">
        <v>0</v>
      </c>
      <c r="Z409" s="88">
        <v>0</v>
      </c>
      <c r="AA409" s="85">
        <v>43425</v>
      </c>
      <c r="AB409" s="85">
        <v>43454</v>
      </c>
      <c r="AD409" s="84">
        <v>0</v>
      </c>
      <c r="AG409" s="84">
        <v>0</v>
      </c>
      <c r="AJ409" s="84">
        <v>0</v>
      </c>
      <c r="AN409" s="84" t="s">
        <v>338</v>
      </c>
      <c r="AY409" s="132">
        <v>0</v>
      </c>
      <c r="AZ409" s="132">
        <f>ROUNDDOWN(AY409+(AY409*MASTER!$A$2/100),0)</f>
        <v>0</v>
      </c>
      <c r="BA409" s="84" t="s">
        <v>14</v>
      </c>
      <c r="BB409" s="88">
        <v>34000</v>
      </c>
      <c r="BC409" s="88">
        <v>36720</v>
      </c>
      <c r="BD409" s="84" t="s">
        <v>190</v>
      </c>
      <c r="BG409" s="88">
        <v>0</v>
      </c>
      <c r="BK409" s="88">
        <v>0</v>
      </c>
      <c r="BS409" s="88">
        <v>0</v>
      </c>
      <c r="BV409" s="89">
        <v>0</v>
      </c>
      <c r="BW409" s="89">
        <v>36720</v>
      </c>
      <c r="BX409" s="89">
        <v>43458</v>
      </c>
      <c r="BY409" s="89">
        <v>-36720</v>
      </c>
      <c r="BZ409" s="112" t="s">
        <v>338</v>
      </c>
    </row>
    <row r="410" spans="1:89" x14ac:dyDescent="0.15">
      <c r="A410" s="84">
        <v>2</v>
      </c>
      <c r="C410" s="85" t="s">
        <v>338</v>
      </c>
      <c r="F410" s="85" t="s">
        <v>338</v>
      </c>
      <c r="H410" s="85" t="s">
        <v>338</v>
      </c>
      <c r="J410" s="84">
        <v>4</v>
      </c>
      <c r="L410" s="84">
        <v>0</v>
      </c>
      <c r="M410" s="85">
        <v>43458</v>
      </c>
      <c r="N410" s="85" t="s">
        <v>265</v>
      </c>
      <c r="O410" s="86" t="s">
        <v>340</v>
      </c>
      <c r="P410" s="84" t="s">
        <v>272</v>
      </c>
      <c r="Q410" s="86" t="s">
        <v>127</v>
      </c>
      <c r="R410" s="86" t="s">
        <v>1396</v>
      </c>
      <c r="S410" s="87" t="s">
        <v>562</v>
      </c>
      <c r="T410" s="87" t="s">
        <v>1397</v>
      </c>
      <c r="U410" s="88">
        <v>0</v>
      </c>
      <c r="V410" s="88">
        <v>0</v>
      </c>
      <c r="W410" s="88">
        <v>0</v>
      </c>
      <c r="X410" s="88">
        <v>0</v>
      </c>
      <c r="Y410" s="88">
        <v>0</v>
      </c>
      <c r="Z410" s="88">
        <v>0</v>
      </c>
      <c r="AA410" s="85">
        <v>43430</v>
      </c>
      <c r="AB410" s="85">
        <v>43434</v>
      </c>
      <c r="AD410" s="84">
        <v>0</v>
      </c>
      <c r="AG410" s="84">
        <v>0</v>
      </c>
      <c r="AJ410" s="84">
        <v>0</v>
      </c>
      <c r="AN410" s="84" t="s">
        <v>338</v>
      </c>
      <c r="AY410" s="132">
        <v>0</v>
      </c>
      <c r="AZ410" s="132">
        <f>ROUNDDOWN(AY410+(AY410*MASTER!$A$2/100),0)</f>
        <v>0</v>
      </c>
      <c r="BA410" s="84" t="s">
        <v>14</v>
      </c>
      <c r="BB410" s="88">
        <v>123000</v>
      </c>
      <c r="BC410" s="88">
        <v>132840</v>
      </c>
      <c r="BD410" s="84" t="s">
        <v>190</v>
      </c>
      <c r="BG410" s="88">
        <v>0</v>
      </c>
      <c r="BK410" s="88">
        <v>0</v>
      </c>
      <c r="BS410" s="88">
        <v>0</v>
      </c>
      <c r="BV410" s="89">
        <v>0</v>
      </c>
      <c r="BW410" s="89">
        <v>132840</v>
      </c>
      <c r="BX410" s="89">
        <v>43458</v>
      </c>
      <c r="BY410" s="89">
        <v>-132840</v>
      </c>
      <c r="BZ410" s="112" t="s">
        <v>338</v>
      </c>
    </row>
    <row r="411" spans="1:89" x14ac:dyDescent="0.15">
      <c r="A411" s="84">
        <v>2</v>
      </c>
      <c r="C411" s="85" t="s">
        <v>338</v>
      </c>
      <c r="F411" s="85" t="s">
        <v>338</v>
      </c>
      <c r="H411" s="85" t="s">
        <v>338</v>
      </c>
      <c r="J411" s="84">
        <v>4</v>
      </c>
      <c r="L411" s="84">
        <v>0</v>
      </c>
      <c r="M411" s="85">
        <v>43459</v>
      </c>
      <c r="N411" s="85" t="s">
        <v>265</v>
      </c>
      <c r="O411" s="86" t="s">
        <v>340</v>
      </c>
      <c r="P411" s="84" t="s">
        <v>272</v>
      </c>
      <c r="Q411" s="86" t="s">
        <v>127</v>
      </c>
      <c r="R411" s="86" t="s">
        <v>1398</v>
      </c>
      <c r="S411" s="87" t="s">
        <v>351</v>
      </c>
      <c r="T411" s="87" t="s">
        <v>1399</v>
      </c>
      <c r="U411" s="88">
        <v>0</v>
      </c>
      <c r="V411" s="88">
        <v>0</v>
      </c>
      <c r="W411" s="88">
        <v>0</v>
      </c>
      <c r="X411" s="88">
        <v>0</v>
      </c>
      <c r="Y411" s="88">
        <v>0</v>
      </c>
      <c r="Z411" s="88">
        <v>0</v>
      </c>
      <c r="AA411" s="85">
        <v>43425</v>
      </c>
      <c r="AB411" s="85">
        <v>43454</v>
      </c>
      <c r="AD411" s="84">
        <v>0</v>
      </c>
      <c r="AG411" s="84">
        <v>0</v>
      </c>
      <c r="AJ411" s="84">
        <v>0</v>
      </c>
      <c r="AN411" s="84" t="s">
        <v>338</v>
      </c>
      <c r="AY411" s="132">
        <v>0</v>
      </c>
      <c r="AZ411" s="132">
        <f>ROUNDDOWN(AY411+(AY411*MASTER!$A$2/100),0)</f>
        <v>0</v>
      </c>
      <c r="BA411" s="84" t="s">
        <v>1045</v>
      </c>
      <c r="BB411" s="88">
        <v>700000</v>
      </c>
      <c r="BC411" s="88">
        <v>756000</v>
      </c>
      <c r="BD411" s="84" t="s">
        <v>190</v>
      </c>
      <c r="BG411" s="88">
        <v>0</v>
      </c>
      <c r="BK411" s="88">
        <v>0</v>
      </c>
      <c r="BS411" s="88">
        <v>0</v>
      </c>
      <c r="BV411" s="89">
        <v>0</v>
      </c>
      <c r="BW411" s="89">
        <v>756000</v>
      </c>
      <c r="BX411" s="89">
        <v>43459</v>
      </c>
      <c r="BY411" s="89">
        <v>-756000</v>
      </c>
      <c r="BZ411" s="112" t="s">
        <v>338</v>
      </c>
    </row>
    <row r="412" spans="1:89" s="151" customFormat="1" x14ac:dyDescent="0.15">
      <c r="A412" s="141">
        <v>3</v>
      </c>
      <c r="B412" s="142"/>
      <c r="C412" s="142" t="s">
        <v>338</v>
      </c>
      <c r="D412" s="142"/>
      <c r="E412" s="142"/>
      <c r="F412" s="142" t="s">
        <v>338</v>
      </c>
      <c r="G412" s="142"/>
      <c r="H412" s="142" t="s">
        <v>338</v>
      </c>
      <c r="I412" s="141"/>
      <c r="J412" s="141">
        <v>2</v>
      </c>
      <c r="K412" s="142"/>
      <c r="L412" s="141">
        <v>0</v>
      </c>
      <c r="M412" s="142">
        <v>43459</v>
      </c>
      <c r="N412" s="142" t="s">
        <v>264</v>
      </c>
      <c r="O412" s="143" t="s">
        <v>340</v>
      </c>
      <c r="P412" s="141" t="s">
        <v>272</v>
      </c>
      <c r="Q412" s="143" t="s">
        <v>127</v>
      </c>
      <c r="R412" s="143" t="s">
        <v>1403</v>
      </c>
      <c r="S412" s="144" t="s">
        <v>387</v>
      </c>
      <c r="T412" s="144" t="s">
        <v>1404</v>
      </c>
      <c r="U412" s="145">
        <v>400000</v>
      </c>
      <c r="V412" s="145">
        <v>432000</v>
      </c>
      <c r="W412" s="145">
        <v>400000</v>
      </c>
      <c r="X412" s="145">
        <v>432000</v>
      </c>
      <c r="Y412" s="145"/>
      <c r="Z412" s="145">
        <v>0</v>
      </c>
      <c r="AA412" s="142"/>
      <c r="AB412" s="142"/>
      <c r="AC412" s="142"/>
      <c r="AD412" s="141">
        <v>0</v>
      </c>
      <c r="AE412" s="141"/>
      <c r="AF412" s="141"/>
      <c r="AG412" s="141">
        <v>0</v>
      </c>
      <c r="AH412" s="141"/>
      <c r="AI412" s="141"/>
      <c r="AJ412" s="141">
        <v>0</v>
      </c>
      <c r="AK412" s="141"/>
      <c r="AL412" s="141"/>
      <c r="AM412" s="141"/>
      <c r="AN412" s="141"/>
      <c r="AO412" s="142"/>
      <c r="AP412" s="141"/>
      <c r="AQ412" s="141"/>
      <c r="AR412" s="142"/>
      <c r="AS412" s="141"/>
      <c r="AT412" s="142"/>
      <c r="AU412" s="141"/>
      <c r="AV412" s="142"/>
      <c r="AW412" s="146"/>
      <c r="AX412" s="146"/>
      <c r="AY412" s="147">
        <v>400000</v>
      </c>
      <c r="AZ412" s="132">
        <f>ROUNDDOWN(AY412+(AY412*MASTER!$A$2/100),0)</f>
        <v>432000</v>
      </c>
      <c r="BA412" s="141"/>
      <c r="BB412" s="145"/>
      <c r="BC412" s="145">
        <v>0</v>
      </c>
      <c r="BD412" s="141"/>
      <c r="BE412" s="141"/>
      <c r="BF412" s="145"/>
      <c r="BG412" s="145">
        <v>0</v>
      </c>
      <c r="BH412" s="141"/>
      <c r="BI412" s="141"/>
      <c r="BJ412" s="145"/>
      <c r="BK412" s="145">
        <v>0</v>
      </c>
      <c r="BL412" s="141"/>
      <c r="BM412" s="145"/>
      <c r="BN412" s="145"/>
      <c r="BO412" s="145"/>
      <c r="BP412" s="145"/>
      <c r="BQ412" s="145"/>
      <c r="BR412" s="145"/>
      <c r="BS412" s="145">
        <v>0</v>
      </c>
      <c r="BT412" s="148"/>
      <c r="BU412" s="148"/>
      <c r="BV412" s="149">
        <v>432000</v>
      </c>
      <c r="BW412" s="149">
        <v>0</v>
      </c>
      <c r="BX412" s="149">
        <v>43459</v>
      </c>
      <c r="BY412" s="149">
        <v>432000</v>
      </c>
      <c r="BZ412" s="150">
        <v>100</v>
      </c>
      <c r="CA412" s="141"/>
      <c r="CB412" s="141"/>
      <c r="CC412" s="141"/>
      <c r="CD412" s="144"/>
      <c r="CE412" s="142"/>
      <c r="CF412" s="142"/>
      <c r="CG412" s="142"/>
      <c r="CH412" s="142"/>
      <c r="CI412" s="142"/>
      <c r="CJ412" s="142"/>
      <c r="CK412" s="145"/>
    </row>
    <row r="413" spans="1:89" x14ac:dyDescent="0.15">
      <c r="A413" s="84">
        <v>2</v>
      </c>
      <c r="C413" s="85" t="s">
        <v>338</v>
      </c>
      <c r="F413" s="85" t="s">
        <v>338</v>
      </c>
      <c r="H413" s="85" t="s">
        <v>338</v>
      </c>
      <c r="J413" s="84">
        <v>4</v>
      </c>
      <c r="L413" s="84">
        <v>0</v>
      </c>
      <c r="M413" s="85">
        <v>43459</v>
      </c>
      <c r="N413" s="85" t="s">
        <v>265</v>
      </c>
      <c r="O413" s="86" t="s">
        <v>340</v>
      </c>
      <c r="P413" s="84" t="s">
        <v>78</v>
      </c>
      <c r="Q413" s="86" t="s">
        <v>127</v>
      </c>
      <c r="R413" s="86" t="s">
        <v>1405</v>
      </c>
      <c r="S413" s="87" t="s">
        <v>562</v>
      </c>
      <c r="T413" s="87" t="s">
        <v>1406</v>
      </c>
      <c r="U413" s="88">
        <v>0</v>
      </c>
      <c r="V413" s="88">
        <v>0</v>
      </c>
      <c r="W413" s="88">
        <v>0</v>
      </c>
      <c r="X413" s="88">
        <v>0</v>
      </c>
      <c r="Y413" s="88">
        <v>0</v>
      </c>
      <c r="Z413" s="88">
        <v>0</v>
      </c>
      <c r="AA413" s="85">
        <v>43425</v>
      </c>
      <c r="AB413" s="85">
        <v>43454</v>
      </c>
      <c r="AD413" s="84">
        <v>0</v>
      </c>
      <c r="AG413" s="84">
        <v>0</v>
      </c>
      <c r="AJ413" s="84">
        <v>0</v>
      </c>
      <c r="AN413" s="84" t="s">
        <v>338</v>
      </c>
      <c r="AY413" s="132">
        <v>0</v>
      </c>
      <c r="AZ413" s="132">
        <f>ROUNDDOWN(AY413+(AY413*MASTER!$A$2/100),0)</f>
        <v>0</v>
      </c>
      <c r="BA413" s="84" t="s">
        <v>289</v>
      </c>
      <c r="BB413" s="88">
        <v>464891</v>
      </c>
      <c r="BC413" s="88">
        <v>502082.28</v>
      </c>
      <c r="BD413" s="84" t="s">
        <v>863</v>
      </c>
      <c r="BG413" s="88">
        <v>0</v>
      </c>
      <c r="BK413" s="88">
        <v>0</v>
      </c>
      <c r="BS413" s="88">
        <v>0</v>
      </c>
      <c r="BV413" s="89">
        <v>0</v>
      </c>
      <c r="BW413" s="89">
        <v>502082.28</v>
      </c>
      <c r="BX413" s="89">
        <v>43459</v>
      </c>
      <c r="BY413" s="89">
        <v>-502082.28</v>
      </c>
      <c r="BZ413" s="112" t="s">
        <v>338</v>
      </c>
    </row>
    <row r="414" spans="1:89" x14ac:dyDescent="0.15">
      <c r="A414" s="84">
        <v>1</v>
      </c>
      <c r="B414" s="85">
        <v>43474</v>
      </c>
      <c r="C414" s="85">
        <v>43474</v>
      </c>
      <c r="F414" s="85" t="s">
        <v>338</v>
      </c>
      <c r="H414" s="85" t="s">
        <v>338</v>
      </c>
      <c r="J414" s="84">
        <v>2</v>
      </c>
      <c r="L414" s="84">
        <v>0</v>
      </c>
      <c r="M414" s="85">
        <v>43459</v>
      </c>
      <c r="N414" s="85" t="s">
        <v>265</v>
      </c>
      <c r="O414" s="86" t="s">
        <v>340</v>
      </c>
      <c r="P414" s="84" t="s">
        <v>78</v>
      </c>
      <c r="Q414" s="86" t="s">
        <v>127</v>
      </c>
      <c r="R414" s="86" t="s">
        <v>1463</v>
      </c>
      <c r="S414" s="87" t="s">
        <v>1464</v>
      </c>
      <c r="T414" s="87" t="s">
        <v>495</v>
      </c>
      <c r="U414" s="88">
        <v>65000</v>
      </c>
      <c r="V414" s="88">
        <v>70200</v>
      </c>
      <c r="W414" s="88">
        <v>65000</v>
      </c>
      <c r="X414" s="88">
        <v>70200</v>
      </c>
      <c r="Z414" s="88">
        <v>0</v>
      </c>
      <c r="AA414" s="85">
        <v>43473</v>
      </c>
      <c r="AB414" s="85">
        <v>43474</v>
      </c>
      <c r="AD414" s="84">
        <v>0</v>
      </c>
      <c r="AG414" s="84">
        <v>0</v>
      </c>
      <c r="AJ414" s="84">
        <v>0</v>
      </c>
      <c r="AN414" s="84" t="s">
        <v>338</v>
      </c>
      <c r="AR414" s="85">
        <v>43473</v>
      </c>
      <c r="AS414" s="84">
        <v>6001634807</v>
      </c>
      <c r="AT414" s="85">
        <v>43473</v>
      </c>
      <c r="AU414" s="84" t="s">
        <v>1462</v>
      </c>
      <c r="AV414" s="85">
        <v>43474</v>
      </c>
      <c r="AW414" s="123">
        <v>43496</v>
      </c>
      <c r="AX414" s="123">
        <v>43516</v>
      </c>
      <c r="AY414" s="132">
        <v>62400</v>
      </c>
      <c r="AZ414" s="132">
        <f>ROUNDDOWN(AY414+(AY414*MASTER!$A$2/100),0)</f>
        <v>67392</v>
      </c>
      <c r="BC414" s="88">
        <v>0</v>
      </c>
      <c r="BG414" s="88">
        <v>0</v>
      </c>
      <c r="BK414" s="88">
        <v>0</v>
      </c>
      <c r="BS414" s="88">
        <v>0</v>
      </c>
      <c r="BV414" s="89">
        <v>70200</v>
      </c>
      <c r="BW414" s="89">
        <v>0</v>
      </c>
      <c r="BX414" s="89">
        <v>43459</v>
      </c>
      <c r="BY414" s="89">
        <v>70200</v>
      </c>
      <c r="BZ414" s="112">
        <v>100</v>
      </c>
      <c r="CK414" s="88">
        <v>0</v>
      </c>
    </row>
    <row r="415" spans="1:89" x14ac:dyDescent="0.15">
      <c r="A415" s="84">
        <v>1</v>
      </c>
      <c r="B415" s="85">
        <v>43474</v>
      </c>
      <c r="C415" s="85">
        <v>43474</v>
      </c>
      <c r="F415" s="85" t="s">
        <v>338</v>
      </c>
      <c r="H415" s="85" t="s">
        <v>338</v>
      </c>
      <c r="J415" s="84">
        <v>2</v>
      </c>
      <c r="L415" s="84">
        <v>0</v>
      </c>
      <c r="M415" s="85">
        <v>43459</v>
      </c>
      <c r="N415" s="85" t="s">
        <v>265</v>
      </c>
      <c r="O415" s="86" t="s">
        <v>340</v>
      </c>
      <c r="P415" s="84" t="s">
        <v>78</v>
      </c>
      <c r="Q415" s="86" t="s">
        <v>127</v>
      </c>
      <c r="R415" s="86" t="s">
        <v>1465</v>
      </c>
      <c r="S415" s="87" t="s">
        <v>1274</v>
      </c>
      <c r="T415" s="87" t="s">
        <v>495</v>
      </c>
      <c r="U415" s="88">
        <v>65000</v>
      </c>
      <c r="V415" s="88">
        <v>70200</v>
      </c>
      <c r="W415" s="88">
        <v>65000</v>
      </c>
      <c r="X415" s="88">
        <v>70200</v>
      </c>
      <c r="Z415" s="88">
        <v>0</v>
      </c>
      <c r="AA415" s="85">
        <v>43473</v>
      </c>
      <c r="AB415" s="85">
        <v>43474</v>
      </c>
      <c r="AD415" s="84">
        <v>0</v>
      </c>
      <c r="AG415" s="84">
        <v>0</v>
      </c>
      <c r="AJ415" s="84">
        <v>0</v>
      </c>
      <c r="AN415" s="84" t="s">
        <v>338</v>
      </c>
      <c r="AR415" s="85">
        <v>43473</v>
      </c>
      <c r="AS415" s="84">
        <v>6001634807</v>
      </c>
      <c r="AT415" s="85">
        <v>43473</v>
      </c>
      <c r="AU415" s="84" t="s">
        <v>1462</v>
      </c>
      <c r="AV415" s="85">
        <v>43474</v>
      </c>
      <c r="AW415" s="123">
        <v>43496</v>
      </c>
      <c r="AX415" s="123">
        <v>43516</v>
      </c>
      <c r="AY415" s="132">
        <v>62400</v>
      </c>
      <c r="AZ415" s="132">
        <f>ROUNDDOWN(AY415+(AY415*MASTER!$A$2/100),0)</f>
        <v>67392</v>
      </c>
      <c r="BC415" s="88">
        <v>0</v>
      </c>
      <c r="BG415" s="88">
        <v>0</v>
      </c>
      <c r="BK415" s="88">
        <v>0</v>
      </c>
      <c r="BS415" s="88">
        <v>0</v>
      </c>
      <c r="BV415" s="89">
        <v>70200</v>
      </c>
      <c r="BW415" s="89">
        <v>0</v>
      </c>
      <c r="BX415" s="89">
        <v>43459</v>
      </c>
      <c r="BY415" s="89">
        <v>70200</v>
      </c>
      <c r="BZ415" s="112">
        <v>100</v>
      </c>
      <c r="CK415" s="88">
        <v>0</v>
      </c>
    </row>
    <row r="416" spans="1:89" x14ac:dyDescent="0.15">
      <c r="A416" s="84">
        <v>1</v>
      </c>
      <c r="B416" s="85">
        <v>43474</v>
      </c>
      <c r="C416" s="85">
        <v>43476</v>
      </c>
      <c r="F416" s="85" t="s">
        <v>338</v>
      </c>
      <c r="H416" s="85" t="s">
        <v>338</v>
      </c>
      <c r="J416" s="84">
        <v>2</v>
      </c>
      <c r="L416" s="84">
        <v>0</v>
      </c>
      <c r="M416" s="85">
        <v>43459</v>
      </c>
      <c r="N416" s="85" t="s">
        <v>265</v>
      </c>
      <c r="O416" s="86" t="s">
        <v>340</v>
      </c>
      <c r="P416" s="84" t="s">
        <v>78</v>
      </c>
      <c r="Q416" s="86" t="s">
        <v>127</v>
      </c>
      <c r="R416" s="86" t="s">
        <v>1471</v>
      </c>
      <c r="S416" s="87" t="s">
        <v>1078</v>
      </c>
      <c r="T416" s="87" t="s">
        <v>491</v>
      </c>
      <c r="U416" s="88">
        <v>65000</v>
      </c>
      <c r="V416" s="88">
        <v>70200</v>
      </c>
      <c r="W416" s="88">
        <v>65000</v>
      </c>
      <c r="X416" s="88">
        <v>70200</v>
      </c>
      <c r="Z416" s="88">
        <v>0</v>
      </c>
      <c r="AA416" s="85">
        <v>43475</v>
      </c>
      <c r="AB416" s="85">
        <v>43476</v>
      </c>
      <c r="AD416" s="84">
        <v>0</v>
      </c>
      <c r="AG416" s="84">
        <v>0</v>
      </c>
      <c r="AJ416" s="84">
        <v>0</v>
      </c>
      <c r="AN416" s="84" t="s">
        <v>338</v>
      </c>
      <c r="AR416" s="85">
        <v>43473</v>
      </c>
      <c r="AS416" s="84">
        <v>6001634807</v>
      </c>
      <c r="AT416" s="85">
        <v>43473</v>
      </c>
      <c r="AU416" s="84" t="s">
        <v>1462</v>
      </c>
      <c r="AV416" s="85">
        <v>43476</v>
      </c>
      <c r="AW416" s="123">
        <v>43496</v>
      </c>
      <c r="AX416" s="123">
        <v>43516</v>
      </c>
      <c r="AY416" s="132">
        <v>62400</v>
      </c>
      <c r="AZ416" s="132">
        <f>ROUNDDOWN(AY416+(AY416*MASTER!$A$2/100),0)</f>
        <v>67392</v>
      </c>
      <c r="BC416" s="88">
        <v>0</v>
      </c>
      <c r="BG416" s="88">
        <v>0</v>
      </c>
      <c r="BK416" s="88">
        <v>0</v>
      </c>
      <c r="BS416" s="88">
        <v>0</v>
      </c>
      <c r="BV416" s="89">
        <v>70200</v>
      </c>
      <c r="BW416" s="89">
        <v>0</v>
      </c>
      <c r="BX416" s="89">
        <v>43459</v>
      </c>
      <c r="BY416" s="89">
        <v>70200</v>
      </c>
      <c r="BZ416" s="112">
        <v>100</v>
      </c>
      <c r="CK416" s="88">
        <v>0</v>
      </c>
    </row>
    <row r="417" spans="1:89" x14ac:dyDescent="0.15">
      <c r="A417" s="84">
        <v>1</v>
      </c>
      <c r="B417" s="85">
        <v>43474</v>
      </c>
      <c r="C417" s="85">
        <v>43477</v>
      </c>
      <c r="F417" s="85" t="s">
        <v>338</v>
      </c>
      <c r="H417" s="85" t="s">
        <v>338</v>
      </c>
      <c r="J417" s="84">
        <v>2</v>
      </c>
      <c r="L417" s="84">
        <v>0</v>
      </c>
      <c r="M417" s="85">
        <v>43459</v>
      </c>
      <c r="N417" s="85" t="s">
        <v>265</v>
      </c>
      <c r="O417" s="86" t="s">
        <v>340</v>
      </c>
      <c r="P417" s="84" t="s">
        <v>78</v>
      </c>
      <c r="Q417" s="86" t="s">
        <v>127</v>
      </c>
      <c r="R417" s="86" t="s">
        <v>1474</v>
      </c>
      <c r="S417" s="87" t="s">
        <v>1078</v>
      </c>
      <c r="T417" s="87" t="s">
        <v>726</v>
      </c>
      <c r="U417" s="88">
        <v>65000</v>
      </c>
      <c r="V417" s="88">
        <v>70200</v>
      </c>
      <c r="W417" s="88">
        <v>65000</v>
      </c>
      <c r="X417" s="88">
        <v>70200</v>
      </c>
      <c r="Z417" s="88">
        <v>0</v>
      </c>
      <c r="AA417" s="85">
        <v>43476</v>
      </c>
      <c r="AB417" s="85">
        <v>43477</v>
      </c>
      <c r="AD417" s="84">
        <v>0</v>
      </c>
      <c r="AG417" s="84">
        <v>0</v>
      </c>
      <c r="AJ417" s="84">
        <v>0</v>
      </c>
      <c r="AN417" s="84" t="s">
        <v>338</v>
      </c>
      <c r="AR417" s="85">
        <v>43473</v>
      </c>
      <c r="AS417" s="84">
        <v>6001634807</v>
      </c>
      <c r="AT417" s="85">
        <v>43473</v>
      </c>
      <c r="AU417" s="84" t="s">
        <v>1462</v>
      </c>
      <c r="AV417" s="85">
        <v>43477</v>
      </c>
      <c r="AW417" s="123">
        <v>43496</v>
      </c>
      <c r="AX417" s="123">
        <v>43516</v>
      </c>
      <c r="AY417" s="132">
        <v>62400</v>
      </c>
      <c r="AZ417" s="132">
        <f>ROUNDDOWN(AY417+(AY417*MASTER!$A$2/100),0)</f>
        <v>67392</v>
      </c>
      <c r="BC417" s="88">
        <v>0</v>
      </c>
      <c r="BG417" s="88">
        <v>0</v>
      </c>
      <c r="BK417" s="88">
        <v>0</v>
      </c>
      <c r="BS417" s="88">
        <v>0</v>
      </c>
      <c r="BV417" s="89">
        <v>70200</v>
      </c>
      <c r="BW417" s="89">
        <v>0</v>
      </c>
      <c r="BX417" s="89">
        <v>43459</v>
      </c>
      <c r="BY417" s="89">
        <v>70200</v>
      </c>
      <c r="BZ417" s="112">
        <v>100</v>
      </c>
      <c r="CK417" s="88">
        <v>0</v>
      </c>
    </row>
    <row r="418" spans="1:89" x14ac:dyDescent="0.15">
      <c r="A418" s="84">
        <v>1</v>
      </c>
      <c r="B418" s="85">
        <v>43474</v>
      </c>
      <c r="C418" s="85">
        <v>43481</v>
      </c>
      <c r="F418" s="85" t="s">
        <v>338</v>
      </c>
      <c r="H418" s="85" t="s">
        <v>338</v>
      </c>
      <c r="J418" s="84">
        <v>2</v>
      </c>
      <c r="L418" s="84">
        <v>0</v>
      </c>
      <c r="M418" s="85">
        <v>43459</v>
      </c>
      <c r="N418" s="85" t="s">
        <v>265</v>
      </c>
      <c r="O418" s="86" t="s">
        <v>340</v>
      </c>
      <c r="P418" s="84" t="s">
        <v>78</v>
      </c>
      <c r="Q418" s="86" t="s">
        <v>127</v>
      </c>
      <c r="R418" s="86" t="s">
        <v>1475</v>
      </c>
      <c r="S418" s="87" t="s">
        <v>1476</v>
      </c>
      <c r="T418" s="87" t="s">
        <v>726</v>
      </c>
      <c r="U418" s="88">
        <v>65000</v>
      </c>
      <c r="V418" s="88">
        <v>70200</v>
      </c>
      <c r="W418" s="88">
        <v>65000</v>
      </c>
      <c r="X418" s="88">
        <v>70200</v>
      </c>
      <c r="Z418" s="88">
        <v>0</v>
      </c>
      <c r="AA418" s="85">
        <v>43480</v>
      </c>
      <c r="AB418" s="85">
        <v>43481</v>
      </c>
      <c r="AD418" s="84">
        <v>0</v>
      </c>
      <c r="AG418" s="84">
        <v>0</v>
      </c>
      <c r="AJ418" s="84">
        <v>0</v>
      </c>
      <c r="AN418" s="84" t="s">
        <v>338</v>
      </c>
      <c r="AR418" s="85">
        <v>43473</v>
      </c>
      <c r="AS418" s="84">
        <v>6001634807</v>
      </c>
      <c r="AT418" s="85">
        <v>43473</v>
      </c>
      <c r="AU418" s="84" t="s">
        <v>1462</v>
      </c>
      <c r="AV418" s="85">
        <v>43481</v>
      </c>
      <c r="AW418" s="123">
        <v>43496</v>
      </c>
      <c r="AX418" s="123">
        <v>43516</v>
      </c>
      <c r="AY418" s="132">
        <v>62400</v>
      </c>
      <c r="AZ418" s="132">
        <f>ROUNDDOWN(AY418+(AY418*MASTER!$A$2/100),0)</f>
        <v>67392</v>
      </c>
      <c r="BC418" s="88">
        <v>0</v>
      </c>
      <c r="BG418" s="88">
        <v>0</v>
      </c>
      <c r="BK418" s="88">
        <v>0</v>
      </c>
      <c r="BS418" s="88">
        <v>0</v>
      </c>
      <c r="BV418" s="89">
        <v>70200</v>
      </c>
      <c r="BW418" s="89">
        <v>0</v>
      </c>
      <c r="BX418" s="89">
        <v>43459</v>
      </c>
      <c r="BY418" s="89">
        <v>70200</v>
      </c>
      <c r="BZ418" s="112">
        <v>100</v>
      </c>
      <c r="CK418" s="88">
        <v>0</v>
      </c>
    </row>
    <row r="419" spans="1:89" x14ac:dyDescent="0.15">
      <c r="A419" s="84">
        <v>1</v>
      </c>
      <c r="B419" s="85">
        <v>43474</v>
      </c>
      <c r="C419" s="85">
        <v>43481</v>
      </c>
      <c r="F419" s="85" t="s">
        <v>338</v>
      </c>
      <c r="H419" s="85" t="s">
        <v>338</v>
      </c>
      <c r="J419" s="84">
        <v>2</v>
      </c>
      <c r="L419" s="84">
        <v>0</v>
      </c>
      <c r="M419" s="85">
        <v>43459</v>
      </c>
      <c r="N419" s="85" t="s">
        <v>265</v>
      </c>
      <c r="O419" s="86" t="s">
        <v>340</v>
      </c>
      <c r="P419" s="84" t="s">
        <v>78</v>
      </c>
      <c r="Q419" s="86" t="s">
        <v>127</v>
      </c>
      <c r="R419" s="86" t="s">
        <v>1477</v>
      </c>
      <c r="S419" s="87" t="s">
        <v>619</v>
      </c>
      <c r="T419" s="87" t="s">
        <v>726</v>
      </c>
      <c r="U419" s="88">
        <v>65000</v>
      </c>
      <c r="V419" s="88">
        <v>70200</v>
      </c>
      <c r="W419" s="88">
        <v>65000</v>
      </c>
      <c r="X419" s="88">
        <v>70200</v>
      </c>
      <c r="Z419" s="88">
        <v>0</v>
      </c>
      <c r="AA419" s="85">
        <v>43480</v>
      </c>
      <c r="AB419" s="85">
        <v>43481</v>
      </c>
      <c r="AD419" s="84">
        <v>0</v>
      </c>
      <c r="AG419" s="84">
        <v>0</v>
      </c>
      <c r="AJ419" s="84">
        <v>0</v>
      </c>
      <c r="AN419" s="84" t="s">
        <v>338</v>
      </c>
      <c r="AR419" s="85">
        <v>43473</v>
      </c>
      <c r="AS419" s="84">
        <v>6001634807</v>
      </c>
      <c r="AT419" s="85">
        <v>43473</v>
      </c>
      <c r="AU419" s="84" t="s">
        <v>1462</v>
      </c>
      <c r="AV419" s="85">
        <v>43481</v>
      </c>
      <c r="AW419" s="123">
        <v>43496</v>
      </c>
      <c r="AX419" s="123">
        <v>43516</v>
      </c>
      <c r="AY419" s="132">
        <v>62400</v>
      </c>
      <c r="AZ419" s="132">
        <f>ROUNDDOWN(AY419+(AY419*MASTER!$A$2/100),0)</f>
        <v>67392</v>
      </c>
      <c r="BC419" s="88">
        <v>0</v>
      </c>
      <c r="BG419" s="88">
        <v>0</v>
      </c>
      <c r="BK419" s="88">
        <v>0</v>
      </c>
      <c r="BS419" s="88">
        <v>0</v>
      </c>
      <c r="BV419" s="89">
        <v>70200</v>
      </c>
      <c r="BW419" s="89">
        <v>0</v>
      </c>
      <c r="BX419" s="89">
        <v>43459</v>
      </c>
      <c r="BY419" s="89">
        <v>70200</v>
      </c>
      <c r="BZ419" s="112">
        <v>100</v>
      </c>
      <c r="CK419" s="88">
        <v>0</v>
      </c>
    </row>
    <row r="420" spans="1:89" x14ac:dyDescent="0.15">
      <c r="A420" s="84">
        <v>1</v>
      </c>
      <c r="B420" s="85">
        <v>43474</v>
      </c>
      <c r="C420" s="85">
        <v>43482</v>
      </c>
      <c r="F420" s="85" t="s">
        <v>338</v>
      </c>
      <c r="H420" s="85" t="s">
        <v>338</v>
      </c>
      <c r="J420" s="84">
        <v>2</v>
      </c>
      <c r="L420" s="84">
        <v>0</v>
      </c>
      <c r="M420" s="85">
        <v>43459</v>
      </c>
      <c r="N420" s="85" t="s">
        <v>265</v>
      </c>
      <c r="O420" s="86" t="s">
        <v>340</v>
      </c>
      <c r="P420" s="84" t="s">
        <v>78</v>
      </c>
      <c r="Q420" s="86" t="s">
        <v>127</v>
      </c>
      <c r="R420" s="86" t="s">
        <v>1478</v>
      </c>
      <c r="S420" s="87" t="s">
        <v>1599</v>
      </c>
      <c r="T420" s="87" t="s">
        <v>491</v>
      </c>
      <c r="U420" s="88">
        <v>65000</v>
      </c>
      <c r="V420" s="88">
        <v>70200</v>
      </c>
      <c r="W420" s="88">
        <v>65000</v>
      </c>
      <c r="X420" s="88">
        <v>70200</v>
      </c>
      <c r="Z420" s="88">
        <v>0</v>
      </c>
      <c r="AA420" s="85">
        <v>43481</v>
      </c>
      <c r="AB420" s="85">
        <v>43482</v>
      </c>
      <c r="AD420" s="84">
        <v>0</v>
      </c>
      <c r="AG420" s="84">
        <v>0</v>
      </c>
      <c r="AJ420" s="84">
        <v>0</v>
      </c>
      <c r="AN420" s="84" t="s">
        <v>338</v>
      </c>
      <c r="AR420" s="85">
        <v>43473</v>
      </c>
      <c r="AS420" s="84">
        <v>6001634807</v>
      </c>
      <c r="AT420" s="85">
        <v>43473</v>
      </c>
      <c r="AU420" s="84" t="s">
        <v>1462</v>
      </c>
      <c r="AV420" s="85">
        <v>43482</v>
      </c>
      <c r="AW420" s="123">
        <v>43496</v>
      </c>
      <c r="AX420" s="123">
        <v>43516</v>
      </c>
      <c r="AY420" s="132">
        <v>62400</v>
      </c>
      <c r="AZ420" s="132">
        <f>ROUNDDOWN(AY420+(AY420*MASTER!$A$2/100),0)</f>
        <v>67392</v>
      </c>
      <c r="BC420" s="88">
        <v>0</v>
      </c>
      <c r="BG420" s="88">
        <v>0</v>
      </c>
      <c r="BK420" s="88">
        <v>0</v>
      </c>
      <c r="BS420" s="88">
        <v>0</v>
      </c>
      <c r="BV420" s="89">
        <v>70200</v>
      </c>
      <c r="BW420" s="89">
        <v>0</v>
      </c>
      <c r="BX420" s="89">
        <v>43459</v>
      </c>
      <c r="BY420" s="89">
        <v>70200</v>
      </c>
      <c r="BZ420" s="112">
        <v>100</v>
      </c>
      <c r="CK420" s="88">
        <v>0</v>
      </c>
    </row>
    <row r="421" spans="1:89" x14ac:dyDescent="0.15">
      <c r="A421" s="84">
        <v>1</v>
      </c>
      <c r="B421" s="85">
        <v>43474</v>
      </c>
      <c r="C421" s="85">
        <v>43483</v>
      </c>
      <c r="F421" s="85" t="s">
        <v>338</v>
      </c>
      <c r="H421" s="85" t="s">
        <v>338</v>
      </c>
      <c r="J421" s="84">
        <v>2</v>
      </c>
      <c r="L421" s="84">
        <v>0</v>
      </c>
      <c r="M421" s="85">
        <v>43459</v>
      </c>
      <c r="N421" s="85" t="s">
        <v>265</v>
      </c>
      <c r="O421" s="86" t="s">
        <v>340</v>
      </c>
      <c r="P421" s="84" t="s">
        <v>78</v>
      </c>
      <c r="Q421" s="86" t="s">
        <v>127</v>
      </c>
      <c r="R421" s="86" t="s">
        <v>1479</v>
      </c>
      <c r="S421" s="87" t="s">
        <v>1480</v>
      </c>
      <c r="T421" s="87" t="s">
        <v>495</v>
      </c>
      <c r="U421" s="88">
        <v>65000</v>
      </c>
      <c r="V421" s="88">
        <v>70200</v>
      </c>
      <c r="W421" s="88">
        <v>65000</v>
      </c>
      <c r="X421" s="88">
        <v>70200</v>
      </c>
      <c r="Z421" s="88">
        <v>0</v>
      </c>
      <c r="AA421" s="85">
        <v>43482</v>
      </c>
      <c r="AB421" s="85">
        <v>43483</v>
      </c>
      <c r="AD421" s="84">
        <v>0</v>
      </c>
      <c r="AG421" s="84">
        <v>0</v>
      </c>
      <c r="AJ421" s="84">
        <v>0</v>
      </c>
      <c r="AN421" s="84" t="s">
        <v>338</v>
      </c>
      <c r="AR421" s="85">
        <v>43473</v>
      </c>
      <c r="AS421" s="84">
        <v>6001634807</v>
      </c>
      <c r="AT421" s="85">
        <v>43473</v>
      </c>
      <c r="AU421" s="84" t="s">
        <v>1462</v>
      </c>
      <c r="AV421" s="85">
        <v>43483</v>
      </c>
      <c r="AW421" s="123">
        <v>43496</v>
      </c>
      <c r="AX421" s="123">
        <v>43516</v>
      </c>
      <c r="AY421" s="132">
        <v>62400</v>
      </c>
      <c r="AZ421" s="132">
        <f>ROUNDDOWN(AY421+(AY421*MASTER!$A$2/100),0)</f>
        <v>67392</v>
      </c>
      <c r="BC421" s="88">
        <v>0</v>
      </c>
      <c r="BG421" s="88">
        <v>0</v>
      </c>
      <c r="BK421" s="88">
        <v>0</v>
      </c>
      <c r="BS421" s="88">
        <v>0</v>
      </c>
      <c r="BV421" s="89">
        <v>70200</v>
      </c>
      <c r="BW421" s="89">
        <v>0</v>
      </c>
      <c r="BX421" s="89">
        <v>43459</v>
      </c>
      <c r="BY421" s="89">
        <v>70200</v>
      </c>
      <c r="BZ421" s="112">
        <v>100</v>
      </c>
      <c r="CK421" s="88">
        <v>0</v>
      </c>
    </row>
    <row r="422" spans="1:89" x14ac:dyDescent="0.15">
      <c r="A422" s="84">
        <v>1</v>
      </c>
      <c r="B422" s="85">
        <v>43474</v>
      </c>
      <c r="C422" s="85">
        <v>43484</v>
      </c>
      <c r="F422" s="85" t="s">
        <v>338</v>
      </c>
      <c r="H422" s="85" t="s">
        <v>338</v>
      </c>
      <c r="J422" s="84">
        <v>2</v>
      </c>
      <c r="L422" s="84">
        <v>0</v>
      </c>
      <c r="M422" s="85">
        <v>43459</v>
      </c>
      <c r="N422" s="85" t="s">
        <v>265</v>
      </c>
      <c r="O422" s="86" t="s">
        <v>340</v>
      </c>
      <c r="P422" s="84" t="s">
        <v>78</v>
      </c>
      <c r="Q422" s="86" t="s">
        <v>127</v>
      </c>
      <c r="R422" s="86" t="s">
        <v>1408</v>
      </c>
      <c r="S422" s="87" t="s">
        <v>1409</v>
      </c>
      <c r="T422" s="87" t="s">
        <v>726</v>
      </c>
      <c r="U422" s="88">
        <v>65000</v>
      </c>
      <c r="V422" s="88">
        <v>70200</v>
      </c>
      <c r="W422" s="88">
        <v>65000</v>
      </c>
      <c r="X422" s="88">
        <v>70200</v>
      </c>
      <c r="Z422" s="88">
        <v>0</v>
      </c>
      <c r="AA422" s="85">
        <v>43483</v>
      </c>
      <c r="AB422" s="85">
        <v>43484</v>
      </c>
      <c r="AD422" s="84">
        <v>0</v>
      </c>
      <c r="AG422" s="84">
        <v>0</v>
      </c>
      <c r="AJ422" s="84">
        <v>0</v>
      </c>
      <c r="AN422" s="84" t="s">
        <v>338</v>
      </c>
      <c r="AR422" s="85">
        <v>43473</v>
      </c>
      <c r="AS422" s="84">
        <v>6001634807</v>
      </c>
      <c r="AT422" s="85">
        <v>43473</v>
      </c>
      <c r="AU422" s="84" t="s">
        <v>1462</v>
      </c>
      <c r="AV422" s="85">
        <v>43484</v>
      </c>
      <c r="AW422" s="123">
        <v>43496</v>
      </c>
      <c r="AX422" s="123">
        <v>43516</v>
      </c>
      <c r="AY422" s="132">
        <v>62400</v>
      </c>
      <c r="AZ422" s="132">
        <f>ROUNDDOWN(AY422+(AY422*MASTER!$A$2/100),0)</f>
        <v>67392</v>
      </c>
      <c r="BC422" s="88">
        <v>0</v>
      </c>
      <c r="BG422" s="88">
        <v>0</v>
      </c>
      <c r="BK422" s="88">
        <v>0</v>
      </c>
      <c r="BS422" s="88">
        <v>0</v>
      </c>
      <c r="BV422" s="89">
        <v>70200</v>
      </c>
      <c r="BW422" s="89">
        <v>0</v>
      </c>
      <c r="BX422" s="89">
        <v>43459</v>
      </c>
      <c r="BY422" s="89">
        <v>70200</v>
      </c>
      <c r="BZ422" s="112">
        <v>100</v>
      </c>
      <c r="CK422" s="88">
        <v>0</v>
      </c>
    </row>
    <row r="423" spans="1:89" x14ac:dyDescent="0.15">
      <c r="A423" s="84">
        <v>1</v>
      </c>
      <c r="B423" s="85">
        <v>43474</v>
      </c>
      <c r="C423" s="85">
        <v>43487</v>
      </c>
      <c r="F423" s="85" t="s">
        <v>338</v>
      </c>
      <c r="H423" s="85" t="s">
        <v>338</v>
      </c>
      <c r="J423" s="84">
        <v>2</v>
      </c>
      <c r="L423" s="84">
        <v>0</v>
      </c>
      <c r="M423" s="85">
        <v>43459</v>
      </c>
      <c r="N423" s="85" t="s">
        <v>265</v>
      </c>
      <c r="O423" s="86" t="s">
        <v>340</v>
      </c>
      <c r="P423" s="84" t="s">
        <v>78</v>
      </c>
      <c r="Q423" s="86" t="s">
        <v>127</v>
      </c>
      <c r="R423" s="86" t="s">
        <v>1481</v>
      </c>
      <c r="S423" s="87" t="s">
        <v>1482</v>
      </c>
      <c r="T423" s="87" t="s">
        <v>491</v>
      </c>
      <c r="U423" s="88">
        <v>65000</v>
      </c>
      <c r="V423" s="88">
        <v>70200</v>
      </c>
      <c r="W423" s="88">
        <v>65000</v>
      </c>
      <c r="X423" s="88">
        <v>70200</v>
      </c>
      <c r="Z423" s="88">
        <v>0</v>
      </c>
      <c r="AA423" s="85">
        <v>43486</v>
      </c>
      <c r="AB423" s="85">
        <v>43487</v>
      </c>
      <c r="AD423" s="84">
        <v>0</v>
      </c>
      <c r="AG423" s="84">
        <v>0</v>
      </c>
      <c r="AJ423" s="84">
        <v>0</v>
      </c>
      <c r="AN423" s="84" t="s">
        <v>338</v>
      </c>
      <c r="AR423" s="85">
        <v>43473</v>
      </c>
      <c r="AS423" s="84">
        <v>6001634807</v>
      </c>
      <c r="AT423" s="85">
        <v>43473</v>
      </c>
      <c r="AU423" s="84" t="s">
        <v>1462</v>
      </c>
      <c r="AV423" s="85">
        <v>43487</v>
      </c>
      <c r="AW423" s="123">
        <v>43496</v>
      </c>
      <c r="AX423" s="123">
        <v>43516</v>
      </c>
      <c r="AY423" s="132">
        <v>62400</v>
      </c>
      <c r="AZ423" s="132">
        <f>ROUNDDOWN(AY423+(AY423*MASTER!$A$2/100),0)</f>
        <v>67392</v>
      </c>
      <c r="BC423" s="88">
        <v>0</v>
      </c>
      <c r="BG423" s="88">
        <v>0</v>
      </c>
      <c r="BK423" s="88">
        <v>0</v>
      </c>
      <c r="BS423" s="88">
        <v>0</v>
      </c>
      <c r="BV423" s="89">
        <v>70200</v>
      </c>
      <c r="BW423" s="89">
        <v>0</v>
      </c>
      <c r="BX423" s="89">
        <v>43459</v>
      </c>
      <c r="BY423" s="89">
        <v>70200</v>
      </c>
      <c r="BZ423" s="112">
        <v>100</v>
      </c>
      <c r="CK423" s="88">
        <v>0</v>
      </c>
    </row>
    <row r="424" spans="1:89" x14ac:dyDescent="0.15">
      <c r="A424" s="84">
        <v>1</v>
      </c>
      <c r="B424" s="85">
        <v>43474</v>
      </c>
      <c r="C424" s="85">
        <v>43488</v>
      </c>
      <c r="F424" s="85" t="s">
        <v>338</v>
      </c>
      <c r="H424" s="85" t="s">
        <v>338</v>
      </c>
      <c r="J424" s="84">
        <v>2</v>
      </c>
      <c r="L424" s="84">
        <v>0</v>
      </c>
      <c r="M424" s="85">
        <v>43459</v>
      </c>
      <c r="N424" s="85" t="s">
        <v>265</v>
      </c>
      <c r="O424" s="86" t="s">
        <v>340</v>
      </c>
      <c r="P424" s="84" t="s">
        <v>78</v>
      </c>
      <c r="Q424" s="86" t="s">
        <v>127</v>
      </c>
      <c r="R424" s="86" t="s">
        <v>1466</v>
      </c>
      <c r="S424" s="87" t="s">
        <v>1467</v>
      </c>
      <c r="T424" s="87" t="s">
        <v>1468</v>
      </c>
      <c r="U424" s="88">
        <v>65000</v>
      </c>
      <c r="V424" s="88">
        <v>70200</v>
      </c>
      <c r="W424" s="88">
        <v>65000</v>
      </c>
      <c r="X424" s="88">
        <v>70200</v>
      </c>
      <c r="Z424" s="88">
        <v>0</v>
      </c>
      <c r="AA424" s="85">
        <v>43487</v>
      </c>
      <c r="AB424" s="85">
        <v>43488</v>
      </c>
      <c r="AD424" s="84">
        <v>0</v>
      </c>
      <c r="AG424" s="84">
        <v>0</v>
      </c>
      <c r="AJ424" s="84">
        <v>0</v>
      </c>
      <c r="AN424" s="84" t="s">
        <v>338</v>
      </c>
      <c r="AR424" s="85">
        <v>43473</v>
      </c>
      <c r="AS424" s="84">
        <v>6001634807</v>
      </c>
      <c r="AT424" s="85">
        <v>43473</v>
      </c>
      <c r="AU424" s="84" t="s">
        <v>1462</v>
      </c>
      <c r="AV424" s="85">
        <v>43488</v>
      </c>
      <c r="AW424" s="123">
        <v>43496</v>
      </c>
      <c r="AX424" s="123">
        <v>43516</v>
      </c>
      <c r="AY424" s="132">
        <v>62400</v>
      </c>
      <c r="AZ424" s="132">
        <f>ROUNDDOWN(AY424+(AY424*MASTER!$A$2/100),0)</f>
        <v>67392</v>
      </c>
      <c r="BC424" s="88">
        <v>0</v>
      </c>
      <c r="BG424" s="88">
        <v>0</v>
      </c>
      <c r="BK424" s="88">
        <v>0</v>
      </c>
      <c r="BS424" s="88">
        <v>0</v>
      </c>
      <c r="BV424" s="89">
        <v>70200</v>
      </c>
      <c r="BW424" s="89">
        <v>0</v>
      </c>
      <c r="BX424" s="89">
        <v>43459</v>
      </c>
      <c r="BY424" s="89">
        <v>70200</v>
      </c>
      <c r="BZ424" s="112">
        <v>100</v>
      </c>
      <c r="CK424" s="88">
        <v>0</v>
      </c>
    </row>
    <row r="425" spans="1:89" x14ac:dyDescent="0.15">
      <c r="A425" s="84">
        <v>1</v>
      </c>
      <c r="B425" s="85">
        <v>43474</v>
      </c>
      <c r="C425" s="85">
        <v>43489</v>
      </c>
      <c r="F425" s="85" t="s">
        <v>338</v>
      </c>
      <c r="H425" s="85" t="s">
        <v>338</v>
      </c>
      <c r="J425" s="84">
        <v>2</v>
      </c>
      <c r="L425" s="84">
        <v>0</v>
      </c>
      <c r="M425" s="85">
        <v>43459</v>
      </c>
      <c r="N425" s="85" t="s">
        <v>265</v>
      </c>
      <c r="O425" s="86" t="s">
        <v>340</v>
      </c>
      <c r="P425" s="84" t="s">
        <v>78</v>
      </c>
      <c r="Q425" s="86" t="s">
        <v>127</v>
      </c>
      <c r="R425" s="86" t="s">
        <v>1483</v>
      </c>
      <c r="S425" s="87" t="s">
        <v>919</v>
      </c>
      <c r="T425" s="87" t="s">
        <v>726</v>
      </c>
      <c r="U425" s="88">
        <v>65000</v>
      </c>
      <c r="V425" s="88">
        <v>70200</v>
      </c>
      <c r="W425" s="88">
        <v>65000</v>
      </c>
      <c r="X425" s="88">
        <v>70200</v>
      </c>
      <c r="Z425" s="88">
        <v>0</v>
      </c>
      <c r="AA425" s="85">
        <v>43488</v>
      </c>
      <c r="AB425" s="85">
        <v>43489</v>
      </c>
      <c r="AD425" s="84">
        <v>0</v>
      </c>
      <c r="AG425" s="84">
        <v>0</v>
      </c>
      <c r="AJ425" s="84">
        <v>0</v>
      </c>
      <c r="AN425" s="84" t="s">
        <v>338</v>
      </c>
      <c r="AR425" s="85">
        <v>43473</v>
      </c>
      <c r="AS425" s="84">
        <v>6001634807</v>
      </c>
      <c r="AT425" s="85">
        <v>43473</v>
      </c>
      <c r="AU425" s="84" t="s">
        <v>1462</v>
      </c>
      <c r="AV425" s="85">
        <v>43489</v>
      </c>
      <c r="AW425" s="123">
        <v>43496</v>
      </c>
      <c r="AX425" s="123">
        <v>43516</v>
      </c>
      <c r="AY425" s="132">
        <v>62400</v>
      </c>
      <c r="AZ425" s="132">
        <f>ROUNDDOWN(AY425+(AY425*MASTER!$A$2/100),0)</f>
        <v>67392</v>
      </c>
      <c r="BC425" s="88">
        <v>0</v>
      </c>
      <c r="BG425" s="88">
        <v>0</v>
      </c>
      <c r="BK425" s="88">
        <v>0</v>
      </c>
      <c r="BS425" s="88">
        <v>0</v>
      </c>
      <c r="BV425" s="89">
        <v>70200</v>
      </c>
      <c r="BW425" s="89">
        <v>0</v>
      </c>
      <c r="BX425" s="89">
        <v>43459</v>
      </c>
      <c r="BY425" s="89">
        <v>70200</v>
      </c>
      <c r="BZ425" s="112">
        <v>100</v>
      </c>
      <c r="CK425" s="88">
        <v>0</v>
      </c>
    </row>
    <row r="426" spans="1:89" x14ac:dyDescent="0.15">
      <c r="A426" s="84">
        <v>1</v>
      </c>
      <c r="B426" s="85">
        <v>43474</v>
      </c>
      <c r="C426" s="85">
        <v>43489</v>
      </c>
      <c r="F426" s="85" t="s">
        <v>338</v>
      </c>
      <c r="H426" s="85" t="s">
        <v>338</v>
      </c>
      <c r="J426" s="84">
        <v>2</v>
      </c>
      <c r="L426" s="84">
        <v>0</v>
      </c>
      <c r="M426" s="85">
        <v>43459</v>
      </c>
      <c r="N426" s="85" t="s">
        <v>265</v>
      </c>
      <c r="O426" s="86" t="s">
        <v>340</v>
      </c>
      <c r="P426" s="84" t="s">
        <v>78</v>
      </c>
      <c r="Q426" s="86" t="s">
        <v>127</v>
      </c>
      <c r="R426" s="86" t="s">
        <v>1484</v>
      </c>
      <c r="S426" s="87" t="s">
        <v>571</v>
      </c>
      <c r="T426" s="87" t="s">
        <v>726</v>
      </c>
      <c r="U426" s="88">
        <v>65000</v>
      </c>
      <c r="V426" s="88">
        <v>70200</v>
      </c>
      <c r="W426" s="88">
        <v>65000</v>
      </c>
      <c r="X426" s="88">
        <v>70200</v>
      </c>
      <c r="Z426" s="88">
        <v>0</v>
      </c>
      <c r="AA426" s="85">
        <v>43488</v>
      </c>
      <c r="AB426" s="85">
        <v>43489</v>
      </c>
      <c r="AD426" s="84">
        <v>0</v>
      </c>
      <c r="AG426" s="84">
        <v>0</v>
      </c>
      <c r="AJ426" s="84">
        <v>0</v>
      </c>
      <c r="AN426" s="84" t="s">
        <v>338</v>
      </c>
      <c r="AR426" s="85">
        <v>43473</v>
      </c>
      <c r="AS426" s="84">
        <v>6001634807</v>
      </c>
      <c r="AT426" s="85">
        <v>43473</v>
      </c>
      <c r="AU426" s="84" t="s">
        <v>1462</v>
      </c>
      <c r="AV426" s="85">
        <v>43489</v>
      </c>
      <c r="AW426" s="123">
        <v>43496</v>
      </c>
      <c r="AX426" s="123">
        <v>43516</v>
      </c>
      <c r="AY426" s="132">
        <v>62400</v>
      </c>
      <c r="AZ426" s="132">
        <f>ROUNDDOWN(AY426+(AY426*MASTER!$A$2/100),0)</f>
        <v>67392</v>
      </c>
      <c r="BC426" s="88">
        <v>0</v>
      </c>
      <c r="BG426" s="88">
        <v>0</v>
      </c>
      <c r="BK426" s="88">
        <v>0</v>
      </c>
      <c r="BS426" s="88">
        <v>0</v>
      </c>
      <c r="BV426" s="89">
        <v>70200</v>
      </c>
      <c r="BW426" s="89">
        <v>0</v>
      </c>
      <c r="BX426" s="89">
        <v>43459</v>
      </c>
      <c r="BY426" s="89">
        <v>70200</v>
      </c>
      <c r="BZ426" s="112">
        <v>100</v>
      </c>
      <c r="CK426" s="88">
        <v>0</v>
      </c>
    </row>
    <row r="427" spans="1:89" x14ac:dyDescent="0.15">
      <c r="A427" s="84">
        <v>1</v>
      </c>
      <c r="B427" s="85">
        <v>43474</v>
      </c>
      <c r="C427" s="85">
        <v>43490</v>
      </c>
      <c r="F427" s="85" t="s">
        <v>338</v>
      </c>
      <c r="H427" s="85" t="s">
        <v>338</v>
      </c>
      <c r="J427" s="84">
        <v>2</v>
      </c>
      <c r="L427" s="84">
        <v>0</v>
      </c>
      <c r="M427" s="85">
        <v>43459</v>
      </c>
      <c r="N427" s="85" t="s">
        <v>265</v>
      </c>
      <c r="O427" s="86" t="s">
        <v>340</v>
      </c>
      <c r="P427" s="84" t="s">
        <v>78</v>
      </c>
      <c r="Q427" s="86" t="s">
        <v>127</v>
      </c>
      <c r="R427" s="86" t="s">
        <v>1469</v>
      </c>
      <c r="S427" s="87" t="s">
        <v>1470</v>
      </c>
      <c r="T427" s="87" t="s">
        <v>726</v>
      </c>
      <c r="U427" s="88">
        <v>65000</v>
      </c>
      <c r="V427" s="88">
        <v>70200</v>
      </c>
      <c r="W427" s="88">
        <v>65000</v>
      </c>
      <c r="X427" s="88">
        <v>70200</v>
      </c>
      <c r="Z427" s="88">
        <v>0</v>
      </c>
      <c r="AA427" s="85">
        <v>43489</v>
      </c>
      <c r="AB427" s="85">
        <v>43490</v>
      </c>
      <c r="AD427" s="84">
        <v>0</v>
      </c>
      <c r="AG427" s="84">
        <v>0</v>
      </c>
      <c r="AJ427" s="84">
        <v>0</v>
      </c>
      <c r="AN427" s="84" t="s">
        <v>338</v>
      </c>
      <c r="AR427" s="85">
        <v>43473</v>
      </c>
      <c r="AS427" s="84">
        <v>6001634807</v>
      </c>
      <c r="AT427" s="85">
        <v>43473</v>
      </c>
      <c r="AU427" s="84" t="s">
        <v>1462</v>
      </c>
      <c r="AV427" s="85">
        <v>43490</v>
      </c>
      <c r="AW427" s="123">
        <v>43496</v>
      </c>
      <c r="AX427" s="123">
        <v>43516</v>
      </c>
      <c r="AY427" s="132">
        <v>62400</v>
      </c>
      <c r="AZ427" s="132">
        <f>ROUNDDOWN(AY427+(AY427*MASTER!$A$2/100),0)</f>
        <v>67392</v>
      </c>
      <c r="BC427" s="88">
        <v>0</v>
      </c>
      <c r="BG427" s="88">
        <v>0</v>
      </c>
      <c r="BK427" s="88">
        <v>0</v>
      </c>
      <c r="BS427" s="88">
        <v>0</v>
      </c>
      <c r="BV427" s="89">
        <v>70200</v>
      </c>
      <c r="BW427" s="89">
        <v>0</v>
      </c>
      <c r="BX427" s="89">
        <v>43459</v>
      </c>
      <c r="BY427" s="89">
        <v>70200</v>
      </c>
      <c r="BZ427" s="112">
        <v>100</v>
      </c>
      <c r="CK427" s="88">
        <v>0</v>
      </c>
    </row>
    <row r="428" spans="1:89" x14ac:dyDescent="0.15">
      <c r="A428" s="84">
        <v>1</v>
      </c>
      <c r="B428" s="85">
        <v>43474</v>
      </c>
      <c r="C428" s="85">
        <v>43494</v>
      </c>
      <c r="F428" s="85" t="s">
        <v>338</v>
      </c>
      <c r="H428" s="85" t="s">
        <v>338</v>
      </c>
      <c r="J428" s="84">
        <v>2</v>
      </c>
      <c r="L428" s="84">
        <v>0</v>
      </c>
      <c r="M428" s="85">
        <v>43459</v>
      </c>
      <c r="N428" s="85" t="s">
        <v>265</v>
      </c>
      <c r="O428" s="86" t="s">
        <v>340</v>
      </c>
      <c r="P428" s="84" t="s">
        <v>78</v>
      </c>
      <c r="Q428" s="86" t="s">
        <v>127</v>
      </c>
      <c r="R428" s="86" t="s">
        <v>1472</v>
      </c>
      <c r="S428" s="87" t="s">
        <v>1473</v>
      </c>
      <c r="T428" s="87" t="s">
        <v>726</v>
      </c>
      <c r="U428" s="88">
        <v>65000</v>
      </c>
      <c r="V428" s="88">
        <v>70200</v>
      </c>
      <c r="W428" s="88">
        <v>65000</v>
      </c>
      <c r="X428" s="88">
        <v>70200</v>
      </c>
      <c r="Z428" s="88">
        <v>0</v>
      </c>
      <c r="AA428" s="85">
        <v>43493</v>
      </c>
      <c r="AB428" s="85">
        <v>43494</v>
      </c>
      <c r="AD428" s="84">
        <v>0</v>
      </c>
      <c r="AG428" s="84">
        <v>0</v>
      </c>
      <c r="AJ428" s="84">
        <v>0</v>
      </c>
      <c r="AN428" s="84" t="s">
        <v>338</v>
      </c>
      <c r="AR428" s="85">
        <v>43473</v>
      </c>
      <c r="AS428" s="84">
        <v>6001634807</v>
      </c>
      <c r="AT428" s="85">
        <v>43473</v>
      </c>
      <c r="AU428" s="84" t="s">
        <v>1462</v>
      </c>
      <c r="AV428" s="85">
        <v>43494</v>
      </c>
      <c r="AW428" s="123">
        <v>43496</v>
      </c>
      <c r="AX428" s="123">
        <v>43516</v>
      </c>
      <c r="AY428" s="132">
        <v>62400</v>
      </c>
      <c r="AZ428" s="132">
        <f>ROUNDDOWN(AY428+(AY428*MASTER!$A$2/100),0)</f>
        <v>67392</v>
      </c>
      <c r="BC428" s="88">
        <v>0</v>
      </c>
      <c r="BG428" s="88">
        <v>0</v>
      </c>
      <c r="BK428" s="88">
        <v>0</v>
      </c>
      <c r="BS428" s="88">
        <v>0</v>
      </c>
      <c r="BV428" s="89">
        <v>70200</v>
      </c>
      <c r="BW428" s="89">
        <v>0</v>
      </c>
      <c r="BX428" s="89">
        <v>43459</v>
      </c>
      <c r="BY428" s="89">
        <v>70200</v>
      </c>
      <c r="BZ428" s="112">
        <v>100</v>
      </c>
      <c r="CK428" s="88">
        <v>0</v>
      </c>
    </row>
    <row r="429" spans="1:89" x14ac:dyDescent="0.15">
      <c r="A429" s="84">
        <v>1</v>
      </c>
      <c r="B429" s="85">
        <v>43474</v>
      </c>
      <c r="C429" s="85">
        <v>43495</v>
      </c>
      <c r="F429" s="85" t="s">
        <v>338</v>
      </c>
      <c r="H429" s="85" t="s">
        <v>338</v>
      </c>
      <c r="J429" s="84">
        <v>2</v>
      </c>
      <c r="L429" s="84">
        <v>0</v>
      </c>
      <c r="M429" s="85">
        <v>43459</v>
      </c>
      <c r="N429" s="85" t="s">
        <v>265</v>
      </c>
      <c r="O429" s="86" t="s">
        <v>340</v>
      </c>
      <c r="P429" s="84" t="s">
        <v>78</v>
      </c>
      <c r="Q429" s="86" t="s">
        <v>127</v>
      </c>
      <c r="R429" s="86" t="s">
        <v>1485</v>
      </c>
      <c r="S429" s="87" t="s">
        <v>1486</v>
      </c>
      <c r="T429" s="87" t="s">
        <v>726</v>
      </c>
      <c r="U429" s="88">
        <v>65000</v>
      </c>
      <c r="V429" s="88">
        <v>70200</v>
      </c>
      <c r="W429" s="88">
        <v>65000</v>
      </c>
      <c r="X429" s="88">
        <v>70200</v>
      </c>
      <c r="Z429" s="88">
        <v>0</v>
      </c>
      <c r="AA429" s="85">
        <v>43494</v>
      </c>
      <c r="AB429" s="85">
        <v>43495</v>
      </c>
      <c r="AD429" s="84">
        <v>0</v>
      </c>
      <c r="AG429" s="84">
        <v>0</v>
      </c>
      <c r="AJ429" s="84">
        <v>0</v>
      </c>
      <c r="AN429" s="84" t="s">
        <v>338</v>
      </c>
      <c r="AR429" s="85">
        <v>43473</v>
      </c>
      <c r="AS429" s="84">
        <v>6001634807</v>
      </c>
      <c r="AT429" s="85">
        <v>43473</v>
      </c>
      <c r="AU429" s="84" t="s">
        <v>1462</v>
      </c>
      <c r="AV429" s="85">
        <v>43495</v>
      </c>
      <c r="AW429" s="123">
        <v>43496</v>
      </c>
      <c r="AX429" s="123">
        <v>43516</v>
      </c>
      <c r="AY429" s="132">
        <v>62400</v>
      </c>
      <c r="AZ429" s="132">
        <f>ROUNDDOWN(AY429+(AY429*MASTER!$A$2/100),0)</f>
        <v>67392</v>
      </c>
      <c r="BC429" s="88">
        <v>0</v>
      </c>
      <c r="BG429" s="88">
        <v>0</v>
      </c>
      <c r="BK429" s="88">
        <v>0</v>
      </c>
      <c r="BS429" s="88">
        <v>0</v>
      </c>
      <c r="BV429" s="89">
        <v>70200</v>
      </c>
      <c r="BW429" s="89">
        <v>0</v>
      </c>
      <c r="BX429" s="89">
        <v>43459</v>
      </c>
      <c r="BY429" s="89">
        <v>70200</v>
      </c>
      <c r="BZ429" s="112">
        <v>100</v>
      </c>
      <c r="CK429" s="88">
        <v>0</v>
      </c>
    </row>
    <row r="430" spans="1:89" x14ac:dyDescent="0.15">
      <c r="A430" s="84">
        <v>2</v>
      </c>
      <c r="B430" s="85">
        <v>43504</v>
      </c>
      <c r="C430" s="85">
        <v>43511</v>
      </c>
      <c r="D430" s="85">
        <v>43534</v>
      </c>
      <c r="F430" s="85">
        <v>43524</v>
      </c>
      <c r="G430" s="85">
        <v>43517</v>
      </c>
      <c r="H430" s="85">
        <v>43520</v>
      </c>
      <c r="I430" s="84" t="s">
        <v>401</v>
      </c>
      <c r="J430" s="84">
        <v>2</v>
      </c>
      <c r="L430" s="84">
        <v>0</v>
      </c>
      <c r="M430" s="85">
        <v>43460</v>
      </c>
      <c r="N430" s="85" t="s">
        <v>265</v>
      </c>
      <c r="O430" s="86" t="s">
        <v>340</v>
      </c>
      <c r="P430" s="84" t="s">
        <v>26</v>
      </c>
      <c r="Q430" s="86" t="s">
        <v>127</v>
      </c>
      <c r="R430" s="86" t="s">
        <v>1600</v>
      </c>
      <c r="S430" s="87" t="s">
        <v>382</v>
      </c>
      <c r="T430" s="87" t="s">
        <v>1601</v>
      </c>
      <c r="U430" s="88">
        <v>1122300</v>
      </c>
      <c r="V430" s="88">
        <v>1212084</v>
      </c>
      <c r="W430" s="88">
        <v>1122300</v>
      </c>
      <c r="X430" s="88">
        <v>1212084</v>
      </c>
      <c r="Z430" s="88">
        <v>0</v>
      </c>
      <c r="AA430" s="85">
        <v>43513</v>
      </c>
      <c r="AB430" s="85">
        <v>43517</v>
      </c>
      <c r="AC430" s="85">
        <v>43517</v>
      </c>
      <c r="AD430" s="84">
        <v>0</v>
      </c>
      <c r="AG430" s="84">
        <v>0</v>
      </c>
      <c r="AJ430" s="84">
        <v>0</v>
      </c>
      <c r="AM430" s="84" t="s">
        <v>290</v>
      </c>
      <c r="AN430" s="84" t="s">
        <v>1602</v>
      </c>
      <c r="AR430" s="85">
        <v>43489</v>
      </c>
      <c r="AS430" s="84">
        <v>6001640498</v>
      </c>
      <c r="AT430" s="85">
        <v>43489</v>
      </c>
      <c r="AU430" s="84" t="s">
        <v>1603</v>
      </c>
      <c r="AV430" s="85">
        <v>43511</v>
      </c>
      <c r="AW430" s="123">
        <v>43524</v>
      </c>
      <c r="AX430" s="123">
        <v>43544</v>
      </c>
      <c r="AY430" s="132">
        <v>1077408</v>
      </c>
      <c r="AZ430" s="132">
        <f>ROUNDDOWN(AY430+(AY430*MASTER!$A$2/100),0)</f>
        <v>1163600</v>
      </c>
      <c r="BA430" s="84" t="s">
        <v>400</v>
      </c>
      <c r="BB430" s="88">
        <v>303300</v>
      </c>
      <c r="BC430" s="88">
        <v>327564</v>
      </c>
      <c r="BD430" s="84" t="s">
        <v>1233</v>
      </c>
      <c r="BG430" s="88">
        <v>0</v>
      </c>
      <c r="BK430" s="88">
        <v>0</v>
      </c>
      <c r="BS430" s="88">
        <v>0</v>
      </c>
      <c r="BV430" s="89">
        <v>1212084</v>
      </c>
      <c r="BW430" s="89">
        <v>327564</v>
      </c>
      <c r="BX430" s="89">
        <v>43460</v>
      </c>
      <c r="BY430" s="89">
        <v>884520</v>
      </c>
      <c r="BZ430" s="112">
        <v>72.975140336808337</v>
      </c>
      <c r="CK430" s="88">
        <v>31500</v>
      </c>
    </row>
    <row r="431" spans="1:89" x14ac:dyDescent="0.15">
      <c r="A431" s="84">
        <v>2</v>
      </c>
      <c r="B431" s="85">
        <v>43501</v>
      </c>
      <c r="C431" s="85">
        <v>43502</v>
      </c>
      <c r="D431" s="85">
        <v>43521</v>
      </c>
      <c r="F431" s="85">
        <v>43509</v>
      </c>
      <c r="G431" s="85">
        <v>43503</v>
      </c>
      <c r="H431" s="85">
        <v>43505</v>
      </c>
      <c r="I431" s="84" t="s">
        <v>401</v>
      </c>
      <c r="J431" s="84">
        <v>1</v>
      </c>
      <c r="L431" s="84">
        <v>0</v>
      </c>
      <c r="M431" s="85">
        <v>43460</v>
      </c>
      <c r="N431" s="85" t="s">
        <v>265</v>
      </c>
      <c r="O431" s="86" t="s">
        <v>340</v>
      </c>
      <c r="P431" s="84" t="s">
        <v>26</v>
      </c>
      <c r="Q431" s="86" t="s">
        <v>127</v>
      </c>
      <c r="R431" s="86" t="s">
        <v>1604</v>
      </c>
      <c r="S431" s="87" t="s">
        <v>705</v>
      </c>
      <c r="T431" s="87" t="s">
        <v>1308</v>
      </c>
      <c r="U431" s="88">
        <v>59000</v>
      </c>
      <c r="V431" s="88">
        <v>63720</v>
      </c>
      <c r="W431" s="88">
        <v>47000</v>
      </c>
      <c r="X431" s="88">
        <v>50760</v>
      </c>
      <c r="Y431" s="88">
        <v>12000</v>
      </c>
      <c r="Z431" s="88">
        <v>12960</v>
      </c>
      <c r="AA431" s="85">
        <v>43500</v>
      </c>
      <c r="AB431" s="85">
        <v>43502</v>
      </c>
      <c r="AC431" s="85">
        <v>43502</v>
      </c>
      <c r="AD431" s="84">
        <v>0</v>
      </c>
      <c r="AG431" s="84">
        <v>0</v>
      </c>
      <c r="AJ431" s="84">
        <v>0</v>
      </c>
      <c r="AM431" s="84" t="s">
        <v>290</v>
      </c>
      <c r="AN431" s="84" t="s">
        <v>1605</v>
      </c>
      <c r="AR431" s="85">
        <v>43496</v>
      </c>
      <c r="AS431" s="84">
        <v>6001642562</v>
      </c>
      <c r="AT431" s="85">
        <v>43500</v>
      </c>
      <c r="AU431" s="84" t="s">
        <v>1606</v>
      </c>
      <c r="AV431" s="85">
        <v>43502</v>
      </c>
      <c r="AW431" s="123">
        <v>43524</v>
      </c>
      <c r="AX431" s="123">
        <v>43544</v>
      </c>
      <c r="AY431" s="132">
        <v>56640</v>
      </c>
      <c r="AZ431" s="132">
        <f>ROUNDDOWN(AY431+(AY431*MASTER!$A$2/100),0)</f>
        <v>61171</v>
      </c>
      <c r="BA431" s="84" t="s">
        <v>286</v>
      </c>
      <c r="BB431" s="88">
        <v>30000</v>
      </c>
      <c r="BC431" s="88">
        <v>32400</v>
      </c>
      <c r="BD431" s="84" t="s">
        <v>1233</v>
      </c>
      <c r="BG431" s="88">
        <v>0</v>
      </c>
      <c r="BI431" s="84" t="s">
        <v>434</v>
      </c>
      <c r="BJ431" s="88">
        <v>7800</v>
      </c>
      <c r="BK431" s="88">
        <v>8424</v>
      </c>
      <c r="BL431" s="84" t="s">
        <v>1233</v>
      </c>
      <c r="BS431" s="88">
        <v>0</v>
      </c>
      <c r="BV431" s="89">
        <v>50760</v>
      </c>
      <c r="BW431" s="89">
        <v>40824</v>
      </c>
      <c r="BX431" s="89">
        <v>43460</v>
      </c>
      <c r="BY431" s="89">
        <v>9936</v>
      </c>
      <c r="BZ431" s="112">
        <v>19.574468085106382</v>
      </c>
      <c r="CK431" s="88">
        <v>0</v>
      </c>
    </row>
    <row r="432" spans="1:89" x14ac:dyDescent="0.15">
      <c r="A432" s="84">
        <v>2</v>
      </c>
      <c r="B432" s="85">
        <v>43511</v>
      </c>
      <c r="C432" s="85">
        <v>43521</v>
      </c>
      <c r="D432" s="85">
        <v>43553</v>
      </c>
      <c r="F432" s="85">
        <v>43528</v>
      </c>
      <c r="G432" s="85">
        <v>43521</v>
      </c>
      <c r="H432" s="85">
        <v>43524</v>
      </c>
      <c r="I432" s="84" t="s">
        <v>401</v>
      </c>
      <c r="J432" s="84">
        <v>1</v>
      </c>
      <c r="L432" s="84">
        <v>0</v>
      </c>
      <c r="M432" s="85">
        <v>43460</v>
      </c>
      <c r="N432" s="85" t="s">
        <v>265</v>
      </c>
      <c r="O432" s="86" t="s">
        <v>340</v>
      </c>
      <c r="P432" s="84" t="s">
        <v>26</v>
      </c>
      <c r="Q432" s="86" t="s">
        <v>127</v>
      </c>
      <c r="R432" s="86" t="s">
        <v>1410</v>
      </c>
      <c r="S432" s="87" t="s">
        <v>1411</v>
      </c>
      <c r="T432" s="87" t="s">
        <v>1412</v>
      </c>
      <c r="U432" s="88">
        <v>59000</v>
      </c>
      <c r="V432" s="88">
        <v>63720</v>
      </c>
      <c r="W432" s="88">
        <v>47000</v>
      </c>
      <c r="X432" s="88">
        <v>50760</v>
      </c>
      <c r="Y432" s="88">
        <v>12000</v>
      </c>
      <c r="Z432" s="88">
        <v>12960</v>
      </c>
      <c r="AA432" s="85">
        <v>43520</v>
      </c>
      <c r="AB432" s="85">
        <v>43521</v>
      </c>
      <c r="AC432" s="85">
        <v>43521</v>
      </c>
      <c r="AD432" s="84">
        <v>0</v>
      </c>
      <c r="AG432" s="84">
        <v>0</v>
      </c>
      <c r="AJ432" s="84">
        <v>0</v>
      </c>
      <c r="AM432" s="84" t="s">
        <v>290</v>
      </c>
      <c r="AN432" s="84" t="s">
        <v>1413</v>
      </c>
      <c r="AR432" s="85">
        <v>43510</v>
      </c>
      <c r="AS432" s="84">
        <v>6001646948</v>
      </c>
      <c r="AT432" s="85">
        <v>43510</v>
      </c>
      <c r="AU432" s="84" t="s">
        <v>1607</v>
      </c>
      <c r="AV432" s="85">
        <v>43521</v>
      </c>
      <c r="AW432" s="123">
        <v>43524</v>
      </c>
      <c r="AX432" s="123">
        <v>43544</v>
      </c>
      <c r="AY432" s="132">
        <v>56640</v>
      </c>
      <c r="AZ432" s="132">
        <f>ROUNDDOWN(AY432+(AY432*MASTER!$A$2/100),0)</f>
        <v>61171</v>
      </c>
      <c r="BA432" s="84" t="s">
        <v>543</v>
      </c>
      <c r="BB432" s="88">
        <v>32000</v>
      </c>
      <c r="BC432" s="88">
        <v>34560</v>
      </c>
      <c r="BD432" s="84" t="s">
        <v>1268</v>
      </c>
      <c r="BG432" s="88">
        <v>0</v>
      </c>
      <c r="BI432" s="84" t="s">
        <v>434</v>
      </c>
      <c r="BJ432" s="88">
        <v>7800</v>
      </c>
      <c r="BK432" s="88">
        <v>8424</v>
      </c>
      <c r="BL432" s="84" t="s">
        <v>1268</v>
      </c>
      <c r="BS432" s="88">
        <v>0</v>
      </c>
      <c r="BV432" s="89">
        <v>50760</v>
      </c>
      <c r="BW432" s="89">
        <v>42984</v>
      </c>
      <c r="BX432" s="89">
        <v>43460</v>
      </c>
      <c r="BY432" s="89">
        <v>7776</v>
      </c>
      <c r="BZ432" s="112">
        <v>15.319148936170212</v>
      </c>
      <c r="CK432" s="88">
        <v>0</v>
      </c>
    </row>
    <row r="433" spans="1:89" x14ac:dyDescent="0.15">
      <c r="A433" s="84">
        <v>2</v>
      </c>
      <c r="B433" s="85">
        <v>43487</v>
      </c>
      <c r="C433" s="85">
        <v>43490</v>
      </c>
      <c r="D433" s="85">
        <v>43524</v>
      </c>
      <c r="F433" s="85">
        <v>43497</v>
      </c>
      <c r="G433" s="85">
        <v>43493</v>
      </c>
      <c r="H433" s="85">
        <v>43493</v>
      </c>
      <c r="I433" s="84" t="s">
        <v>1191</v>
      </c>
      <c r="J433" s="84">
        <v>2</v>
      </c>
      <c r="L433" s="84">
        <v>0</v>
      </c>
      <c r="M433" s="85">
        <v>43460</v>
      </c>
      <c r="N433" s="85" t="s">
        <v>265</v>
      </c>
      <c r="O433" s="86" t="s">
        <v>340</v>
      </c>
      <c r="P433" s="84" t="s">
        <v>26</v>
      </c>
      <c r="Q433" s="86" t="s">
        <v>127</v>
      </c>
      <c r="R433" s="86" t="s">
        <v>1608</v>
      </c>
      <c r="S433" s="87" t="s">
        <v>1416</v>
      </c>
      <c r="T433" s="87" t="s">
        <v>1609</v>
      </c>
      <c r="U433" s="88">
        <v>76300</v>
      </c>
      <c r="V433" s="88">
        <v>82404</v>
      </c>
      <c r="W433" s="88">
        <v>76300</v>
      </c>
      <c r="X433" s="88">
        <v>82404</v>
      </c>
      <c r="Z433" s="88">
        <v>0</v>
      </c>
      <c r="AA433" s="85">
        <v>43489</v>
      </c>
      <c r="AB433" s="85">
        <v>43490</v>
      </c>
      <c r="AC433" s="85">
        <v>43490</v>
      </c>
      <c r="AD433" s="84">
        <v>0</v>
      </c>
      <c r="AG433" s="84">
        <v>0</v>
      </c>
      <c r="AJ433" s="84">
        <v>0</v>
      </c>
      <c r="AM433" s="84" t="s">
        <v>290</v>
      </c>
      <c r="AN433" s="84" t="s">
        <v>1610</v>
      </c>
      <c r="AR433" s="85">
        <v>43486</v>
      </c>
      <c r="AS433" s="84">
        <v>6001638833</v>
      </c>
      <c r="AT433" s="85">
        <v>43486</v>
      </c>
      <c r="AU433" s="84" t="s">
        <v>1611</v>
      </c>
      <c r="AV433" s="85">
        <v>43490</v>
      </c>
      <c r="AW433" s="123">
        <v>43496</v>
      </c>
      <c r="AX433" s="123">
        <v>43516</v>
      </c>
      <c r="AY433" s="132">
        <v>73248</v>
      </c>
      <c r="AZ433" s="132">
        <f>ROUNDDOWN(AY433+(AY433*MASTER!$A$2/100),0)</f>
        <v>79107</v>
      </c>
      <c r="BA433" s="84" t="s">
        <v>287</v>
      </c>
      <c r="BB433" s="88">
        <v>18040</v>
      </c>
      <c r="BC433" s="88">
        <v>19483.2</v>
      </c>
      <c r="BD433" s="84" t="s">
        <v>1233</v>
      </c>
      <c r="BG433" s="88">
        <v>0</v>
      </c>
      <c r="BK433" s="88">
        <v>0</v>
      </c>
      <c r="BS433" s="88">
        <v>0</v>
      </c>
      <c r="BV433" s="89">
        <v>82404</v>
      </c>
      <c r="BW433" s="89">
        <v>19483.2</v>
      </c>
      <c r="BX433" s="89">
        <v>43460</v>
      </c>
      <c r="BY433" s="89">
        <v>62920.800000000003</v>
      </c>
      <c r="BZ433" s="112">
        <v>76.356487549148099</v>
      </c>
      <c r="CK433" s="88">
        <v>6300</v>
      </c>
    </row>
    <row r="434" spans="1:89" x14ac:dyDescent="0.15">
      <c r="A434" s="84">
        <v>2</v>
      </c>
      <c r="B434" s="85">
        <v>43487</v>
      </c>
      <c r="C434" s="85">
        <v>43490</v>
      </c>
      <c r="D434" s="85">
        <v>43524</v>
      </c>
      <c r="F434" s="85">
        <v>43497</v>
      </c>
      <c r="G434" s="85">
        <v>43493</v>
      </c>
      <c r="H434" s="85">
        <v>43493</v>
      </c>
      <c r="I434" s="84" t="s">
        <v>1191</v>
      </c>
      <c r="J434" s="84">
        <v>1</v>
      </c>
      <c r="L434" s="84">
        <v>0</v>
      </c>
      <c r="M434" s="85">
        <v>43460</v>
      </c>
      <c r="N434" s="85" t="s">
        <v>265</v>
      </c>
      <c r="O434" s="86" t="s">
        <v>340</v>
      </c>
      <c r="P434" s="84" t="s">
        <v>26</v>
      </c>
      <c r="Q434" s="86" t="s">
        <v>127</v>
      </c>
      <c r="R434" s="86" t="s">
        <v>1612</v>
      </c>
      <c r="S434" s="87" t="s">
        <v>1417</v>
      </c>
      <c r="T434" s="87" t="s">
        <v>1245</v>
      </c>
      <c r="U434" s="88">
        <v>59000</v>
      </c>
      <c r="V434" s="88">
        <v>63720</v>
      </c>
      <c r="W434" s="88">
        <v>47000</v>
      </c>
      <c r="X434" s="88">
        <v>50760</v>
      </c>
      <c r="Y434" s="88">
        <v>12000</v>
      </c>
      <c r="Z434" s="88">
        <v>12960</v>
      </c>
      <c r="AA434" s="85">
        <v>43489</v>
      </c>
      <c r="AB434" s="85">
        <v>43490</v>
      </c>
      <c r="AC434" s="85">
        <v>43490</v>
      </c>
      <c r="AD434" s="84">
        <v>0</v>
      </c>
      <c r="AG434" s="84">
        <v>0</v>
      </c>
      <c r="AJ434" s="84">
        <v>0</v>
      </c>
      <c r="AM434" s="84" t="s">
        <v>290</v>
      </c>
      <c r="AN434" s="84" t="s">
        <v>1613</v>
      </c>
      <c r="AR434" s="85">
        <v>43486</v>
      </c>
      <c r="AS434" s="84">
        <v>6001638833</v>
      </c>
      <c r="AT434" s="85">
        <v>43486</v>
      </c>
      <c r="AU434" s="84" t="s">
        <v>1611</v>
      </c>
      <c r="AV434" s="85">
        <v>43490</v>
      </c>
      <c r="AW434" s="123">
        <v>43496</v>
      </c>
      <c r="AX434" s="123">
        <v>43516</v>
      </c>
      <c r="AY434" s="132">
        <v>56640</v>
      </c>
      <c r="AZ434" s="132">
        <f>ROUNDDOWN(AY434+(AY434*MASTER!$A$2/100),0)</f>
        <v>61171</v>
      </c>
      <c r="BA434" s="84" t="s">
        <v>778</v>
      </c>
      <c r="BC434" s="88">
        <v>0</v>
      </c>
      <c r="BG434" s="88">
        <v>0</v>
      </c>
      <c r="BI434" s="84" t="s">
        <v>434</v>
      </c>
      <c r="BJ434" s="88">
        <v>7800</v>
      </c>
      <c r="BK434" s="88">
        <v>8424</v>
      </c>
      <c r="BL434" s="84" t="s">
        <v>1233</v>
      </c>
      <c r="BS434" s="88">
        <v>0</v>
      </c>
      <c r="BV434" s="89">
        <v>50760</v>
      </c>
      <c r="BW434" s="89">
        <v>8424</v>
      </c>
      <c r="BX434" s="89">
        <v>43460</v>
      </c>
      <c r="BY434" s="89">
        <v>42336</v>
      </c>
      <c r="BZ434" s="112">
        <v>83.40425531914893</v>
      </c>
      <c r="CK434" s="88">
        <v>0</v>
      </c>
    </row>
    <row r="435" spans="1:89" x14ac:dyDescent="0.15">
      <c r="A435" s="84">
        <v>1</v>
      </c>
      <c r="B435" s="85">
        <v>43476</v>
      </c>
      <c r="C435" s="85">
        <v>43476</v>
      </c>
      <c r="F435" s="85" t="s">
        <v>338</v>
      </c>
      <c r="H435" s="85" t="s">
        <v>338</v>
      </c>
      <c r="J435" s="84">
        <v>2</v>
      </c>
      <c r="L435" s="84">
        <v>0</v>
      </c>
      <c r="M435" s="85">
        <v>43461</v>
      </c>
      <c r="N435" s="85" t="s">
        <v>265</v>
      </c>
      <c r="O435" s="86" t="s">
        <v>340</v>
      </c>
      <c r="P435" s="84" t="s">
        <v>26</v>
      </c>
      <c r="Q435" s="86" t="s">
        <v>127</v>
      </c>
      <c r="R435" s="86" t="s">
        <v>1510</v>
      </c>
      <c r="S435" s="87" t="s">
        <v>913</v>
      </c>
      <c r="T435" s="87" t="s">
        <v>1511</v>
      </c>
      <c r="U435" s="88">
        <v>28000</v>
      </c>
      <c r="V435" s="88">
        <v>30240</v>
      </c>
      <c r="W435" s="88">
        <v>28000</v>
      </c>
      <c r="X435" s="88">
        <v>30240</v>
      </c>
      <c r="Z435" s="88">
        <v>0</v>
      </c>
      <c r="AD435" s="84">
        <v>0</v>
      </c>
      <c r="AG435" s="84">
        <v>0</v>
      </c>
      <c r="AJ435" s="84">
        <v>0</v>
      </c>
      <c r="AR435" s="85">
        <v>43474</v>
      </c>
      <c r="AS435" s="84">
        <v>6001635653</v>
      </c>
      <c r="AT435" s="85">
        <v>43475</v>
      </c>
      <c r="AU435" s="84" t="s">
        <v>1516</v>
      </c>
      <c r="AV435" s="85">
        <v>43476</v>
      </c>
      <c r="AW435" s="123">
        <v>43496</v>
      </c>
      <c r="AX435" s="123">
        <v>43516</v>
      </c>
      <c r="AY435" s="132">
        <v>26880</v>
      </c>
      <c r="AZ435" s="132">
        <f>ROUNDDOWN(AY435+(AY435*MASTER!$A$2/100),0)</f>
        <v>29030</v>
      </c>
      <c r="BC435" s="88">
        <v>0</v>
      </c>
      <c r="BG435" s="88">
        <v>0</v>
      </c>
      <c r="BK435" s="88">
        <v>0</v>
      </c>
      <c r="BS435" s="88">
        <v>0</v>
      </c>
      <c r="BV435" s="89">
        <v>30240</v>
      </c>
      <c r="BW435" s="89">
        <v>0</v>
      </c>
      <c r="BX435" s="89">
        <v>43461</v>
      </c>
      <c r="BY435" s="89">
        <v>30240</v>
      </c>
      <c r="BZ435" s="112">
        <v>100</v>
      </c>
    </row>
    <row r="436" spans="1:89" s="151" customFormat="1" x14ac:dyDescent="0.15">
      <c r="A436" s="141">
        <v>3</v>
      </c>
      <c r="B436" s="142"/>
      <c r="C436" s="142" t="s">
        <v>338</v>
      </c>
      <c r="D436" s="142"/>
      <c r="E436" s="142"/>
      <c r="F436" s="142" t="s">
        <v>338</v>
      </c>
      <c r="G436" s="142"/>
      <c r="H436" s="142" t="s">
        <v>338</v>
      </c>
      <c r="I436" s="141"/>
      <c r="J436" s="141">
        <v>2</v>
      </c>
      <c r="K436" s="142"/>
      <c r="L436" s="141">
        <v>0</v>
      </c>
      <c r="M436" s="142">
        <v>43461</v>
      </c>
      <c r="N436" s="142" t="s">
        <v>265</v>
      </c>
      <c r="O436" s="143" t="s">
        <v>340</v>
      </c>
      <c r="P436" s="141" t="s">
        <v>6</v>
      </c>
      <c r="Q436" s="143" t="s">
        <v>127</v>
      </c>
      <c r="R436" s="143" t="s">
        <v>1420</v>
      </c>
      <c r="S436" s="144" t="s">
        <v>997</v>
      </c>
      <c r="T436" s="144" t="s">
        <v>342</v>
      </c>
      <c r="U436" s="145">
        <v>35000</v>
      </c>
      <c r="V436" s="145">
        <v>37800</v>
      </c>
      <c r="W436" s="145">
        <v>35000</v>
      </c>
      <c r="X436" s="145">
        <v>37800</v>
      </c>
      <c r="Y436" s="145"/>
      <c r="Z436" s="145">
        <v>0</v>
      </c>
      <c r="AA436" s="142"/>
      <c r="AB436" s="142"/>
      <c r="AC436" s="142"/>
      <c r="AD436" s="141">
        <v>0</v>
      </c>
      <c r="AE436" s="141"/>
      <c r="AF436" s="141"/>
      <c r="AG436" s="141">
        <v>0</v>
      </c>
      <c r="AH436" s="141"/>
      <c r="AI436" s="141"/>
      <c r="AJ436" s="141">
        <v>0</v>
      </c>
      <c r="AK436" s="141"/>
      <c r="AL436" s="141"/>
      <c r="AM436" s="141"/>
      <c r="AN436" s="141"/>
      <c r="AO436" s="142"/>
      <c r="AP436" s="141"/>
      <c r="AQ436" s="141"/>
      <c r="AR436" s="142"/>
      <c r="AS436" s="141"/>
      <c r="AT436" s="142"/>
      <c r="AU436" s="141"/>
      <c r="AV436" s="142"/>
      <c r="AW436" s="146"/>
      <c r="AX436" s="146"/>
      <c r="AY436" s="147">
        <v>33600</v>
      </c>
      <c r="AZ436" s="132">
        <f>ROUNDDOWN(AY436+(AY436*MASTER!$A$2/100),0)</f>
        <v>36288</v>
      </c>
      <c r="BA436" s="141"/>
      <c r="BB436" s="145"/>
      <c r="BC436" s="145">
        <v>0</v>
      </c>
      <c r="BD436" s="141"/>
      <c r="BE436" s="141"/>
      <c r="BF436" s="145"/>
      <c r="BG436" s="145">
        <v>0</v>
      </c>
      <c r="BH436" s="141"/>
      <c r="BI436" s="141"/>
      <c r="BJ436" s="145"/>
      <c r="BK436" s="145">
        <v>0</v>
      </c>
      <c r="BL436" s="141"/>
      <c r="BM436" s="145"/>
      <c r="BN436" s="145"/>
      <c r="BO436" s="145"/>
      <c r="BP436" s="145"/>
      <c r="BQ436" s="145"/>
      <c r="BR436" s="145"/>
      <c r="BS436" s="145">
        <v>0</v>
      </c>
      <c r="BT436" s="148"/>
      <c r="BU436" s="148"/>
      <c r="BV436" s="149">
        <v>37800</v>
      </c>
      <c r="BW436" s="149">
        <v>0</v>
      </c>
      <c r="BX436" s="149">
        <v>43461</v>
      </c>
      <c r="BY436" s="149">
        <v>37800</v>
      </c>
      <c r="BZ436" s="150">
        <v>100</v>
      </c>
      <c r="CA436" s="141"/>
      <c r="CB436" s="141"/>
      <c r="CC436" s="141"/>
      <c r="CD436" s="144" t="s">
        <v>1614</v>
      </c>
      <c r="CE436" s="142"/>
      <c r="CF436" s="142"/>
      <c r="CG436" s="142"/>
      <c r="CH436" s="142"/>
      <c r="CI436" s="142"/>
      <c r="CJ436" s="142"/>
      <c r="CK436" s="145"/>
    </row>
    <row r="437" spans="1:89" x14ac:dyDescent="0.15">
      <c r="A437" s="84">
        <v>2</v>
      </c>
      <c r="B437" s="85">
        <v>43476</v>
      </c>
      <c r="C437" s="85">
        <v>43480</v>
      </c>
      <c r="D437" s="85">
        <v>43475</v>
      </c>
      <c r="E437" s="85">
        <v>43475</v>
      </c>
      <c r="F437" s="85" t="s">
        <v>338</v>
      </c>
      <c r="G437" s="85">
        <v>43475</v>
      </c>
      <c r="H437" s="85" t="s">
        <v>338</v>
      </c>
      <c r="I437" s="84" t="s">
        <v>380</v>
      </c>
      <c r="J437" s="84">
        <v>2</v>
      </c>
      <c r="L437" s="84">
        <v>0</v>
      </c>
      <c r="M437" s="85">
        <v>43472</v>
      </c>
      <c r="N437" s="85" t="s">
        <v>265</v>
      </c>
      <c r="O437" s="86" t="s">
        <v>340</v>
      </c>
      <c r="P437" s="84" t="s">
        <v>6</v>
      </c>
      <c r="Q437" s="86" t="s">
        <v>40</v>
      </c>
      <c r="R437" s="86" t="s">
        <v>1513</v>
      </c>
      <c r="S437" s="87" t="s">
        <v>821</v>
      </c>
      <c r="T437" s="87" t="s">
        <v>342</v>
      </c>
      <c r="U437" s="88">
        <v>35000</v>
      </c>
      <c r="V437" s="88">
        <v>37800</v>
      </c>
      <c r="W437" s="88">
        <v>35000</v>
      </c>
      <c r="X437" s="88">
        <v>37800</v>
      </c>
      <c r="Z437" s="88">
        <v>0</v>
      </c>
      <c r="AA437" s="85">
        <v>43474</v>
      </c>
      <c r="AB437" s="85">
        <v>43474</v>
      </c>
      <c r="AD437" s="84">
        <v>0</v>
      </c>
      <c r="AG437" s="84">
        <v>0</v>
      </c>
      <c r="AJ437" s="84">
        <v>0</v>
      </c>
      <c r="AN437" s="84" t="s">
        <v>338</v>
      </c>
      <c r="AR437" s="85">
        <v>43475</v>
      </c>
      <c r="AS437" s="84">
        <v>6001635898</v>
      </c>
      <c r="AT437" s="85">
        <v>43475</v>
      </c>
      <c r="AU437" s="84" t="s">
        <v>1507</v>
      </c>
      <c r="AV437" s="85">
        <v>43480</v>
      </c>
      <c r="AW437" s="123">
        <v>43496</v>
      </c>
      <c r="AX437" s="123">
        <v>43516</v>
      </c>
      <c r="AY437" s="132">
        <v>33600</v>
      </c>
      <c r="AZ437" s="132">
        <f>ROUNDDOWN(AY437+(AY437*MASTER!$A$2/100),0)</f>
        <v>36288</v>
      </c>
      <c r="BA437" s="84" t="s">
        <v>286</v>
      </c>
      <c r="BB437" s="88">
        <v>21000</v>
      </c>
      <c r="BC437" s="88">
        <v>22680</v>
      </c>
      <c r="BD437" s="84" t="s">
        <v>1138</v>
      </c>
      <c r="BG437" s="88">
        <v>0</v>
      </c>
      <c r="BK437" s="88">
        <v>0</v>
      </c>
      <c r="BS437" s="88">
        <v>0</v>
      </c>
      <c r="BV437" s="89">
        <v>37800</v>
      </c>
      <c r="BW437" s="89">
        <v>22680</v>
      </c>
      <c r="BX437" s="89">
        <v>43472</v>
      </c>
      <c r="BY437" s="89">
        <v>15120</v>
      </c>
      <c r="BZ437" s="112">
        <v>40</v>
      </c>
      <c r="CK437" s="88">
        <v>0</v>
      </c>
    </row>
    <row r="438" spans="1:89" x14ac:dyDescent="0.15">
      <c r="A438" s="84">
        <v>2</v>
      </c>
      <c r="B438" s="85">
        <v>43481</v>
      </c>
      <c r="C438" s="85">
        <v>43482</v>
      </c>
      <c r="D438" s="85">
        <v>43476</v>
      </c>
      <c r="E438" s="85">
        <v>43476</v>
      </c>
      <c r="F438" s="85" t="s">
        <v>338</v>
      </c>
      <c r="G438" s="85">
        <v>43476</v>
      </c>
      <c r="H438" s="85" t="s">
        <v>338</v>
      </c>
      <c r="I438" s="84" t="s">
        <v>380</v>
      </c>
      <c r="J438" s="84">
        <v>2</v>
      </c>
      <c r="L438" s="84">
        <v>0</v>
      </c>
      <c r="M438" s="85">
        <v>43472</v>
      </c>
      <c r="N438" s="85" t="s">
        <v>265</v>
      </c>
      <c r="O438" s="86" t="s">
        <v>340</v>
      </c>
      <c r="P438" s="84" t="s">
        <v>6</v>
      </c>
      <c r="Q438" s="86" t="s">
        <v>40</v>
      </c>
      <c r="R438" s="86" t="s">
        <v>1514</v>
      </c>
      <c r="S438" s="87" t="s">
        <v>1320</v>
      </c>
      <c r="T438" s="87" t="s">
        <v>1515</v>
      </c>
      <c r="U438" s="88">
        <v>35000</v>
      </c>
      <c r="V438" s="88">
        <v>37800</v>
      </c>
      <c r="W438" s="88">
        <v>35000</v>
      </c>
      <c r="X438" s="88">
        <v>37800</v>
      </c>
      <c r="Z438" s="88">
        <v>0</v>
      </c>
      <c r="AA438" s="85">
        <v>43475</v>
      </c>
      <c r="AB438" s="85">
        <v>43475</v>
      </c>
      <c r="AD438" s="84">
        <v>0</v>
      </c>
      <c r="AG438" s="84">
        <v>0</v>
      </c>
      <c r="AJ438" s="84">
        <v>0</v>
      </c>
      <c r="AN438" s="84" t="s">
        <v>338</v>
      </c>
      <c r="AR438" s="85">
        <v>43476</v>
      </c>
      <c r="AS438" s="84">
        <v>6001636491</v>
      </c>
      <c r="AT438" s="85">
        <v>43476</v>
      </c>
      <c r="AU438" s="84" t="s">
        <v>1524</v>
      </c>
      <c r="AV438" s="85">
        <v>43482</v>
      </c>
      <c r="AW438" s="123">
        <v>43496</v>
      </c>
      <c r="AX438" s="123">
        <v>43516</v>
      </c>
      <c r="AY438" s="132">
        <v>33600</v>
      </c>
      <c r="AZ438" s="132">
        <f>ROUNDDOWN(AY438+(AY438*MASTER!$A$2/100),0)</f>
        <v>36288</v>
      </c>
      <c r="BA438" s="84" t="s">
        <v>543</v>
      </c>
      <c r="BB438" s="88">
        <v>25000</v>
      </c>
      <c r="BC438" s="88">
        <v>27000</v>
      </c>
      <c r="BD438" s="84" t="s">
        <v>1138</v>
      </c>
      <c r="BG438" s="88">
        <v>0</v>
      </c>
      <c r="BK438" s="88">
        <v>0</v>
      </c>
      <c r="BS438" s="88">
        <v>0</v>
      </c>
      <c r="BV438" s="89">
        <v>37800</v>
      </c>
      <c r="BW438" s="89">
        <v>27000</v>
      </c>
      <c r="BX438" s="89">
        <v>43472</v>
      </c>
      <c r="BY438" s="89">
        <v>10800</v>
      </c>
      <c r="BZ438" s="112">
        <v>28.571428571428569</v>
      </c>
      <c r="CK438" s="88">
        <v>0</v>
      </c>
    </row>
    <row r="439" spans="1:89" x14ac:dyDescent="0.15">
      <c r="A439" s="84">
        <v>1</v>
      </c>
      <c r="B439" s="85">
        <v>43531</v>
      </c>
      <c r="C439" s="85">
        <v>43539</v>
      </c>
      <c r="F439" s="85" t="s">
        <v>338</v>
      </c>
      <c r="H439" s="85" t="s">
        <v>338</v>
      </c>
      <c r="J439" s="84">
        <v>3</v>
      </c>
      <c r="L439" s="84">
        <v>0</v>
      </c>
      <c r="M439" s="85">
        <v>43472</v>
      </c>
      <c r="N439" s="85" t="s">
        <v>265</v>
      </c>
      <c r="O439" s="86" t="s">
        <v>340</v>
      </c>
      <c r="P439" s="84" t="s">
        <v>6</v>
      </c>
      <c r="Q439" s="86" t="s">
        <v>40</v>
      </c>
      <c r="R439" s="86" t="s">
        <v>1538</v>
      </c>
      <c r="S439" s="87" t="s">
        <v>1539</v>
      </c>
      <c r="T439" s="87" t="s">
        <v>1540</v>
      </c>
      <c r="U439" s="88">
        <v>9000</v>
      </c>
      <c r="V439" s="88">
        <v>9720</v>
      </c>
      <c r="X439" s="88">
        <v>0</v>
      </c>
      <c r="Y439" s="88">
        <v>9000</v>
      </c>
      <c r="Z439" s="88">
        <v>9720</v>
      </c>
      <c r="AD439" s="84">
        <v>0</v>
      </c>
      <c r="AG439" s="84">
        <v>0</v>
      </c>
      <c r="AJ439" s="84">
        <v>0</v>
      </c>
      <c r="AR439" s="85">
        <v>43480</v>
      </c>
      <c r="AS439" s="84">
        <v>6001636884</v>
      </c>
      <c r="AT439" s="85">
        <v>43482</v>
      </c>
      <c r="AU439" s="84" t="s">
        <v>1561</v>
      </c>
      <c r="AV439" s="85">
        <v>43539</v>
      </c>
      <c r="AW439" s="123">
        <v>43555</v>
      </c>
      <c r="AX439" s="123">
        <v>43575</v>
      </c>
      <c r="AY439" s="132">
        <v>8640</v>
      </c>
      <c r="AZ439" s="132">
        <f>ROUNDDOWN(AY439+(AY439*MASTER!$A$2/100),0)</f>
        <v>9331</v>
      </c>
      <c r="BC439" s="88">
        <v>0</v>
      </c>
      <c r="BG439" s="88">
        <v>0</v>
      </c>
      <c r="BK439" s="88">
        <v>0</v>
      </c>
      <c r="BS439" s="88">
        <v>0</v>
      </c>
      <c r="BV439" s="89">
        <v>0</v>
      </c>
      <c r="BW439" s="89">
        <v>0</v>
      </c>
      <c r="BX439" s="89">
        <v>43472</v>
      </c>
      <c r="BY439" s="89">
        <v>0</v>
      </c>
      <c r="BZ439" s="112" t="s">
        <v>338</v>
      </c>
    </row>
    <row r="440" spans="1:89" x14ac:dyDescent="0.15">
      <c r="A440" s="84">
        <v>2</v>
      </c>
      <c r="B440" s="85">
        <v>43483</v>
      </c>
      <c r="C440" s="85">
        <v>43490</v>
      </c>
      <c r="D440" s="85">
        <v>43508</v>
      </c>
      <c r="F440" s="85">
        <v>43498</v>
      </c>
      <c r="H440" s="85">
        <v>43494</v>
      </c>
      <c r="I440" s="84" t="s">
        <v>401</v>
      </c>
      <c r="J440" s="84">
        <v>1</v>
      </c>
      <c r="K440" s="85">
        <v>43473</v>
      </c>
      <c r="L440" s="84" t="s">
        <v>818</v>
      </c>
      <c r="M440" s="85">
        <v>43472</v>
      </c>
      <c r="N440" s="85" t="s">
        <v>265</v>
      </c>
      <c r="O440" s="86" t="s">
        <v>340</v>
      </c>
      <c r="P440" s="84" t="s">
        <v>26</v>
      </c>
      <c r="Q440" s="86" t="s">
        <v>40</v>
      </c>
      <c r="R440" s="86" t="s">
        <v>1435</v>
      </c>
      <c r="S440" s="87" t="s">
        <v>1426</v>
      </c>
      <c r="T440" s="87" t="s">
        <v>1436</v>
      </c>
      <c r="U440" s="88">
        <v>33300</v>
      </c>
      <c r="V440" s="88">
        <v>35964</v>
      </c>
      <c r="W440" s="88">
        <v>24300</v>
      </c>
      <c r="X440" s="88">
        <v>26244</v>
      </c>
      <c r="Y440" s="88">
        <v>9000</v>
      </c>
      <c r="Z440" s="88">
        <v>9720</v>
      </c>
      <c r="AA440" s="85">
        <v>43489</v>
      </c>
      <c r="AB440" s="85">
        <v>43490</v>
      </c>
      <c r="AC440" s="85">
        <v>43491</v>
      </c>
      <c r="AD440" s="84">
        <v>0</v>
      </c>
      <c r="AG440" s="84">
        <v>0</v>
      </c>
      <c r="AJ440" s="84">
        <v>0</v>
      </c>
      <c r="AN440" s="84" t="s">
        <v>338</v>
      </c>
      <c r="AR440" s="85">
        <v>43475</v>
      </c>
      <c r="AS440" s="84">
        <v>6001635898</v>
      </c>
      <c r="AT440" s="85">
        <v>43475</v>
      </c>
      <c r="AU440" s="84" t="s">
        <v>1507</v>
      </c>
      <c r="AV440" s="85">
        <v>43490</v>
      </c>
      <c r="AW440" s="123">
        <v>43496</v>
      </c>
      <c r="AX440" s="123">
        <v>43516</v>
      </c>
      <c r="AY440" s="132">
        <v>31968</v>
      </c>
      <c r="AZ440" s="132">
        <f>ROUNDDOWN(AY440+(AY440*MASTER!$A$2/100),0)</f>
        <v>34525</v>
      </c>
      <c r="BA440" s="84" t="s">
        <v>477</v>
      </c>
      <c r="BB440" s="88">
        <v>38000</v>
      </c>
      <c r="BC440" s="88">
        <v>41040</v>
      </c>
      <c r="BD440" s="84" t="s">
        <v>1233</v>
      </c>
      <c r="BG440" s="88">
        <v>0</v>
      </c>
      <c r="BK440" s="88">
        <v>0</v>
      </c>
      <c r="BS440" s="88">
        <v>0</v>
      </c>
      <c r="BV440" s="89">
        <v>26244</v>
      </c>
      <c r="BW440" s="89">
        <v>41040</v>
      </c>
      <c r="BX440" s="89">
        <v>0</v>
      </c>
      <c r="BY440" s="89">
        <v>43473</v>
      </c>
      <c r="BZ440" s="112">
        <v>-56.378600823045268</v>
      </c>
      <c r="CK440" s="88">
        <v>0</v>
      </c>
    </row>
    <row r="441" spans="1:89" x14ac:dyDescent="0.15">
      <c r="A441" s="84">
        <v>1</v>
      </c>
      <c r="B441" s="85">
        <v>43531</v>
      </c>
      <c r="C441" s="85">
        <v>43539</v>
      </c>
      <c r="F441" s="85" t="s">
        <v>338</v>
      </c>
      <c r="H441" s="85" t="s">
        <v>338</v>
      </c>
      <c r="J441" s="84">
        <v>3</v>
      </c>
      <c r="L441" s="84">
        <v>0</v>
      </c>
      <c r="M441" s="85">
        <v>43472</v>
      </c>
      <c r="N441" s="85" t="s">
        <v>265</v>
      </c>
      <c r="O441" s="86" t="s">
        <v>340</v>
      </c>
      <c r="P441" s="84" t="s">
        <v>6</v>
      </c>
      <c r="Q441" s="86" t="s">
        <v>40</v>
      </c>
      <c r="R441" s="86" t="s">
        <v>1541</v>
      </c>
      <c r="S441" s="87" t="s">
        <v>1542</v>
      </c>
      <c r="T441" s="87" t="s">
        <v>1540</v>
      </c>
      <c r="U441" s="88">
        <v>9000</v>
      </c>
      <c r="V441" s="88">
        <v>9720</v>
      </c>
      <c r="X441" s="88">
        <v>0</v>
      </c>
      <c r="Y441" s="88">
        <v>9000</v>
      </c>
      <c r="Z441" s="88">
        <v>9720</v>
      </c>
      <c r="AD441" s="84">
        <v>0</v>
      </c>
      <c r="AG441" s="84">
        <v>0</v>
      </c>
      <c r="AJ441" s="84">
        <v>0</v>
      </c>
      <c r="AR441" s="85">
        <v>43480</v>
      </c>
      <c r="AS441" s="84">
        <v>6001636884</v>
      </c>
      <c r="AT441" s="85">
        <v>43482</v>
      </c>
      <c r="AU441" s="84" t="s">
        <v>1561</v>
      </c>
      <c r="AV441" s="85">
        <v>43539</v>
      </c>
      <c r="AW441" s="123">
        <v>43555</v>
      </c>
      <c r="AX441" s="123">
        <v>43575</v>
      </c>
      <c r="AY441" s="132">
        <v>8640</v>
      </c>
      <c r="AZ441" s="132">
        <f>ROUNDDOWN(AY441+(AY441*MASTER!$A$2/100),0)</f>
        <v>9331</v>
      </c>
      <c r="BC441" s="88">
        <v>0</v>
      </c>
      <c r="BG441" s="88">
        <v>0</v>
      </c>
      <c r="BK441" s="88">
        <v>0</v>
      </c>
      <c r="BS441" s="88">
        <v>0</v>
      </c>
      <c r="BV441" s="89">
        <v>0</v>
      </c>
      <c r="BW441" s="89">
        <v>0</v>
      </c>
      <c r="BX441" s="89">
        <v>43472</v>
      </c>
      <c r="BY441" s="89">
        <v>0</v>
      </c>
      <c r="BZ441" s="112" t="s">
        <v>338</v>
      </c>
    </row>
    <row r="442" spans="1:89" x14ac:dyDescent="0.15">
      <c r="A442" s="84">
        <v>2</v>
      </c>
      <c r="B442" s="85">
        <v>43476</v>
      </c>
      <c r="C442" s="85">
        <v>43481</v>
      </c>
      <c r="D442" s="85">
        <v>43481</v>
      </c>
      <c r="E442" s="85">
        <v>43481</v>
      </c>
      <c r="F442" s="85" t="s">
        <v>338</v>
      </c>
      <c r="G442" s="85">
        <v>43481</v>
      </c>
      <c r="H442" s="85" t="s">
        <v>338</v>
      </c>
      <c r="I442" s="84" t="s">
        <v>380</v>
      </c>
      <c r="J442" s="84">
        <v>2</v>
      </c>
      <c r="L442" s="84">
        <v>0</v>
      </c>
      <c r="M442" s="85">
        <v>43472</v>
      </c>
      <c r="N442" s="85" t="s">
        <v>265</v>
      </c>
      <c r="O442" s="86" t="s">
        <v>340</v>
      </c>
      <c r="P442" s="84" t="s">
        <v>6</v>
      </c>
      <c r="Q442" s="86" t="s">
        <v>40</v>
      </c>
      <c r="R442" s="86" t="s">
        <v>1520</v>
      </c>
      <c r="S442" s="87" t="s">
        <v>1154</v>
      </c>
      <c r="T442" s="87" t="s">
        <v>342</v>
      </c>
      <c r="U442" s="88">
        <v>35000</v>
      </c>
      <c r="V442" s="88">
        <v>37800</v>
      </c>
      <c r="W442" s="88">
        <v>35000</v>
      </c>
      <c r="X442" s="88">
        <v>37800</v>
      </c>
      <c r="Z442" s="88">
        <v>0</v>
      </c>
      <c r="AA442" s="85">
        <v>43476</v>
      </c>
      <c r="AB442" s="85">
        <v>43477</v>
      </c>
      <c r="AD442" s="84">
        <v>0</v>
      </c>
      <c r="AG442" s="84">
        <v>0</v>
      </c>
      <c r="AJ442" s="84">
        <v>0</v>
      </c>
      <c r="AN442" s="84" t="s">
        <v>338</v>
      </c>
      <c r="AR442" s="85">
        <v>43475</v>
      </c>
      <c r="AS442" s="84">
        <v>6001635898</v>
      </c>
      <c r="AT442" s="85">
        <v>43475</v>
      </c>
      <c r="AU442" s="84" t="s">
        <v>1507</v>
      </c>
      <c r="AV442" s="85">
        <v>43481</v>
      </c>
      <c r="AW442" s="123">
        <v>43496</v>
      </c>
      <c r="AX442" s="123">
        <v>43516</v>
      </c>
      <c r="AY442" s="132">
        <v>33600</v>
      </c>
      <c r="AZ442" s="132">
        <f>ROUNDDOWN(AY442+(AY442*MASTER!$A$2/100),0)</f>
        <v>36288</v>
      </c>
      <c r="BA442" s="84" t="s">
        <v>543</v>
      </c>
      <c r="BB442" s="88">
        <v>26000</v>
      </c>
      <c r="BC442" s="88">
        <v>28080</v>
      </c>
      <c r="BD442" s="84" t="s">
        <v>1138</v>
      </c>
      <c r="BG442" s="88">
        <v>0</v>
      </c>
      <c r="BK442" s="88">
        <v>0</v>
      </c>
      <c r="BS442" s="88">
        <v>0</v>
      </c>
      <c r="BV442" s="89">
        <v>37800</v>
      </c>
      <c r="BW442" s="89">
        <v>28080</v>
      </c>
      <c r="BX442" s="89">
        <v>43472</v>
      </c>
      <c r="BY442" s="89">
        <v>9720</v>
      </c>
      <c r="BZ442" s="112">
        <v>25.714285714285712</v>
      </c>
      <c r="CK442" s="88">
        <v>0</v>
      </c>
    </row>
    <row r="443" spans="1:89" x14ac:dyDescent="0.15">
      <c r="A443" s="84">
        <v>2</v>
      </c>
      <c r="B443" s="85">
        <v>43483</v>
      </c>
      <c r="C443" s="85">
        <v>43486</v>
      </c>
      <c r="D443" s="85">
        <v>43472</v>
      </c>
      <c r="E443" s="85">
        <v>43472</v>
      </c>
      <c r="F443" s="85" t="s">
        <v>338</v>
      </c>
      <c r="G443" s="85">
        <v>43472</v>
      </c>
      <c r="H443" s="85" t="s">
        <v>338</v>
      </c>
      <c r="I443" s="84" t="s">
        <v>380</v>
      </c>
      <c r="J443" s="84">
        <v>2</v>
      </c>
      <c r="L443" s="84">
        <v>0</v>
      </c>
      <c r="M443" s="85">
        <v>43472</v>
      </c>
      <c r="N443" s="85" t="s">
        <v>265</v>
      </c>
      <c r="O443" s="86" t="s">
        <v>340</v>
      </c>
      <c r="P443" s="84" t="s">
        <v>6</v>
      </c>
      <c r="Q443" s="86" t="s">
        <v>40</v>
      </c>
      <c r="R443" s="86" t="s">
        <v>1427</v>
      </c>
      <c r="S443" s="87" t="s">
        <v>1428</v>
      </c>
      <c r="T443" s="87" t="s">
        <v>342</v>
      </c>
      <c r="U443" s="88">
        <v>35000</v>
      </c>
      <c r="V443" s="88">
        <v>37800</v>
      </c>
      <c r="W443" s="88">
        <v>35000</v>
      </c>
      <c r="X443" s="88">
        <v>37800</v>
      </c>
      <c r="Z443" s="88">
        <v>0</v>
      </c>
      <c r="AA443" s="85">
        <v>43463</v>
      </c>
      <c r="AB443" s="85">
        <v>43463</v>
      </c>
      <c r="AD443" s="84">
        <v>0</v>
      </c>
      <c r="AG443" s="84">
        <v>0</v>
      </c>
      <c r="AJ443" s="84">
        <v>0</v>
      </c>
      <c r="AN443" s="84" t="s">
        <v>338</v>
      </c>
      <c r="AR443" s="85">
        <v>43482</v>
      </c>
      <c r="AS443" s="84">
        <v>6001638017</v>
      </c>
      <c r="AT443" s="85">
        <v>43482</v>
      </c>
      <c r="AU443" s="84" t="s">
        <v>1553</v>
      </c>
      <c r="AV443" s="85">
        <v>43486</v>
      </c>
      <c r="AW443" s="123">
        <v>43496</v>
      </c>
      <c r="AX443" s="123">
        <v>43516</v>
      </c>
      <c r="AY443" s="132">
        <v>33600</v>
      </c>
      <c r="AZ443" s="132">
        <f>ROUNDDOWN(AY443+(AY443*MASTER!$A$2/100),0)</f>
        <v>36288</v>
      </c>
      <c r="BA443" s="84" t="s">
        <v>400</v>
      </c>
      <c r="BB443" s="88">
        <v>22000</v>
      </c>
      <c r="BC443" s="88">
        <v>23760</v>
      </c>
      <c r="BD443" s="84" t="s">
        <v>1138</v>
      </c>
      <c r="BG443" s="88">
        <v>0</v>
      </c>
      <c r="BK443" s="88">
        <v>0</v>
      </c>
      <c r="BS443" s="88">
        <v>0</v>
      </c>
      <c r="BV443" s="89">
        <v>37800</v>
      </c>
      <c r="BW443" s="89">
        <v>23760</v>
      </c>
      <c r="BX443" s="89">
        <v>43472</v>
      </c>
      <c r="BY443" s="89">
        <v>14040</v>
      </c>
      <c r="BZ443" s="112">
        <v>37.142857142857146</v>
      </c>
      <c r="CK443" s="88">
        <v>0</v>
      </c>
    </row>
    <row r="444" spans="1:89" x14ac:dyDescent="0.15">
      <c r="A444" s="84">
        <v>2</v>
      </c>
      <c r="B444" s="85">
        <v>43481</v>
      </c>
      <c r="C444" s="85">
        <v>43480</v>
      </c>
      <c r="D444" s="85">
        <v>43472</v>
      </c>
      <c r="E444" s="85">
        <v>43472</v>
      </c>
      <c r="F444" s="85" t="s">
        <v>338</v>
      </c>
      <c r="G444" s="85">
        <v>43472</v>
      </c>
      <c r="H444" s="85" t="s">
        <v>338</v>
      </c>
      <c r="I444" s="84" t="s">
        <v>380</v>
      </c>
      <c r="J444" s="84">
        <v>2</v>
      </c>
      <c r="L444" s="84">
        <v>0</v>
      </c>
      <c r="M444" s="85">
        <v>43472</v>
      </c>
      <c r="N444" s="85" t="s">
        <v>265</v>
      </c>
      <c r="O444" s="86" t="s">
        <v>340</v>
      </c>
      <c r="P444" s="84" t="s">
        <v>6</v>
      </c>
      <c r="Q444" s="86" t="s">
        <v>40</v>
      </c>
      <c r="R444" s="86" t="s">
        <v>1429</v>
      </c>
      <c r="S444" s="87" t="s">
        <v>347</v>
      </c>
      <c r="T444" s="87" t="s">
        <v>342</v>
      </c>
      <c r="U444" s="88">
        <v>35000</v>
      </c>
      <c r="V444" s="88">
        <v>37800</v>
      </c>
      <c r="W444" s="88">
        <v>35000</v>
      </c>
      <c r="X444" s="88">
        <v>37800</v>
      </c>
      <c r="Y444" s="88">
        <v>0</v>
      </c>
      <c r="Z444" s="88">
        <v>0</v>
      </c>
      <c r="AA444" s="85">
        <v>43465</v>
      </c>
      <c r="AB444" s="85">
        <v>43465</v>
      </c>
      <c r="AD444" s="84">
        <v>0</v>
      </c>
      <c r="AG444" s="84">
        <v>0</v>
      </c>
      <c r="AJ444" s="84">
        <v>0</v>
      </c>
      <c r="AN444" s="84" t="s">
        <v>338</v>
      </c>
      <c r="AR444" s="85">
        <v>43476</v>
      </c>
      <c r="AS444" s="84">
        <v>6001636491</v>
      </c>
      <c r="AT444" s="85">
        <v>43476</v>
      </c>
      <c r="AU444" s="84" t="s">
        <v>1524</v>
      </c>
      <c r="AV444" s="85">
        <v>43480</v>
      </c>
      <c r="AW444" s="123">
        <v>43496</v>
      </c>
      <c r="AX444" s="123">
        <v>43516</v>
      </c>
      <c r="AY444" s="132">
        <v>33600</v>
      </c>
      <c r="AZ444" s="132">
        <f>ROUNDDOWN(AY444+(AY444*MASTER!$A$2/100),0)</f>
        <v>36288</v>
      </c>
      <c r="BA444" s="84" t="s">
        <v>666</v>
      </c>
      <c r="BB444" s="88">
        <v>23000</v>
      </c>
      <c r="BC444" s="88">
        <v>24840</v>
      </c>
      <c r="BD444" s="84" t="s">
        <v>1138</v>
      </c>
      <c r="BG444" s="88">
        <v>0</v>
      </c>
      <c r="BK444" s="88">
        <v>0</v>
      </c>
      <c r="BS444" s="88">
        <v>0</v>
      </c>
      <c r="BV444" s="89">
        <v>37800</v>
      </c>
      <c r="BW444" s="89">
        <v>24840</v>
      </c>
      <c r="BX444" s="89">
        <v>43472</v>
      </c>
      <c r="BY444" s="89">
        <v>12960</v>
      </c>
      <c r="BZ444" s="112">
        <v>34.285714285714285</v>
      </c>
      <c r="CK444" s="88">
        <v>0</v>
      </c>
    </row>
    <row r="445" spans="1:89" x14ac:dyDescent="0.15">
      <c r="A445" s="84">
        <v>1</v>
      </c>
      <c r="B445" s="85">
        <v>43501</v>
      </c>
      <c r="C445" s="85">
        <v>43508</v>
      </c>
      <c r="F445" s="85" t="s">
        <v>338</v>
      </c>
      <c r="H445" s="85" t="s">
        <v>338</v>
      </c>
      <c r="J445" s="84">
        <v>3</v>
      </c>
      <c r="L445" s="84">
        <v>0</v>
      </c>
      <c r="M445" s="85">
        <v>43473</v>
      </c>
      <c r="N445" s="85" t="s">
        <v>265</v>
      </c>
      <c r="O445" s="86" t="s">
        <v>340</v>
      </c>
      <c r="P445" s="84" t="s">
        <v>26</v>
      </c>
      <c r="Q445" s="86" t="s">
        <v>40</v>
      </c>
      <c r="R445" s="86" t="s">
        <v>1615</v>
      </c>
      <c r="S445" s="87" t="s">
        <v>1264</v>
      </c>
      <c r="T445" s="87" t="s">
        <v>1437</v>
      </c>
      <c r="U445" s="88">
        <v>17500</v>
      </c>
      <c r="V445" s="88">
        <v>18900</v>
      </c>
      <c r="X445" s="88">
        <v>0</v>
      </c>
      <c r="Y445" s="88">
        <v>17500</v>
      </c>
      <c r="Z445" s="88">
        <v>18900</v>
      </c>
      <c r="AD445" s="84">
        <v>0</v>
      </c>
      <c r="AG445" s="84">
        <v>0</v>
      </c>
      <c r="AJ445" s="84">
        <v>0</v>
      </c>
      <c r="AN445" s="84" t="s">
        <v>338</v>
      </c>
      <c r="AR445" s="85">
        <v>43500</v>
      </c>
      <c r="AS445" s="84">
        <v>6001643298</v>
      </c>
      <c r="AT445" s="85">
        <v>43500</v>
      </c>
      <c r="AU445" s="84" t="s">
        <v>1616</v>
      </c>
      <c r="AV445" s="85">
        <v>43508</v>
      </c>
      <c r="AW445" s="123">
        <v>43524</v>
      </c>
      <c r="AX445" s="123">
        <v>43544</v>
      </c>
      <c r="AY445" s="132">
        <v>16800</v>
      </c>
      <c r="AZ445" s="132">
        <f>ROUNDDOWN(AY445+(AY445*MASTER!$A$2/100),0)</f>
        <v>18144</v>
      </c>
      <c r="BC445" s="88">
        <v>0</v>
      </c>
      <c r="BG445" s="88">
        <v>0</v>
      </c>
      <c r="BI445" s="84" t="s">
        <v>276</v>
      </c>
      <c r="BJ445" s="88">
        <v>11375</v>
      </c>
      <c r="BK445" s="88">
        <v>12285</v>
      </c>
      <c r="BL445" s="84" t="s">
        <v>1559</v>
      </c>
      <c r="BS445" s="88">
        <v>0</v>
      </c>
      <c r="BV445" s="89">
        <v>0</v>
      </c>
      <c r="BW445" s="89">
        <v>12285</v>
      </c>
      <c r="BX445" s="89">
        <v>43473</v>
      </c>
      <c r="BY445" s="89">
        <v>-12285</v>
      </c>
      <c r="BZ445" s="112" t="s">
        <v>338</v>
      </c>
    </row>
    <row r="446" spans="1:89" x14ac:dyDescent="0.15">
      <c r="A446" s="84">
        <v>1</v>
      </c>
      <c r="B446" s="85">
        <v>43501</v>
      </c>
      <c r="C446" s="85">
        <v>43508</v>
      </c>
      <c r="F446" s="85" t="s">
        <v>338</v>
      </c>
      <c r="H446" s="85" t="s">
        <v>338</v>
      </c>
      <c r="J446" s="84">
        <v>3</v>
      </c>
      <c r="L446" s="84">
        <v>0</v>
      </c>
      <c r="M446" s="85">
        <v>43473</v>
      </c>
      <c r="N446" s="85" t="s">
        <v>265</v>
      </c>
      <c r="O446" s="86" t="s">
        <v>340</v>
      </c>
      <c r="P446" s="84" t="s">
        <v>26</v>
      </c>
      <c r="Q446" s="86" t="s">
        <v>40</v>
      </c>
      <c r="R446" s="86" t="s">
        <v>1617</v>
      </c>
      <c r="S446" s="87" t="s">
        <v>1618</v>
      </c>
      <c r="T446" s="87" t="s">
        <v>1437</v>
      </c>
      <c r="U446" s="88">
        <v>17500</v>
      </c>
      <c r="V446" s="88">
        <v>18900</v>
      </c>
      <c r="X446" s="88">
        <v>0</v>
      </c>
      <c r="Y446" s="88">
        <v>17500</v>
      </c>
      <c r="Z446" s="88">
        <v>18900</v>
      </c>
      <c r="AD446" s="84">
        <v>0</v>
      </c>
      <c r="AG446" s="84">
        <v>0</v>
      </c>
      <c r="AJ446" s="84">
        <v>0</v>
      </c>
      <c r="AN446" s="84" t="s">
        <v>338</v>
      </c>
      <c r="AR446" s="85">
        <v>43500</v>
      </c>
      <c r="AS446" s="84">
        <v>6001643298</v>
      </c>
      <c r="AT446" s="85">
        <v>43500</v>
      </c>
      <c r="AU446" s="84" t="s">
        <v>1616</v>
      </c>
      <c r="AV446" s="85">
        <v>43508</v>
      </c>
      <c r="AW446" s="123">
        <v>43524</v>
      </c>
      <c r="AX446" s="123">
        <v>43544</v>
      </c>
      <c r="AY446" s="132">
        <v>16800</v>
      </c>
      <c r="AZ446" s="132">
        <f>ROUNDDOWN(AY446+(AY446*MASTER!$A$2/100),0)</f>
        <v>18144</v>
      </c>
      <c r="BC446" s="88">
        <v>0</v>
      </c>
      <c r="BG446" s="88">
        <v>0</v>
      </c>
      <c r="BI446" s="84" t="s">
        <v>276</v>
      </c>
      <c r="BJ446" s="88">
        <v>11375</v>
      </c>
      <c r="BK446" s="88">
        <v>12285</v>
      </c>
      <c r="BL446" s="84" t="s">
        <v>1559</v>
      </c>
      <c r="BS446" s="88">
        <v>0</v>
      </c>
      <c r="BV446" s="89">
        <v>0</v>
      </c>
      <c r="BW446" s="89">
        <v>12285</v>
      </c>
      <c r="BX446" s="89">
        <v>43473</v>
      </c>
      <c r="BY446" s="89">
        <v>-12285</v>
      </c>
      <c r="BZ446" s="112" t="s">
        <v>338</v>
      </c>
    </row>
    <row r="447" spans="1:89" x14ac:dyDescent="0.15">
      <c r="A447" s="84">
        <v>1</v>
      </c>
      <c r="B447" s="85">
        <v>43476</v>
      </c>
      <c r="C447" s="85">
        <v>43485</v>
      </c>
      <c r="F447" s="85" t="s">
        <v>338</v>
      </c>
      <c r="H447" s="85" t="s">
        <v>338</v>
      </c>
      <c r="J447" s="84">
        <v>3</v>
      </c>
      <c r="L447" s="84">
        <v>0</v>
      </c>
      <c r="M447" s="85">
        <v>43473</v>
      </c>
      <c r="N447" s="85" t="s">
        <v>265</v>
      </c>
      <c r="O447" s="86" t="s">
        <v>340</v>
      </c>
      <c r="P447" s="84" t="s">
        <v>26</v>
      </c>
      <c r="Q447" s="86" t="s">
        <v>40</v>
      </c>
      <c r="R447" s="86" t="s">
        <v>1438</v>
      </c>
      <c r="S447" s="87" t="s">
        <v>1013</v>
      </c>
      <c r="T447" s="87" t="s">
        <v>1437</v>
      </c>
      <c r="U447" s="88">
        <v>17500</v>
      </c>
      <c r="V447" s="88">
        <v>18900</v>
      </c>
      <c r="X447" s="88">
        <v>0</v>
      </c>
      <c r="Y447" s="88">
        <v>17500</v>
      </c>
      <c r="Z447" s="88">
        <v>18900</v>
      </c>
      <c r="AD447" s="84">
        <v>0</v>
      </c>
      <c r="AG447" s="84">
        <v>0</v>
      </c>
      <c r="AJ447" s="84">
        <v>0</v>
      </c>
      <c r="AR447" s="85">
        <v>43475</v>
      </c>
      <c r="AS447" s="84">
        <v>6001635899</v>
      </c>
      <c r="AT447" s="85">
        <v>43475</v>
      </c>
      <c r="AU447" s="84" t="s">
        <v>1508</v>
      </c>
      <c r="AV447" s="85">
        <v>43485</v>
      </c>
      <c r="AW447" s="123">
        <v>43496</v>
      </c>
      <c r="AX447" s="123">
        <v>43516</v>
      </c>
      <c r="AY447" s="132">
        <v>16800</v>
      </c>
      <c r="AZ447" s="132">
        <f>ROUNDDOWN(AY447+(AY447*MASTER!$A$2/100),0)</f>
        <v>18144</v>
      </c>
      <c r="BC447" s="88">
        <v>0</v>
      </c>
      <c r="BG447" s="88">
        <v>0</v>
      </c>
      <c r="BI447" s="84" t="s">
        <v>276</v>
      </c>
      <c r="BJ447" s="88">
        <v>11375</v>
      </c>
      <c r="BK447" s="88">
        <v>12285</v>
      </c>
      <c r="BL447" s="84" t="s">
        <v>1559</v>
      </c>
      <c r="BS447" s="88">
        <v>0</v>
      </c>
      <c r="BV447" s="89">
        <v>0</v>
      </c>
      <c r="BW447" s="89">
        <v>12285</v>
      </c>
      <c r="BX447" s="89">
        <v>43473</v>
      </c>
      <c r="BY447" s="89">
        <v>-12285</v>
      </c>
      <c r="BZ447" s="112" t="s">
        <v>338</v>
      </c>
    </row>
    <row r="448" spans="1:89" x14ac:dyDescent="0.15">
      <c r="A448" s="84">
        <v>1</v>
      </c>
      <c r="B448" s="85">
        <v>43476</v>
      </c>
      <c r="C448" s="85">
        <v>43485</v>
      </c>
      <c r="F448" s="85" t="s">
        <v>338</v>
      </c>
      <c r="H448" s="85" t="s">
        <v>338</v>
      </c>
      <c r="J448" s="84">
        <v>3</v>
      </c>
      <c r="L448" s="84">
        <v>0</v>
      </c>
      <c r="M448" s="85">
        <v>43473</v>
      </c>
      <c r="N448" s="85" t="s">
        <v>265</v>
      </c>
      <c r="O448" s="86" t="s">
        <v>340</v>
      </c>
      <c r="P448" s="84" t="s">
        <v>26</v>
      </c>
      <c r="Q448" s="86" t="s">
        <v>40</v>
      </c>
      <c r="R448" s="86" t="s">
        <v>1439</v>
      </c>
      <c r="S448" s="87" t="s">
        <v>990</v>
      </c>
      <c r="T448" s="87" t="s">
        <v>1437</v>
      </c>
      <c r="U448" s="88">
        <v>17500</v>
      </c>
      <c r="V448" s="88">
        <v>18900</v>
      </c>
      <c r="X448" s="88">
        <v>0</v>
      </c>
      <c r="Y448" s="88">
        <v>17500</v>
      </c>
      <c r="Z448" s="88">
        <v>18900</v>
      </c>
      <c r="AD448" s="84">
        <v>0</v>
      </c>
      <c r="AG448" s="84">
        <v>0</v>
      </c>
      <c r="AJ448" s="84">
        <v>0</v>
      </c>
      <c r="AR448" s="85">
        <v>43475</v>
      </c>
      <c r="AS448" s="84">
        <v>6001635899</v>
      </c>
      <c r="AT448" s="85">
        <v>43475</v>
      </c>
      <c r="AU448" s="84" t="s">
        <v>1508</v>
      </c>
      <c r="AV448" s="85">
        <v>43485</v>
      </c>
      <c r="AW448" s="123">
        <v>43496</v>
      </c>
      <c r="AX448" s="123">
        <v>43516</v>
      </c>
      <c r="AY448" s="132">
        <v>16800</v>
      </c>
      <c r="AZ448" s="132">
        <f>ROUNDDOWN(AY448+(AY448*MASTER!$A$2/100),0)</f>
        <v>18144</v>
      </c>
      <c r="BC448" s="88">
        <v>0</v>
      </c>
      <c r="BG448" s="88">
        <v>0</v>
      </c>
      <c r="BI448" s="84" t="s">
        <v>276</v>
      </c>
      <c r="BJ448" s="88">
        <v>11375</v>
      </c>
      <c r="BK448" s="88">
        <v>12285</v>
      </c>
      <c r="BL448" s="84" t="s">
        <v>1559</v>
      </c>
      <c r="BS448" s="88">
        <v>0</v>
      </c>
      <c r="BV448" s="89">
        <v>0</v>
      </c>
      <c r="BW448" s="89">
        <v>12285</v>
      </c>
      <c r="BX448" s="89">
        <v>43473</v>
      </c>
      <c r="BY448" s="89">
        <v>-12285</v>
      </c>
      <c r="BZ448" s="112" t="s">
        <v>338</v>
      </c>
    </row>
    <row r="449" spans="1:89" x14ac:dyDescent="0.15">
      <c r="A449" s="84">
        <v>1</v>
      </c>
      <c r="B449" s="85">
        <v>43501</v>
      </c>
      <c r="C449" s="85">
        <v>43508</v>
      </c>
      <c r="F449" s="85" t="s">
        <v>338</v>
      </c>
      <c r="H449" s="85" t="s">
        <v>338</v>
      </c>
      <c r="J449" s="84">
        <v>3</v>
      </c>
      <c r="L449" s="84">
        <v>0</v>
      </c>
      <c r="M449" s="85">
        <v>43473</v>
      </c>
      <c r="N449" s="85" t="s">
        <v>265</v>
      </c>
      <c r="O449" s="86" t="s">
        <v>340</v>
      </c>
      <c r="P449" s="84" t="s">
        <v>26</v>
      </c>
      <c r="Q449" s="86" t="s">
        <v>40</v>
      </c>
      <c r="R449" s="86" t="s">
        <v>1440</v>
      </c>
      <c r="S449" s="87" t="s">
        <v>646</v>
      </c>
      <c r="T449" s="87" t="s">
        <v>1437</v>
      </c>
      <c r="U449" s="88">
        <v>17500</v>
      </c>
      <c r="V449" s="88">
        <v>18900</v>
      </c>
      <c r="X449" s="88">
        <v>0</v>
      </c>
      <c r="Y449" s="88">
        <v>17500</v>
      </c>
      <c r="Z449" s="88">
        <v>18900</v>
      </c>
      <c r="AD449" s="84">
        <v>0</v>
      </c>
      <c r="AG449" s="84">
        <v>0</v>
      </c>
      <c r="AJ449" s="84">
        <v>0</v>
      </c>
      <c r="AR449" s="85">
        <v>43500</v>
      </c>
      <c r="AS449" s="84">
        <v>6001643298</v>
      </c>
      <c r="AT449" s="85">
        <v>43500</v>
      </c>
      <c r="AU449" s="84" t="s">
        <v>1616</v>
      </c>
      <c r="AV449" s="85">
        <v>43508</v>
      </c>
      <c r="AW449" s="123">
        <v>43524</v>
      </c>
      <c r="AX449" s="123">
        <v>43544</v>
      </c>
      <c r="AY449" s="132">
        <v>16800</v>
      </c>
      <c r="AZ449" s="132">
        <f>ROUNDDOWN(AY449+(AY449*MASTER!$A$2/100),0)</f>
        <v>18144</v>
      </c>
      <c r="BC449" s="88">
        <v>0</v>
      </c>
      <c r="BG449" s="88">
        <v>0</v>
      </c>
      <c r="BK449" s="88">
        <v>0</v>
      </c>
      <c r="BS449" s="88">
        <v>0</v>
      </c>
      <c r="BV449" s="89">
        <v>0</v>
      </c>
      <c r="BW449" s="89">
        <v>0</v>
      </c>
      <c r="BX449" s="89">
        <v>43473</v>
      </c>
      <c r="BY449" s="89">
        <v>0</v>
      </c>
      <c r="BZ449" s="112" t="s">
        <v>338</v>
      </c>
    </row>
    <row r="450" spans="1:89" x14ac:dyDescent="0.15">
      <c r="A450" s="84">
        <v>1</v>
      </c>
      <c r="B450" s="85">
        <v>43476</v>
      </c>
      <c r="C450" s="85">
        <v>43485</v>
      </c>
      <c r="F450" s="85" t="s">
        <v>338</v>
      </c>
      <c r="H450" s="85" t="s">
        <v>338</v>
      </c>
      <c r="J450" s="84">
        <v>3</v>
      </c>
      <c r="L450" s="84">
        <v>0</v>
      </c>
      <c r="M450" s="85">
        <v>43473</v>
      </c>
      <c r="N450" s="85" t="s">
        <v>265</v>
      </c>
      <c r="O450" s="86" t="s">
        <v>340</v>
      </c>
      <c r="P450" s="84" t="s">
        <v>26</v>
      </c>
      <c r="Q450" s="86" t="s">
        <v>40</v>
      </c>
      <c r="R450" s="86" t="s">
        <v>1441</v>
      </c>
      <c r="S450" s="87" t="s">
        <v>1148</v>
      </c>
      <c r="T450" s="87" t="s">
        <v>1437</v>
      </c>
      <c r="U450" s="88">
        <v>17500</v>
      </c>
      <c r="V450" s="88">
        <v>18900</v>
      </c>
      <c r="X450" s="88">
        <v>0</v>
      </c>
      <c r="Y450" s="88">
        <v>17500</v>
      </c>
      <c r="Z450" s="88">
        <v>18900</v>
      </c>
      <c r="AD450" s="84">
        <v>0</v>
      </c>
      <c r="AG450" s="84">
        <v>0</v>
      </c>
      <c r="AJ450" s="84">
        <v>0</v>
      </c>
      <c r="AR450" s="85">
        <v>43475</v>
      </c>
      <c r="AS450" s="84">
        <v>6001635899</v>
      </c>
      <c r="AT450" s="85">
        <v>43475</v>
      </c>
      <c r="AU450" s="84" t="s">
        <v>1508</v>
      </c>
      <c r="AV450" s="85">
        <v>43485</v>
      </c>
      <c r="AW450" s="123">
        <v>43496</v>
      </c>
      <c r="AX450" s="123">
        <v>43516</v>
      </c>
      <c r="AY450" s="132">
        <v>16800</v>
      </c>
      <c r="AZ450" s="132">
        <f>ROUNDDOWN(AY450+(AY450*MASTER!$A$2/100),0)</f>
        <v>18144</v>
      </c>
      <c r="BC450" s="88">
        <v>0</v>
      </c>
      <c r="BG450" s="88">
        <v>0</v>
      </c>
      <c r="BI450" s="84" t="s">
        <v>276</v>
      </c>
      <c r="BJ450" s="88">
        <v>11375</v>
      </c>
      <c r="BK450" s="88">
        <v>12285</v>
      </c>
      <c r="BL450" s="84" t="s">
        <v>1559</v>
      </c>
      <c r="BS450" s="88">
        <v>0</v>
      </c>
      <c r="BV450" s="89">
        <v>0</v>
      </c>
      <c r="BW450" s="89">
        <v>12285</v>
      </c>
      <c r="BX450" s="89">
        <v>43473</v>
      </c>
      <c r="BY450" s="89">
        <v>-12285</v>
      </c>
      <c r="BZ450" s="112" t="s">
        <v>338</v>
      </c>
    </row>
    <row r="451" spans="1:89" x14ac:dyDescent="0.15">
      <c r="A451" s="84">
        <v>1</v>
      </c>
      <c r="B451" s="85">
        <v>43501</v>
      </c>
      <c r="C451" s="85">
        <v>43508</v>
      </c>
      <c r="F451" s="85" t="s">
        <v>338</v>
      </c>
      <c r="H451" s="85" t="s">
        <v>338</v>
      </c>
      <c r="J451" s="84">
        <v>3</v>
      </c>
      <c r="L451" s="84">
        <v>0</v>
      </c>
      <c r="M451" s="85">
        <v>43473</v>
      </c>
      <c r="N451" s="85" t="s">
        <v>265</v>
      </c>
      <c r="O451" s="86" t="s">
        <v>340</v>
      </c>
      <c r="P451" s="84" t="s">
        <v>26</v>
      </c>
      <c r="Q451" s="86" t="s">
        <v>40</v>
      </c>
      <c r="R451" s="86" t="s">
        <v>1442</v>
      </c>
      <c r="S451" s="87" t="s">
        <v>1539</v>
      </c>
      <c r="T451" s="87" t="s">
        <v>1437</v>
      </c>
      <c r="U451" s="88">
        <v>17500</v>
      </c>
      <c r="V451" s="88">
        <v>18900</v>
      </c>
      <c r="X451" s="88">
        <v>0</v>
      </c>
      <c r="Y451" s="88">
        <v>17500</v>
      </c>
      <c r="Z451" s="88">
        <v>18900</v>
      </c>
      <c r="AD451" s="84">
        <v>0</v>
      </c>
      <c r="AG451" s="84">
        <v>0</v>
      </c>
      <c r="AJ451" s="84">
        <v>0</v>
      </c>
      <c r="AR451" s="85">
        <v>43500</v>
      </c>
      <c r="AS451" s="84">
        <v>6001643298</v>
      </c>
      <c r="AT451" s="85">
        <v>43500</v>
      </c>
      <c r="AU451" s="84" t="s">
        <v>1616</v>
      </c>
      <c r="AV451" s="85">
        <v>43508</v>
      </c>
      <c r="AW451" s="123">
        <v>43524</v>
      </c>
      <c r="AX451" s="123">
        <v>43544</v>
      </c>
      <c r="AY451" s="132">
        <v>16800</v>
      </c>
      <c r="AZ451" s="132">
        <f>ROUNDDOWN(AY451+(AY451*MASTER!$A$2/100),0)</f>
        <v>18144</v>
      </c>
      <c r="BC451" s="88">
        <v>0</v>
      </c>
      <c r="BG451" s="88">
        <v>0</v>
      </c>
      <c r="BI451" s="84" t="s">
        <v>276</v>
      </c>
      <c r="BJ451" s="88">
        <v>11375</v>
      </c>
      <c r="BK451" s="88">
        <v>12285</v>
      </c>
      <c r="BL451" s="84" t="s">
        <v>1559</v>
      </c>
      <c r="BS451" s="88">
        <v>0</v>
      </c>
      <c r="BV451" s="89">
        <v>0</v>
      </c>
      <c r="BW451" s="89">
        <v>12285</v>
      </c>
      <c r="BX451" s="89">
        <v>43473</v>
      </c>
      <c r="BY451" s="89">
        <v>-12285</v>
      </c>
      <c r="BZ451" s="112" t="s">
        <v>338</v>
      </c>
    </row>
    <row r="452" spans="1:89" x14ac:dyDescent="0.15">
      <c r="A452" s="84">
        <v>1</v>
      </c>
      <c r="B452" s="85">
        <v>43476</v>
      </c>
      <c r="C452" s="85">
        <v>43485</v>
      </c>
      <c r="F452" s="85" t="s">
        <v>338</v>
      </c>
      <c r="H452" s="85" t="s">
        <v>338</v>
      </c>
      <c r="J452" s="84">
        <v>3</v>
      </c>
      <c r="L452" s="84">
        <v>0</v>
      </c>
      <c r="M452" s="85">
        <v>43473</v>
      </c>
      <c r="N452" s="85" t="s">
        <v>265</v>
      </c>
      <c r="O452" s="86" t="s">
        <v>340</v>
      </c>
      <c r="P452" s="84" t="s">
        <v>26</v>
      </c>
      <c r="Q452" s="86" t="s">
        <v>40</v>
      </c>
      <c r="R452" s="86" t="s">
        <v>1443</v>
      </c>
      <c r="S452" s="87" t="s">
        <v>1522</v>
      </c>
      <c r="T452" s="87" t="s">
        <v>1437</v>
      </c>
      <c r="U452" s="88">
        <v>17500</v>
      </c>
      <c r="V452" s="88">
        <v>18900</v>
      </c>
      <c r="X452" s="88">
        <v>0</v>
      </c>
      <c r="Y452" s="88">
        <v>17500</v>
      </c>
      <c r="Z452" s="88">
        <v>18900</v>
      </c>
      <c r="AD452" s="84">
        <v>0</v>
      </c>
      <c r="AG452" s="84">
        <v>0</v>
      </c>
      <c r="AJ452" s="84">
        <v>0</v>
      </c>
      <c r="AR452" s="85">
        <v>43475</v>
      </c>
      <c r="AS452" s="84">
        <v>6001635899</v>
      </c>
      <c r="AT452" s="85">
        <v>43475</v>
      </c>
      <c r="AU452" s="84" t="s">
        <v>1508</v>
      </c>
      <c r="AV452" s="85">
        <v>43485</v>
      </c>
      <c r="AW452" s="123">
        <v>43496</v>
      </c>
      <c r="AX452" s="123">
        <v>43516</v>
      </c>
      <c r="AY452" s="132">
        <v>16800</v>
      </c>
      <c r="AZ452" s="132">
        <f>ROUNDDOWN(AY452+(AY452*MASTER!$A$2/100),0)</f>
        <v>18144</v>
      </c>
      <c r="BC452" s="88">
        <v>0</v>
      </c>
      <c r="BG452" s="88">
        <v>0</v>
      </c>
      <c r="BI452" s="84" t="s">
        <v>276</v>
      </c>
      <c r="BJ452" s="88">
        <v>11375</v>
      </c>
      <c r="BK452" s="88">
        <v>12285</v>
      </c>
      <c r="BL452" s="84" t="s">
        <v>1559</v>
      </c>
      <c r="BS452" s="88">
        <v>0</v>
      </c>
      <c r="BV452" s="89">
        <v>0</v>
      </c>
      <c r="BW452" s="89">
        <v>12285</v>
      </c>
      <c r="BX452" s="89">
        <v>43473</v>
      </c>
      <c r="BY452" s="89">
        <v>-12285</v>
      </c>
      <c r="BZ452" s="112" t="s">
        <v>338</v>
      </c>
    </row>
    <row r="453" spans="1:89" x14ac:dyDescent="0.15">
      <c r="A453" s="84">
        <v>1</v>
      </c>
      <c r="B453" s="85">
        <v>43501</v>
      </c>
      <c r="C453" s="85">
        <v>43508</v>
      </c>
      <c r="F453" s="85" t="s">
        <v>338</v>
      </c>
      <c r="H453" s="85" t="s">
        <v>338</v>
      </c>
      <c r="J453" s="84">
        <v>3</v>
      </c>
      <c r="L453" s="84">
        <v>0</v>
      </c>
      <c r="M453" s="85">
        <v>43473</v>
      </c>
      <c r="N453" s="85" t="s">
        <v>265</v>
      </c>
      <c r="O453" s="86" t="s">
        <v>340</v>
      </c>
      <c r="P453" s="84" t="s">
        <v>26</v>
      </c>
      <c r="Q453" s="86" t="s">
        <v>40</v>
      </c>
      <c r="R453" s="86" t="s">
        <v>1444</v>
      </c>
      <c r="S453" s="87" t="s">
        <v>1619</v>
      </c>
      <c r="T453" s="87" t="s">
        <v>1437</v>
      </c>
      <c r="U453" s="88">
        <v>17500</v>
      </c>
      <c r="V453" s="88">
        <v>18900</v>
      </c>
      <c r="X453" s="88">
        <v>0</v>
      </c>
      <c r="Y453" s="88">
        <v>17500</v>
      </c>
      <c r="Z453" s="88">
        <v>18900</v>
      </c>
      <c r="AD453" s="84">
        <v>0</v>
      </c>
      <c r="AG453" s="84">
        <v>0</v>
      </c>
      <c r="AJ453" s="84">
        <v>0</v>
      </c>
      <c r="AR453" s="85">
        <v>43500</v>
      </c>
      <c r="AS453" s="84">
        <v>6001643298</v>
      </c>
      <c r="AT453" s="85">
        <v>43500</v>
      </c>
      <c r="AU453" s="84" t="s">
        <v>1616</v>
      </c>
      <c r="AV453" s="85">
        <v>43508</v>
      </c>
      <c r="AW453" s="123">
        <v>43524</v>
      </c>
      <c r="AX453" s="123">
        <v>43544</v>
      </c>
      <c r="AY453" s="132">
        <v>16800</v>
      </c>
      <c r="AZ453" s="132">
        <f>ROUNDDOWN(AY453+(AY453*MASTER!$A$2/100),0)</f>
        <v>18144</v>
      </c>
      <c r="BC453" s="88">
        <v>0</v>
      </c>
      <c r="BG453" s="88">
        <v>0</v>
      </c>
      <c r="BI453" s="84" t="s">
        <v>276</v>
      </c>
      <c r="BJ453" s="88">
        <v>11375</v>
      </c>
      <c r="BK453" s="88">
        <v>12285</v>
      </c>
      <c r="BL453" s="84" t="s">
        <v>1559</v>
      </c>
      <c r="BS453" s="88">
        <v>0</v>
      </c>
      <c r="BV453" s="89">
        <v>0</v>
      </c>
      <c r="BW453" s="89">
        <v>12285</v>
      </c>
      <c r="BX453" s="89">
        <v>43473</v>
      </c>
      <c r="BY453" s="89">
        <v>-12285</v>
      </c>
      <c r="BZ453" s="112" t="s">
        <v>338</v>
      </c>
    </row>
    <row r="454" spans="1:89" x14ac:dyDescent="0.15">
      <c r="A454" s="84">
        <v>1</v>
      </c>
      <c r="B454" s="85">
        <v>43476</v>
      </c>
      <c r="C454" s="85">
        <v>43485</v>
      </c>
      <c r="F454" s="85" t="s">
        <v>338</v>
      </c>
      <c r="H454" s="85" t="s">
        <v>338</v>
      </c>
      <c r="J454" s="84">
        <v>3</v>
      </c>
      <c r="L454" s="84">
        <v>0</v>
      </c>
      <c r="M454" s="85">
        <v>43473</v>
      </c>
      <c r="N454" s="85" t="s">
        <v>265</v>
      </c>
      <c r="O454" s="86" t="s">
        <v>340</v>
      </c>
      <c r="P454" s="84" t="s">
        <v>26</v>
      </c>
      <c r="Q454" s="86" t="s">
        <v>40</v>
      </c>
      <c r="R454" s="86" t="s">
        <v>1445</v>
      </c>
      <c r="S454" s="87" t="s">
        <v>1523</v>
      </c>
      <c r="T454" s="87" t="s">
        <v>1437</v>
      </c>
      <c r="U454" s="88">
        <v>17500</v>
      </c>
      <c r="V454" s="88">
        <v>18900</v>
      </c>
      <c r="X454" s="88">
        <v>0</v>
      </c>
      <c r="Y454" s="88">
        <v>17500</v>
      </c>
      <c r="Z454" s="88">
        <v>18900</v>
      </c>
      <c r="AD454" s="84">
        <v>0</v>
      </c>
      <c r="AG454" s="84">
        <v>0</v>
      </c>
      <c r="AJ454" s="84">
        <v>0</v>
      </c>
      <c r="AR454" s="85">
        <v>43475</v>
      </c>
      <c r="AS454" s="84">
        <v>6001635899</v>
      </c>
      <c r="AT454" s="85">
        <v>43475</v>
      </c>
      <c r="AU454" s="84" t="s">
        <v>1508</v>
      </c>
      <c r="AV454" s="85">
        <v>43485</v>
      </c>
      <c r="AW454" s="123">
        <v>43496</v>
      </c>
      <c r="AX454" s="123">
        <v>43516</v>
      </c>
      <c r="AY454" s="132">
        <v>16800</v>
      </c>
      <c r="AZ454" s="132">
        <f>ROUNDDOWN(AY454+(AY454*MASTER!$A$2/100),0)</f>
        <v>18144</v>
      </c>
      <c r="BC454" s="88">
        <v>0</v>
      </c>
      <c r="BG454" s="88">
        <v>0</v>
      </c>
      <c r="BI454" s="84" t="s">
        <v>276</v>
      </c>
      <c r="BJ454" s="88">
        <v>11375</v>
      </c>
      <c r="BK454" s="88">
        <v>12285</v>
      </c>
      <c r="BL454" s="84" t="s">
        <v>1559</v>
      </c>
      <c r="BS454" s="88">
        <v>0</v>
      </c>
      <c r="BV454" s="89">
        <v>0</v>
      </c>
      <c r="BW454" s="89">
        <v>12285</v>
      </c>
      <c r="BX454" s="89">
        <v>43473</v>
      </c>
      <c r="BY454" s="89">
        <v>-12285</v>
      </c>
      <c r="BZ454" s="112" t="s">
        <v>338</v>
      </c>
    </row>
    <row r="455" spans="1:89" x14ac:dyDescent="0.15">
      <c r="A455" s="84">
        <v>1</v>
      </c>
      <c r="B455" s="85">
        <v>43501</v>
      </c>
      <c r="C455" s="85">
        <v>43508</v>
      </c>
      <c r="F455" s="85" t="s">
        <v>338</v>
      </c>
      <c r="H455" s="85" t="s">
        <v>338</v>
      </c>
      <c r="J455" s="84">
        <v>3</v>
      </c>
      <c r="L455" s="84">
        <v>0</v>
      </c>
      <c r="M455" s="85">
        <v>43473</v>
      </c>
      <c r="N455" s="85" t="s">
        <v>265</v>
      </c>
      <c r="O455" s="86" t="s">
        <v>340</v>
      </c>
      <c r="P455" s="84" t="s">
        <v>26</v>
      </c>
      <c r="Q455" s="86" t="s">
        <v>40</v>
      </c>
      <c r="R455" s="86" t="s">
        <v>1446</v>
      </c>
      <c r="S455" s="87" t="s">
        <v>1220</v>
      </c>
      <c r="T455" s="87" t="s">
        <v>1437</v>
      </c>
      <c r="U455" s="88">
        <v>17500</v>
      </c>
      <c r="V455" s="88">
        <v>18900</v>
      </c>
      <c r="X455" s="88">
        <v>0</v>
      </c>
      <c r="Y455" s="88">
        <v>17500</v>
      </c>
      <c r="Z455" s="88">
        <v>18900</v>
      </c>
      <c r="AD455" s="84">
        <v>0</v>
      </c>
      <c r="AG455" s="84">
        <v>0</v>
      </c>
      <c r="AJ455" s="84">
        <v>0</v>
      </c>
      <c r="AR455" s="85">
        <v>43500</v>
      </c>
      <c r="AS455" s="84">
        <v>6001643298</v>
      </c>
      <c r="AT455" s="85">
        <v>43500</v>
      </c>
      <c r="AU455" s="84" t="s">
        <v>1616</v>
      </c>
      <c r="AV455" s="85">
        <v>43508</v>
      </c>
      <c r="AW455" s="123">
        <v>43524</v>
      </c>
      <c r="AX455" s="123">
        <v>43544</v>
      </c>
      <c r="AY455" s="132">
        <v>16800</v>
      </c>
      <c r="AZ455" s="132">
        <f>ROUNDDOWN(AY455+(AY455*MASTER!$A$2/100),0)</f>
        <v>18144</v>
      </c>
      <c r="BC455" s="88">
        <v>0</v>
      </c>
      <c r="BG455" s="88">
        <v>0</v>
      </c>
      <c r="BI455" s="84" t="s">
        <v>276</v>
      </c>
      <c r="BJ455" s="88">
        <v>11375</v>
      </c>
      <c r="BK455" s="88">
        <v>12285</v>
      </c>
      <c r="BL455" s="84" t="s">
        <v>1559</v>
      </c>
      <c r="BS455" s="88">
        <v>0</v>
      </c>
      <c r="BV455" s="89">
        <v>0</v>
      </c>
      <c r="BW455" s="89">
        <v>12285</v>
      </c>
      <c r="BX455" s="89">
        <v>43473</v>
      </c>
      <c r="BY455" s="89">
        <v>-12285</v>
      </c>
      <c r="BZ455" s="112" t="s">
        <v>338</v>
      </c>
    </row>
    <row r="456" spans="1:89" x14ac:dyDescent="0.15">
      <c r="A456" s="84">
        <v>1</v>
      </c>
      <c r="B456" s="85">
        <v>43476</v>
      </c>
      <c r="C456" s="85">
        <v>43485</v>
      </c>
      <c r="F456" s="85" t="s">
        <v>338</v>
      </c>
      <c r="H456" s="85" t="s">
        <v>338</v>
      </c>
      <c r="J456" s="84">
        <v>3</v>
      </c>
      <c r="L456" s="84">
        <v>0</v>
      </c>
      <c r="M456" s="85">
        <v>43473</v>
      </c>
      <c r="N456" s="85" t="s">
        <v>265</v>
      </c>
      <c r="O456" s="86" t="s">
        <v>340</v>
      </c>
      <c r="P456" s="84" t="s">
        <v>26</v>
      </c>
      <c r="Q456" s="86" t="s">
        <v>40</v>
      </c>
      <c r="R456" s="86" t="s">
        <v>1447</v>
      </c>
      <c r="S456" s="87" t="s">
        <v>1448</v>
      </c>
      <c r="T456" s="87" t="s">
        <v>1437</v>
      </c>
      <c r="U456" s="88">
        <v>17500</v>
      </c>
      <c r="V456" s="88">
        <v>18900</v>
      </c>
      <c r="X456" s="88">
        <v>0</v>
      </c>
      <c r="Y456" s="88">
        <v>17500</v>
      </c>
      <c r="Z456" s="88">
        <v>18900</v>
      </c>
      <c r="AD456" s="84">
        <v>0</v>
      </c>
      <c r="AG456" s="84">
        <v>0</v>
      </c>
      <c r="AJ456" s="84">
        <v>0</v>
      </c>
      <c r="AR456" s="85">
        <v>43475</v>
      </c>
      <c r="AS456" s="84">
        <v>6001635899</v>
      </c>
      <c r="AT456" s="85">
        <v>43475</v>
      </c>
      <c r="AU456" s="84" t="s">
        <v>1508</v>
      </c>
      <c r="AV456" s="85">
        <v>43485</v>
      </c>
      <c r="AW456" s="123">
        <v>43496</v>
      </c>
      <c r="AX456" s="123">
        <v>43516</v>
      </c>
      <c r="AY456" s="132">
        <v>16800</v>
      </c>
      <c r="AZ456" s="132">
        <f>ROUNDDOWN(AY456+(AY456*MASTER!$A$2/100),0)</f>
        <v>18144</v>
      </c>
      <c r="BC456" s="88">
        <v>0</v>
      </c>
      <c r="BG456" s="88">
        <v>0</v>
      </c>
      <c r="BI456" s="84" t="s">
        <v>276</v>
      </c>
      <c r="BJ456" s="88">
        <v>11375</v>
      </c>
      <c r="BK456" s="88">
        <v>12285</v>
      </c>
      <c r="BL456" s="84" t="s">
        <v>1559</v>
      </c>
      <c r="BS456" s="88">
        <v>0</v>
      </c>
      <c r="BV456" s="89">
        <v>0</v>
      </c>
      <c r="BW456" s="89">
        <v>12285</v>
      </c>
      <c r="BX456" s="89">
        <v>43473</v>
      </c>
      <c r="BY456" s="89">
        <v>-12285</v>
      </c>
      <c r="BZ456" s="112" t="s">
        <v>338</v>
      </c>
    </row>
    <row r="457" spans="1:89" x14ac:dyDescent="0.15">
      <c r="A457" s="84">
        <v>1</v>
      </c>
      <c r="B457" s="85">
        <v>43476</v>
      </c>
      <c r="C457" s="85">
        <v>43485</v>
      </c>
      <c r="F457" s="85" t="s">
        <v>338</v>
      </c>
      <c r="H457" s="85" t="s">
        <v>338</v>
      </c>
      <c r="J457" s="84">
        <v>3</v>
      </c>
      <c r="L457" s="84">
        <v>0</v>
      </c>
      <c r="M457" s="85">
        <v>43473</v>
      </c>
      <c r="N457" s="85" t="s">
        <v>265</v>
      </c>
      <c r="O457" s="86" t="s">
        <v>340</v>
      </c>
      <c r="P457" s="84" t="s">
        <v>26</v>
      </c>
      <c r="Q457" s="86" t="s">
        <v>40</v>
      </c>
      <c r="R457" s="86" t="s">
        <v>1449</v>
      </c>
      <c r="S457" s="87" t="s">
        <v>1480</v>
      </c>
      <c r="T457" s="87" t="s">
        <v>1437</v>
      </c>
      <c r="U457" s="88">
        <v>17500</v>
      </c>
      <c r="V457" s="88">
        <v>18900</v>
      </c>
      <c r="X457" s="88">
        <v>0</v>
      </c>
      <c r="Y457" s="88">
        <v>17500</v>
      </c>
      <c r="Z457" s="88">
        <v>18900</v>
      </c>
      <c r="AD457" s="84">
        <v>0</v>
      </c>
      <c r="AG457" s="84">
        <v>0</v>
      </c>
      <c r="AJ457" s="84">
        <v>0</v>
      </c>
      <c r="AR457" s="85">
        <v>43475</v>
      </c>
      <c r="AS457" s="84">
        <v>6001635899</v>
      </c>
      <c r="AT457" s="85">
        <v>43475</v>
      </c>
      <c r="AU457" s="84" t="s">
        <v>1508</v>
      </c>
      <c r="AV457" s="85">
        <v>43485</v>
      </c>
      <c r="AW457" s="123">
        <v>43496</v>
      </c>
      <c r="AX457" s="123">
        <v>43516</v>
      </c>
      <c r="AY457" s="132">
        <v>16800</v>
      </c>
      <c r="AZ457" s="132">
        <f>ROUNDDOWN(AY457+(AY457*MASTER!$A$2/100),0)</f>
        <v>18144</v>
      </c>
      <c r="BC457" s="88">
        <v>0</v>
      </c>
      <c r="BG457" s="88">
        <v>0</v>
      </c>
      <c r="BI457" s="84" t="s">
        <v>434</v>
      </c>
      <c r="BJ457" s="88">
        <v>11375</v>
      </c>
      <c r="BK457" s="88">
        <v>12285</v>
      </c>
      <c r="BL457" s="84" t="s">
        <v>1233</v>
      </c>
      <c r="BS457" s="88">
        <v>0</v>
      </c>
      <c r="BV457" s="89">
        <v>0</v>
      </c>
      <c r="BW457" s="89">
        <v>12285</v>
      </c>
      <c r="BX457" s="89">
        <v>43473</v>
      </c>
      <c r="BY457" s="89">
        <v>-12285</v>
      </c>
      <c r="BZ457" s="112" t="s">
        <v>338</v>
      </c>
    </row>
    <row r="458" spans="1:89" x14ac:dyDescent="0.15">
      <c r="A458" s="84">
        <v>1</v>
      </c>
      <c r="B458" s="85">
        <v>43501</v>
      </c>
      <c r="C458" s="85">
        <v>43508</v>
      </c>
      <c r="F458" s="85" t="s">
        <v>338</v>
      </c>
      <c r="H458" s="85" t="s">
        <v>338</v>
      </c>
      <c r="J458" s="84">
        <v>3</v>
      </c>
      <c r="L458" s="84">
        <v>0</v>
      </c>
      <c r="M458" s="85">
        <v>43473</v>
      </c>
      <c r="N458" s="85" t="s">
        <v>265</v>
      </c>
      <c r="O458" s="86" t="s">
        <v>340</v>
      </c>
      <c r="P458" s="84" t="s">
        <v>26</v>
      </c>
      <c r="Q458" s="86" t="s">
        <v>40</v>
      </c>
      <c r="R458" s="86" t="s">
        <v>1450</v>
      </c>
      <c r="S458" s="87" t="s">
        <v>1024</v>
      </c>
      <c r="T458" s="87" t="s">
        <v>1437</v>
      </c>
      <c r="U458" s="88">
        <v>17500</v>
      </c>
      <c r="V458" s="88">
        <v>18900</v>
      </c>
      <c r="X458" s="88">
        <v>0</v>
      </c>
      <c r="Y458" s="88">
        <v>17500</v>
      </c>
      <c r="Z458" s="88">
        <v>18900</v>
      </c>
      <c r="AD458" s="84">
        <v>0</v>
      </c>
      <c r="AG458" s="84">
        <v>0</v>
      </c>
      <c r="AJ458" s="84">
        <v>0</v>
      </c>
      <c r="AR458" s="85">
        <v>43500</v>
      </c>
      <c r="AS458" s="84">
        <v>6001643298</v>
      </c>
      <c r="AT458" s="85">
        <v>43500</v>
      </c>
      <c r="AU458" s="84" t="s">
        <v>1616</v>
      </c>
      <c r="AV458" s="85">
        <v>43508</v>
      </c>
      <c r="AW458" s="123">
        <v>43524</v>
      </c>
      <c r="AX458" s="123">
        <v>43544</v>
      </c>
      <c r="AY458" s="132">
        <v>16800</v>
      </c>
      <c r="AZ458" s="132">
        <f>ROUNDDOWN(AY458+(AY458*MASTER!$A$2/100),0)</f>
        <v>18144</v>
      </c>
      <c r="BC458" s="88">
        <v>0</v>
      </c>
      <c r="BG458" s="88">
        <v>0</v>
      </c>
      <c r="BI458" s="84" t="s">
        <v>276</v>
      </c>
      <c r="BJ458" s="88">
        <v>11375</v>
      </c>
      <c r="BK458" s="88">
        <v>12285</v>
      </c>
      <c r="BL458" s="84" t="s">
        <v>1559</v>
      </c>
      <c r="BS458" s="88">
        <v>0</v>
      </c>
      <c r="BV458" s="89">
        <v>0</v>
      </c>
      <c r="BW458" s="89">
        <v>12285</v>
      </c>
      <c r="BX458" s="89">
        <v>43473</v>
      </c>
      <c r="BY458" s="89">
        <v>-12285</v>
      </c>
      <c r="BZ458" s="112" t="s">
        <v>338</v>
      </c>
    </row>
    <row r="459" spans="1:89" x14ac:dyDescent="0.15">
      <c r="A459" s="84">
        <v>1</v>
      </c>
      <c r="B459" s="85">
        <v>43501</v>
      </c>
      <c r="C459" s="85">
        <v>43508</v>
      </c>
      <c r="F459" s="85" t="s">
        <v>338</v>
      </c>
      <c r="H459" s="85" t="s">
        <v>338</v>
      </c>
      <c r="J459" s="84">
        <v>3</v>
      </c>
      <c r="L459" s="84">
        <v>0</v>
      </c>
      <c r="M459" s="85">
        <v>43473</v>
      </c>
      <c r="N459" s="85" t="s">
        <v>265</v>
      </c>
      <c r="O459" s="86" t="s">
        <v>340</v>
      </c>
      <c r="P459" s="84" t="s">
        <v>26</v>
      </c>
      <c r="Q459" s="86" t="s">
        <v>40</v>
      </c>
      <c r="R459" s="86" t="s">
        <v>1451</v>
      </c>
      <c r="S459" s="87" t="s">
        <v>1620</v>
      </c>
      <c r="T459" s="87" t="s">
        <v>1437</v>
      </c>
      <c r="U459" s="88">
        <v>17500</v>
      </c>
      <c r="V459" s="88">
        <v>18900</v>
      </c>
      <c r="X459" s="88">
        <v>0</v>
      </c>
      <c r="Y459" s="88">
        <v>17500</v>
      </c>
      <c r="Z459" s="88">
        <v>18900</v>
      </c>
      <c r="AD459" s="84">
        <v>0</v>
      </c>
      <c r="AG459" s="84">
        <v>0</v>
      </c>
      <c r="AJ459" s="84">
        <v>0</v>
      </c>
      <c r="AR459" s="85">
        <v>43500</v>
      </c>
      <c r="AS459" s="84">
        <v>6001643298</v>
      </c>
      <c r="AT459" s="85">
        <v>43500</v>
      </c>
      <c r="AU459" s="84" t="s">
        <v>1616</v>
      </c>
      <c r="AV459" s="85">
        <v>43508</v>
      </c>
      <c r="AW459" s="123">
        <v>43524</v>
      </c>
      <c r="AX459" s="123">
        <v>43544</v>
      </c>
      <c r="AY459" s="132">
        <v>16800</v>
      </c>
      <c r="AZ459" s="132">
        <f>ROUNDDOWN(AY459+(AY459*MASTER!$A$2/100),0)</f>
        <v>18144</v>
      </c>
      <c r="BC459" s="88">
        <v>0</v>
      </c>
      <c r="BG459" s="88">
        <v>0</v>
      </c>
      <c r="BI459" s="84" t="s">
        <v>276</v>
      </c>
      <c r="BJ459" s="88">
        <v>11375</v>
      </c>
      <c r="BK459" s="88">
        <v>12285</v>
      </c>
      <c r="BL459" s="84" t="s">
        <v>1559</v>
      </c>
      <c r="BS459" s="88">
        <v>0</v>
      </c>
      <c r="BV459" s="89">
        <v>0</v>
      </c>
      <c r="BW459" s="89">
        <v>12285</v>
      </c>
      <c r="BX459" s="89">
        <v>43473</v>
      </c>
      <c r="BY459" s="89">
        <v>-12285</v>
      </c>
      <c r="BZ459" s="112" t="s">
        <v>338</v>
      </c>
    </row>
    <row r="460" spans="1:89" x14ac:dyDescent="0.15">
      <c r="A460" s="84">
        <v>1</v>
      </c>
      <c r="B460" s="85">
        <v>43486</v>
      </c>
      <c r="C460" s="85">
        <v>43490</v>
      </c>
      <c r="F460" s="85" t="s">
        <v>338</v>
      </c>
      <c r="H460" s="85" t="s">
        <v>338</v>
      </c>
      <c r="J460" s="84">
        <v>3</v>
      </c>
      <c r="L460" s="84">
        <v>0</v>
      </c>
      <c r="M460" s="85">
        <v>43473</v>
      </c>
      <c r="N460" s="85" t="s">
        <v>265</v>
      </c>
      <c r="O460" s="86" t="s">
        <v>340</v>
      </c>
      <c r="P460" s="84" t="s">
        <v>26</v>
      </c>
      <c r="Q460" s="86" t="s">
        <v>40</v>
      </c>
      <c r="R460" s="86" t="s">
        <v>1452</v>
      </c>
      <c r="S460" s="87" t="s">
        <v>1171</v>
      </c>
      <c r="T460" s="87" t="s">
        <v>1437</v>
      </c>
      <c r="U460" s="88">
        <v>17500</v>
      </c>
      <c r="V460" s="88">
        <v>18900</v>
      </c>
      <c r="X460" s="88">
        <v>0</v>
      </c>
      <c r="Y460" s="88">
        <v>17500</v>
      </c>
      <c r="Z460" s="88">
        <v>18900</v>
      </c>
      <c r="AD460" s="84">
        <v>0</v>
      </c>
      <c r="AG460" s="84">
        <v>0</v>
      </c>
      <c r="AJ460" s="84">
        <v>0</v>
      </c>
      <c r="AR460" s="85">
        <v>43483</v>
      </c>
      <c r="AS460" s="84">
        <v>6001638365</v>
      </c>
      <c r="AT460" s="85">
        <v>43483</v>
      </c>
      <c r="AU460" s="84" t="s">
        <v>1621</v>
      </c>
      <c r="AV460" s="85">
        <v>43490</v>
      </c>
      <c r="AW460" s="123">
        <v>43496</v>
      </c>
      <c r="AX460" s="123">
        <v>43516</v>
      </c>
      <c r="AY460" s="132">
        <v>16800</v>
      </c>
      <c r="AZ460" s="132">
        <f>ROUNDDOWN(AY460+(AY460*MASTER!$A$2/100),0)</f>
        <v>18144</v>
      </c>
      <c r="BC460" s="88">
        <v>0</v>
      </c>
      <c r="BG460" s="88">
        <v>0</v>
      </c>
      <c r="BI460" s="84" t="s">
        <v>276</v>
      </c>
      <c r="BJ460" s="88">
        <v>11375</v>
      </c>
      <c r="BK460" s="88">
        <v>12285</v>
      </c>
      <c r="BL460" s="84" t="s">
        <v>1559</v>
      </c>
      <c r="BS460" s="88">
        <v>0</v>
      </c>
      <c r="BV460" s="89">
        <v>0</v>
      </c>
      <c r="BW460" s="89">
        <v>12285</v>
      </c>
      <c r="BX460" s="89">
        <v>43473</v>
      </c>
      <c r="BY460" s="89">
        <v>-12285</v>
      </c>
      <c r="BZ460" s="112" t="s">
        <v>338</v>
      </c>
    </row>
    <row r="461" spans="1:89" x14ac:dyDescent="0.15">
      <c r="A461" s="84">
        <v>1</v>
      </c>
      <c r="B461" s="85">
        <v>43486</v>
      </c>
      <c r="C461" s="85">
        <v>43490</v>
      </c>
      <c r="F461" s="85" t="s">
        <v>338</v>
      </c>
      <c r="H461" s="85" t="s">
        <v>338</v>
      </c>
      <c r="J461" s="84">
        <v>3</v>
      </c>
      <c r="L461" s="84">
        <v>0</v>
      </c>
      <c r="M461" s="85">
        <v>43473</v>
      </c>
      <c r="N461" s="85" t="s">
        <v>265</v>
      </c>
      <c r="O461" s="86" t="s">
        <v>340</v>
      </c>
      <c r="P461" s="84" t="s">
        <v>26</v>
      </c>
      <c r="Q461" s="86" t="s">
        <v>40</v>
      </c>
      <c r="R461" s="86" t="s">
        <v>1453</v>
      </c>
      <c r="S461" s="87" t="s">
        <v>1454</v>
      </c>
      <c r="T461" s="87" t="s">
        <v>1437</v>
      </c>
      <c r="U461" s="88">
        <v>17500</v>
      </c>
      <c r="V461" s="88">
        <v>18900</v>
      </c>
      <c r="X461" s="88">
        <v>0</v>
      </c>
      <c r="Y461" s="88">
        <v>17500</v>
      </c>
      <c r="Z461" s="88">
        <v>18900</v>
      </c>
      <c r="AD461" s="84">
        <v>0</v>
      </c>
      <c r="AG461" s="84">
        <v>0</v>
      </c>
      <c r="AJ461" s="84">
        <v>0</v>
      </c>
      <c r="AR461" s="85">
        <v>43483</v>
      </c>
      <c r="AS461" s="84">
        <v>6001638365</v>
      </c>
      <c r="AT461" s="85">
        <v>43483</v>
      </c>
      <c r="AU461" s="84" t="s">
        <v>1621</v>
      </c>
      <c r="AV461" s="85">
        <v>43490</v>
      </c>
      <c r="AW461" s="123">
        <v>43496</v>
      </c>
      <c r="AX461" s="123">
        <v>43516</v>
      </c>
      <c r="AY461" s="132">
        <v>16800</v>
      </c>
      <c r="AZ461" s="132">
        <f>ROUNDDOWN(AY461+(AY461*MASTER!$A$2/100),0)</f>
        <v>18144</v>
      </c>
      <c r="BC461" s="88">
        <v>0</v>
      </c>
      <c r="BG461" s="88">
        <v>0</v>
      </c>
      <c r="BI461" s="84" t="s">
        <v>276</v>
      </c>
      <c r="BJ461" s="88">
        <v>11375</v>
      </c>
      <c r="BK461" s="88">
        <v>12285</v>
      </c>
      <c r="BL461" s="84" t="s">
        <v>1559</v>
      </c>
      <c r="BS461" s="88">
        <v>0</v>
      </c>
      <c r="BV461" s="89">
        <v>0</v>
      </c>
      <c r="BW461" s="89">
        <v>12285</v>
      </c>
      <c r="BX461" s="89">
        <v>43473</v>
      </c>
      <c r="BY461" s="89">
        <v>-12285</v>
      </c>
      <c r="BZ461" s="112" t="s">
        <v>338</v>
      </c>
    </row>
    <row r="462" spans="1:89" x14ac:dyDescent="0.15">
      <c r="A462" s="84">
        <v>1</v>
      </c>
      <c r="B462" s="85">
        <v>43486</v>
      </c>
      <c r="C462" s="85">
        <v>43490</v>
      </c>
      <c r="F462" s="85" t="s">
        <v>338</v>
      </c>
      <c r="H462" s="85" t="s">
        <v>338</v>
      </c>
      <c r="J462" s="84">
        <v>3</v>
      </c>
      <c r="L462" s="84">
        <v>0</v>
      </c>
      <c r="M462" s="85">
        <v>43473</v>
      </c>
      <c r="N462" s="85" t="s">
        <v>265</v>
      </c>
      <c r="O462" s="86" t="s">
        <v>340</v>
      </c>
      <c r="P462" s="84" t="s">
        <v>26</v>
      </c>
      <c r="Q462" s="86" t="s">
        <v>40</v>
      </c>
      <c r="R462" s="86" t="s">
        <v>1455</v>
      </c>
      <c r="S462" s="87" t="s">
        <v>1622</v>
      </c>
      <c r="T462" s="87" t="s">
        <v>1437</v>
      </c>
      <c r="U462" s="88">
        <v>17500</v>
      </c>
      <c r="V462" s="88">
        <v>18900</v>
      </c>
      <c r="X462" s="88">
        <v>0</v>
      </c>
      <c r="Y462" s="88">
        <v>17500</v>
      </c>
      <c r="Z462" s="88">
        <v>18900</v>
      </c>
      <c r="AD462" s="84">
        <v>0</v>
      </c>
      <c r="AG462" s="84">
        <v>0</v>
      </c>
      <c r="AJ462" s="84">
        <v>0</v>
      </c>
      <c r="AR462" s="85">
        <v>43483</v>
      </c>
      <c r="AS462" s="84">
        <v>6001638365</v>
      </c>
      <c r="AT462" s="85">
        <v>43483</v>
      </c>
      <c r="AU462" s="84" t="s">
        <v>1621</v>
      </c>
      <c r="AV462" s="85">
        <v>43490</v>
      </c>
      <c r="AW462" s="123">
        <v>43496</v>
      </c>
      <c r="AX462" s="123">
        <v>43516</v>
      </c>
      <c r="AY462" s="132">
        <v>16800</v>
      </c>
      <c r="AZ462" s="132">
        <f>ROUNDDOWN(AY462+(AY462*MASTER!$A$2/100),0)</f>
        <v>18144</v>
      </c>
      <c r="BC462" s="88">
        <v>0</v>
      </c>
      <c r="BG462" s="88">
        <v>0</v>
      </c>
      <c r="BI462" s="84" t="s">
        <v>276</v>
      </c>
      <c r="BJ462" s="88">
        <v>11375</v>
      </c>
      <c r="BK462" s="88">
        <v>12285</v>
      </c>
      <c r="BL462" s="84" t="s">
        <v>1559</v>
      </c>
      <c r="BS462" s="88">
        <v>0</v>
      </c>
      <c r="BV462" s="89">
        <v>0</v>
      </c>
      <c r="BW462" s="89">
        <v>12285</v>
      </c>
      <c r="BX462" s="89">
        <v>43473</v>
      </c>
      <c r="BY462" s="89">
        <v>-12285</v>
      </c>
      <c r="BZ462" s="112" t="s">
        <v>338</v>
      </c>
    </row>
    <row r="463" spans="1:89" x14ac:dyDescent="0.15">
      <c r="A463" s="84">
        <v>1</v>
      </c>
      <c r="B463" s="85">
        <v>43476</v>
      </c>
      <c r="C463" s="85">
        <v>43486</v>
      </c>
      <c r="F463" s="85" t="s">
        <v>338</v>
      </c>
      <c r="H463" s="85" t="s">
        <v>338</v>
      </c>
      <c r="J463" s="84">
        <v>2</v>
      </c>
      <c r="L463" s="84">
        <v>0</v>
      </c>
      <c r="M463" s="85">
        <v>43473</v>
      </c>
      <c r="N463" s="85" t="s">
        <v>265</v>
      </c>
      <c r="O463" s="86" t="s">
        <v>340</v>
      </c>
      <c r="P463" s="84" t="s">
        <v>269</v>
      </c>
      <c r="Q463" s="86" t="s">
        <v>40</v>
      </c>
      <c r="R463" s="86" t="s">
        <v>1456</v>
      </c>
      <c r="S463" s="87" t="s">
        <v>377</v>
      </c>
      <c r="T463" s="87" t="s">
        <v>1457</v>
      </c>
      <c r="U463" s="88">
        <v>66000</v>
      </c>
      <c r="V463" s="88">
        <v>71280</v>
      </c>
      <c r="W463" s="88">
        <v>66000</v>
      </c>
      <c r="X463" s="88">
        <v>71280</v>
      </c>
      <c r="Z463" s="88">
        <v>0</v>
      </c>
      <c r="AD463" s="84">
        <v>0</v>
      </c>
      <c r="AG463" s="84">
        <v>0</v>
      </c>
      <c r="AJ463" s="84">
        <v>0</v>
      </c>
      <c r="AR463" s="85">
        <v>43475</v>
      </c>
      <c r="AS463" s="84">
        <v>6001635899</v>
      </c>
      <c r="AT463" s="85">
        <v>43475</v>
      </c>
      <c r="AU463" s="84" t="s">
        <v>1508</v>
      </c>
      <c r="AV463" s="85">
        <v>43486</v>
      </c>
      <c r="AW463" s="123">
        <v>43496</v>
      </c>
      <c r="AX463" s="123">
        <v>43516</v>
      </c>
      <c r="AY463" s="132">
        <v>63360</v>
      </c>
      <c r="AZ463" s="132">
        <f>ROUNDDOWN(AY463+(AY463*MASTER!$A$2/100),0)</f>
        <v>68428</v>
      </c>
      <c r="BC463" s="88">
        <v>0</v>
      </c>
      <c r="BG463" s="88">
        <v>0</v>
      </c>
      <c r="BK463" s="88">
        <v>0</v>
      </c>
      <c r="BS463" s="88">
        <v>0</v>
      </c>
      <c r="BV463" s="89">
        <v>71280</v>
      </c>
      <c r="BW463" s="89">
        <v>0</v>
      </c>
      <c r="BX463" s="89">
        <v>43473</v>
      </c>
      <c r="BY463" s="89">
        <v>71280</v>
      </c>
      <c r="BZ463" s="112">
        <v>100</v>
      </c>
      <c r="CK463" s="88">
        <v>0</v>
      </c>
    </row>
    <row r="464" spans="1:89" x14ac:dyDescent="0.15">
      <c r="A464" s="84">
        <v>1</v>
      </c>
      <c r="B464" s="85">
        <v>43536</v>
      </c>
      <c r="C464" s="85">
        <v>43539</v>
      </c>
      <c r="F464" s="85" t="s">
        <v>338</v>
      </c>
      <c r="H464" s="85" t="s">
        <v>338</v>
      </c>
      <c r="J464" s="84">
        <v>2</v>
      </c>
      <c r="K464" s="85">
        <v>43523</v>
      </c>
      <c r="L464" s="84" t="s">
        <v>818</v>
      </c>
      <c r="M464" s="85">
        <v>43473</v>
      </c>
      <c r="N464" s="85" t="s">
        <v>265</v>
      </c>
      <c r="O464" s="86" t="s">
        <v>340</v>
      </c>
      <c r="P464" s="84" t="s">
        <v>26</v>
      </c>
      <c r="Q464" s="86" t="s">
        <v>40</v>
      </c>
      <c r="R464" s="86" t="s">
        <v>1458</v>
      </c>
      <c r="S464" s="87" t="s">
        <v>351</v>
      </c>
      <c r="T464" s="87" t="s">
        <v>379</v>
      </c>
      <c r="U464" s="88">
        <v>50000</v>
      </c>
      <c r="V464" s="88">
        <v>54000</v>
      </c>
      <c r="W464" s="88">
        <v>50000</v>
      </c>
      <c r="X464" s="88">
        <v>54000</v>
      </c>
      <c r="Z464" s="88">
        <v>0</v>
      </c>
      <c r="AA464" s="85" t="s">
        <v>1138</v>
      </c>
      <c r="AD464" s="84">
        <v>0</v>
      </c>
      <c r="AG464" s="84">
        <v>0</v>
      </c>
      <c r="AJ464" s="84">
        <v>0</v>
      </c>
      <c r="AR464" s="85">
        <v>43532</v>
      </c>
      <c r="AS464" s="84">
        <v>6001655449</v>
      </c>
      <c r="AT464" s="85">
        <v>43535</v>
      </c>
      <c r="AU464" s="84" t="s">
        <v>1623</v>
      </c>
      <c r="AV464" s="85">
        <v>43539</v>
      </c>
      <c r="AW464" s="123">
        <v>43555</v>
      </c>
      <c r="AX464" s="123">
        <v>43575</v>
      </c>
      <c r="AY464" s="132">
        <v>48000</v>
      </c>
      <c r="AZ464" s="132">
        <f>ROUNDDOWN(AY464+(AY464*MASTER!$A$2/100),0)</f>
        <v>51840</v>
      </c>
      <c r="BC464" s="88">
        <v>0</v>
      </c>
      <c r="BG464" s="88">
        <v>0</v>
      </c>
      <c r="BK464" s="88">
        <v>0</v>
      </c>
      <c r="BS464" s="88">
        <v>0</v>
      </c>
      <c r="BV464" s="89">
        <v>54000</v>
      </c>
      <c r="BW464" s="89">
        <v>0</v>
      </c>
      <c r="BX464" s="89">
        <v>0</v>
      </c>
      <c r="BY464" s="89">
        <v>43523</v>
      </c>
      <c r="BZ464" s="112">
        <v>100</v>
      </c>
      <c r="CD464" s="87" t="s">
        <v>1624</v>
      </c>
    </row>
    <row r="465" spans="1:89" x14ac:dyDescent="0.15">
      <c r="A465" s="84">
        <v>2</v>
      </c>
      <c r="B465" s="85">
        <v>43496</v>
      </c>
      <c r="C465" s="85">
        <v>43503</v>
      </c>
      <c r="F465" s="85">
        <v>43510</v>
      </c>
      <c r="G465" s="85">
        <v>43504</v>
      </c>
      <c r="H465" s="85">
        <v>43506</v>
      </c>
      <c r="I465" s="84" t="s">
        <v>1191</v>
      </c>
      <c r="J465" s="84">
        <v>1</v>
      </c>
      <c r="L465" s="84">
        <v>0</v>
      </c>
      <c r="M465" s="85">
        <v>43474</v>
      </c>
      <c r="N465" s="85" t="s">
        <v>265</v>
      </c>
      <c r="O465" s="86" t="s">
        <v>340</v>
      </c>
      <c r="P465" s="84" t="s">
        <v>26</v>
      </c>
      <c r="Q465" s="86" t="s">
        <v>40</v>
      </c>
      <c r="R465" s="86" t="s">
        <v>1625</v>
      </c>
      <c r="S465" s="87" t="s">
        <v>1626</v>
      </c>
      <c r="T465" s="87" t="s">
        <v>1627</v>
      </c>
      <c r="U465" s="88">
        <v>23900</v>
      </c>
      <c r="V465" s="88">
        <v>25812</v>
      </c>
      <c r="W465" s="88">
        <v>14700</v>
      </c>
      <c r="X465" s="88">
        <v>15876</v>
      </c>
      <c r="Y465" s="88">
        <v>9200</v>
      </c>
      <c r="Z465" s="88">
        <v>9936</v>
      </c>
      <c r="AA465" s="85">
        <v>43501</v>
      </c>
      <c r="AB465" s="85">
        <v>43503</v>
      </c>
      <c r="AC465" s="85">
        <v>43503</v>
      </c>
      <c r="AD465" s="84">
        <v>0</v>
      </c>
      <c r="AG465" s="84">
        <v>0</v>
      </c>
      <c r="AJ465" s="84">
        <v>0</v>
      </c>
      <c r="AM465" s="84" t="s">
        <v>290</v>
      </c>
      <c r="AN465" s="84" t="s">
        <v>1628</v>
      </c>
      <c r="AR465" s="85">
        <v>43486</v>
      </c>
      <c r="AS465" s="84">
        <v>6001638833</v>
      </c>
      <c r="AT465" s="85">
        <v>43486</v>
      </c>
      <c r="AU465" s="84" t="s">
        <v>1611</v>
      </c>
      <c r="AV465" s="85">
        <v>43503</v>
      </c>
      <c r="AW465" s="123">
        <v>43524</v>
      </c>
      <c r="AX465" s="123">
        <v>43544</v>
      </c>
      <c r="AY465" s="132">
        <v>22944</v>
      </c>
      <c r="AZ465" s="132">
        <f>ROUNDDOWN(AY465+(AY465*MASTER!$A$2/100),0)</f>
        <v>24779</v>
      </c>
      <c r="BA465" s="84" t="s">
        <v>778</v>
      </c>
      <c r="BC465" s="88">
        <v>0</v>
      </c>
      <c r="BG465" s="88">
        <v>0</v>
      </c>
      <c r="BI465" s="84" t="s">
        <v>276</v>
      </c>
      <c r="BJ465" s="88">
        <v>5980</v>
      </c>
      <c r="BK465" s="88">
        <v>6458.4</v>
      </c>
      <c r="BL465" s="84" t="s">
        <v>1559</v>
      </c>
      <c r="BS465" s="88">
        <v>0</v>
      </c>
      <c r="BV465" s="89">
        <v>15876</v>
      </c>
      <c r="BW465" s="89">
        <v>6458.4</v>
      </c>
      <c r="BX465" s="89">
        <v>43474</v>
      </c>
      <c r="BY465" s="89">
        <v>9417.6</v>
      </c>
      <c r="BZ465" s="112">
        <v>59.319727891156461</v>
      </c>
      <c r="CK465" s="88">
        <v>0</v>
      </c>
    </row>
    <row r="466" spans="1:89" x14ac:dyDescent="0.15">
      <c r="A466" s="84">
        <v>1</v>
      </c>
      <c r="C466" s="85">
        <v>43486</v>
      </c>
      <c r="F466" s="85" t="s">
        <v>338</v>
      </c>
      <c r="H466" s="85" t="s">
        <v>338</v>
      </c>
      <c r="J466" s="84">
        <v>2</v>
      </c>
      <c r="L466" s="84">
        <v>0</v>
      </c>
      <c r="M466" s="85">
        <v>43475</v>
      </c>
      <c r="N466" s="85" t="s">
        <v>264</v>
      </c>
      <c r="O466" s="86" t="s">
        <v>340</v>
      </c>
      <c r="P466" s="84" t="s">
        <v>272</v>
      </c>
      <c r="Q466" s="86" t="s">
        <v>40</v>
      </c>
      <c r="R466" s="86" t="s">
        <v>1525</v>
      </c>
      <c r="S466" s="87" t="s">
        <v>387</v>
      </c>
      <c r="T466" s="87" t="s">
        <v>1526</v>
      </c>
      <c r="U466" s="88">
        <v>720000</v>
      </c>
      <c r="V466" s="88">
        <v>777600</v>
      </c>
      <c r="W466" s="88">
        <v>720000</v>
      </c>
      <c r="X466" s="88">
        <v>777600</v>
      </c>
      <c r="Z466" s="88">
        <v>0</v>
      </c>
      <c r="AD466" s="84">
        <v>0</v>
      </c>
      <c r="AG466" s="84">
        <v>0</v>
      </c>
      <c r="AJ466" s="84">
        <v>0</v>
      </c>
      <c r="AR466" s="85">
        <v>43476</v>
      </c>
      <c r="AS466" s="84">
        <v>6001636655</v>
      </c>
      <c r="AT466" s="85">
        <v>43481</v>
      </c>
      <c r="AU466" s="84" t="s">
        <v>1629</v>
      </c>
      <c r="AV466" s="85">
        <v>43486</v>
      </c>
      <c r="AW466" s="123">
        <v>43496</v>
      </c>
      <c r="AX466" s="123">
        <v>43516</v>
      </c>
      <c r="AY466" s="140">
        <v>720000</v>
      </c>
      <c r="AZ466" s="132">
        <f>ROUNDDOWN(AY466+(AY466*MASTER!$A$2/100),0)</f>
        <v>777600</v>
      </c>
      <c r="BC466" s="88">
        <v>0</v>
      </c>
      <c r="BG466" s="88">
        <v>0</v>
      </c>
      <c r="BK466" s="88">
        <v>0</v>
      </c>
      <c r="BS466" s="88">
        <v>0</v>
      </c>
      <c r="BV466" s="89">
        <v>777600</v>
      </c>
      <c r="BW466" s="89">
        <v>0</v>
      </c>
      <c r="BX466" s="89">
        <v>43475</v>
      </c>
      <c r="BY466" s="89">
        <v>777600</v>
      </c>
      <c r="BZ466" s="112">
        <v>100</v>
      </c>
    </row>
    <row r="467" spans="1:89" x14ac:dyDescent="0.15">
      <c r="A467" s="84">
        <v>1</v>
      </c>
      <c r="B467" s="85">
        <v>43482</v>
      </c>
      <c r="C467" s="85">
        <v>43482</v>
      </c>
      <c r="F467" s="85" t="s">
        <v>338</v>
      </c>
      <c r="H467" s="85" t="s">
        <v>338</v>
      </c>
      <c r="J467" s="84">
        <v>2</v>
      </c>
      <c r="L467" s="84">
        <v>0</v>
      </c>
      <c r="M467" s="85">
        <v>43475</v>
      </c>
      <c r="N467" s="85" t="s">
        <v>265</v>
      </c>
      <c r="O467" s="86" t="s">
        <v>340</v>
      </c>
      <c r="P467" s="84" t="s">
        <v>78</v>
      </c>
      <c r="Q467" s="86" t="s">
        <v>40</v>
      </c>
      <c r="R467" s="86" t="s">
        <v>1498</v>
      </c>
      <c r="S467" s="87" t="s">
        <v>407</v>
      </c>
      <c r="T467" s="87" t="s">
        <v>408</v>
      </c>
      <c r="U467" s="88">
        <v>8300</v>
      </c>
      <c r="V467" s="88">
        <v>8964</v>
      </c>
      <c r="W467" s="88">
        <v>8300</v>
      </c>
      <c r="X467" s="88">
        <v>8964</v>
      </c>
      <c r="Y467" s="88">
        <v>0</v>
      </c>
      <c r="Z467" s="88">
        <v>0</v>
      </c>
      <c r="AD467" s="84">
        <v>0</v>
      </c>
      <c r="AG467" s="84">
        <v>0</v>
      </c>
      <c r="AJ467" s="84">
        <v>0</v>
      </c>
      <c r="AR467" s="85">
        <v>43475</v>
      </c>
      <c r="AS467" s="84">
        <v>6001635856</v>
      </c>
      <c r="AT467" s="85">
        <v>43475</v>
      </c>
      <c r="AU467" s="84" t="s">
        <v>1509</v>
      </c>
      <c r="AV467" s="85">
        <v>43482</v>
      </c>
      <c r="AW467" s="123">
        <v>43496</v>
      </c>
      <c r="AX467" s="123">
        <v>43516</v>
      </c>
      <c r="AY467" s="132">
        <v>7968</v>
      </c>
      <c r="AZ467" s="132">
        <f>ROUNDDOWN(AY467+(AY467*MASTER!$A$2/100),0)</f>
        <v>8605</v>
      </c>
      <c r="BC467" s="88">
        <v>0</v>
      </c>
      <c r="BG467" s="88">
        <v>0</v>
      </c>
      <c r="BK467" s="88">
        <v>0</v>
      </c>
      <c r="BS467" s="88">
        <v>0</v>
      </c>
      <c r="BV467" s="89">
        <v>8964</v>
      </c>
      <c r="BW467" s="89">
        <v>0</v>
      </c>
      <c r="BX467" s="89">
        <v>43475</v>
      </c>
      <c r="BY467" s="89">
        <v>8964</v>
      </c>
      <c r="BZ467" s="112">
        <v>100</v>
      </c>
      <c r="CK467" s="88">
        <v>0</v>
      </c>
    </row>
    <row r="468" spans="1:89" x14ac:dyDescent="0.15">
      <c r="A468" s="84">
        <v>2</v>
      </c>
      <c r="B468" s="85">
        <v>43488</v>
      </c>
      <c r="C468" s="85">
        <v>43490</v>
      </c>
      <c r="D468" s="85">
        <v>43524</v>
      </c>
      <c r="F468" s="85">
        <v>43497</v>
      </c>
      <c r="G468" s="85">
        <v>43493</v>
      </c>
      <c r="H468" s="85">
        <v>43493</v>
      </c>
      <c r="I468" s="84" t="s">
        <v>1191</v>
      </c>
      <c r="J468" s="84">
        <v>1</v>
      </c>
      <c r="L468" s="84">
        <v>0</v>
      </c>
      <c r="M468" s="85">
        <v>43475</v>
      </c>
      <c r="N468" s="85" t="s">
        <v>265</v>
      </c>
      <c r="O468" s="86" t="s">
        <v>340</v>
      </c>
      <c r="P468" s="84" t="s">
        <v>26</v>
      </c>
      <c r="Q468" s="86" t="s">
        <v>40</v>
      </c>
      <c r="R468" s="86" t="s">
        <v>1505</v>
      </c>
      <c r="S468" s="87" t="s">
        <v>571</v>
      </c>
      <c r="T468" s="87" t="s">
        <v>669</v>
      </c>
      <c r="U468" s="88">
        <v>180800</v>
      </c>
      <c r="V468" s="88">
        <v>195264</v>
      </c>
      <c r="W468" s="88">
        <v>92300</v>
      </c>
      <c r="X468" s="88">
        <v>99684</v>
      </c>
      <c r="Y468" s="88">
        <v>88500</v>
      </c>
      <c r="Z468" s="88">
        <v>95580</v>
      </c>
      <c r="AA468" s="85">
        <v>43489</v>
      </c>
      <c r="AB468" s="85">
        <v>43490</v>
      </c>
      <c r="AC468" s="85">
        <v>43490</v>
      </c>
      <c r="AD468" s="84">
        <v>0</v>
      </c>
      <c r="AG468" s="84">
        <v>0</v>
      </c>
      <c r="AJ468" s="84">
        <v>0</v>
      </c>
      <c r="AM468" s="84" t="s">
        <v>290</v>
      </c>
      <c r="AN468" s="84" t="s">
        <v>1506</v>
      </c>
      <c r="AR468" s="85">
        <v>43487</v>
      </c>
      <c r="AS468" s="84">
        <v>6001639675</v>
      </c>
      <c r="AT468" s="85">
        <v>43487</v>
      </c>
      <c r="AU468" s="84" t="s">
        <v>1594</v>
      </c>
      <c r="AV468" s="85">
        <v>43490</v>
      </c>
      <c r="AW468" s="123">
        <v>43496</v>
      </c>
      <c r="AX468" s="123">
        <v>43516</v>
      </c>
      <c r="AY468" s="132">
        <v>173568</v>
      </c>
      <c r="AZ468" s="132">
        <f>ROUNDDOWN(AY468+(AY468*MASTER!$A$2/100),0)</f>
        <v>187453</v>
      </c>
      <c r="BA468" s="84" t="s">
        <v>287</v>
      </c>
      <c r="BB468" s="88">
        <v>23000</v>
      </c>
      <c r="BC468" s="88">
        <v>24840</v>
      </c>
      <c r="BD468" s="84" t="s">
        <v>1233</v>
      </c>
      <c r="BG468" s="88">
        <v>0</v>
      </c>
      <c r="BI468" s="84" t="s">
        <v>434</v>
      </c>
      <c r="BJ468" s="88">
        <v>57525</v>
      </c>
      <c r="BK468" s="88">
        <v>62127</v>
      </c>
      <c r="BL468" s="84" t="s">
        <v>1233</v>
      </c>
      <c r="BS468" s="88">
        <v>0</v>
      </c>
      <c r="BV468" s="89">
        <v>99684</v>
      </c>
      <c r="BW468" s="89">
        <v>86967</v>
      </c>
      <c r="BX468" s="89">
        <v>43475</v>
      </c>
      <c r="BY468" s="89">
        <v>12717</v>
      </c>
      <c r="BZ468" s="112">
        <v>12.757313109425786</v>
      </c>
      <c r="CK468" s="88">
        <v>6300</v>
      </c>
    </row>
    <row r="469" spans="1:89" x14ac:dyDescent="0.15">
      <c r="A469" s="84">
        <v>1</v>
      </c>
      <c r="B469" s="85">
        <v>43482</v>
      </c>
      <c r="C469" s="85">
        <v>43488</v>
      </c>
      <c r="F469" s="85" t="s">
        <v>338</v>
      </c>
      <c r="H469" s="85" t="s">
        <v>338</v>
      </c>
      <c r="J469" s="84">
        <v>2</v>
      </c>
      <c r="L469" s="84">
        <v>0</v>
      </c>
      <c r="M469" s="85">
        <v>43476</v>
      </c>
      <c r="N469" s="85" t="s">
        <v>265</v>
      </c>
      <c r="O469" s="86" t="s">
        <v>340</v>
      </c>
      <c r="P469" s="84" t="s">
        <v>78</v>
      </c>
      <c r="Q469" s="86" t="s">
        <v>40</v>
      </c>
      <c r="R469" s="86" t="s">
        <v>1512</v>
      </c>
      <c r="S469" s="87" t="s">
        <v>407</v>
      </c>
      <c r="T469" s="87" t="s">
        <v>408</v>
      </c>
      <c r="U469" s="88">
        <v>8300</v>
      </c>
      <c r="V469" s="88">
        <v>8964</v>
      </c>
      <c r="W469" s="88">
        <v>8300</v>
      </c>
      <c r="X469" s="88">
        <v>8964</v>
      </c>
      <c r="Z469" s="88">
        <v>0</v>
      </c>
      <c r="AD469" s="84">
        <v>0</v>
      </c>
      <c r="AG469" s="84">
        <v>0</v>
      </c>
      <c r="AJ469" s="84">
        <v>0</v>
      </c>
      <c r="AR469" s="85">
        <v>43476</v>
      </c>
      <c r="AS469" s="84">
        <v>6001636491</v>
      </c>
      <c r="AT469" s="85">
        <v>43476</v>
      </c>
      <c r="AU469" s="84" t="s">
        <v>1524</v>
      </c>
      <c r="AV469" s="85">
        <v>43488</v>
      </c>
      <c r="AW469" s="123">
        <v>43496</v>
      </c>
      <c r="AX469" s="123">
        <v>43516</v>
      </c>
      <c r="AY469" s="132">
        <v>7968</v>
      </c>
      <c r="AZ469" s="132">
        <f>ROUNDDOWN(AY469+(AY469*MASTER!$A$2/100),0)</f>
        <v>8605</v>
      </c>
      <c r="BC469" s="88">
        <v>0</v>
      </c>
      <c r="BG469" s="88">
        <v>0</v>
      </c>
      <c r="BK469" s="88">
        <v>0</v>
      </c>
      <c r="BS469" s="88">
        <v>0</v>
      </c>
      <c r="BV469" s="89">
        <v>8964</v>
      </c>
      <c r="BW469" s="89">
        <v>0</v>
      </c>
      <c r="BX469" s="89">
        <v>43476</v>
      </c>
      <c r="BY469" s="89">
        <v>8964</v>
      </c>
      <c r="BZ469" s="112">
        <v>100</v>
      </c>
      <c r="CK469" s="88">
        <v>0</v>
      </c>
    </row>
    <row r="470" spans="1:89" x14ac:dyDescent="0.15">
      <c r="A470" s="84">
        <v>2</v>
      </c>
      <c r="B470" s="85">
        <v>43483</v>
      </c>
      <c r="C470" s="85">
        <v>43488</v>
      </c>
      <c r="D470" s="85">
        <v>43497</v>
      </c>
      <c r="F470" s="85">
        <v>43495</v>
      </c>
      <c r="G470" s="85">
        <v>43488</v>
      </c>
      <c r="H470" s="85">
        <v>43491</v>
      </c>
      <c r="I470" s="84" t="s">
        <v>401</v>
      </c>
      <c r="J470" s="84">
        <v>2</v>
      </c>
      <c r="L470" s="84">
        <v>0</v>
      </c>
      <c r="M470" s="85">
        <v>43476</v>
      </c>
      <c r="N470" s="85" t="s">
        <v>265</v>
      </c>
      <c r="O470" s="86" t="s">
        <v>340</v>
      </c>
      <c r="P470" s="84" t="s">
        <v>26</v>
      </c>
      <c r="Q470" s="86" t="s">
        <v>40</v>
      </c>
      <c r="R470" s="86" t="s">
        <v>1630</v>
      </c>
      <c r="S470" s="87" t="s">
        <v>454</v>
      </c>
      <c r="T470" s="87" t="s">
        <v>1631</v>
      </c>
      <c r="U470" s="88">
        <v>73800</v>
      </c>
      <c r="V470" s="88">
        <v>79704</v>
      </c>
      <c r="W470" s="88">
        <v>73800</v>
      </c>
      <c r="X470" s="88">
        <v>79704</v>
      </c>
      <c r="Z470" s="88">
        <v>0</v>
      </c>
      <c r="AA470" s="85">
        <v>43486</v>
      </c>
      <c r="AB470" s="85">
        <v>43488</v>
      </c>
      <c r="AC470" s="85">
        <v>43488</v>
      </c>
      <c r="AD470" s="84">
        <v>0</v>
      </c>
      <c r="AG470" s="84">
        <v>0</v>
      </c>
      <c r="AJ470" s="84">
        <v>0</v>
      </c>
      <c r="AM470" s="84" t="s">
        <v>290</v>
      </c>
      <c r="AN470" s="84" t="s">
        <v>1632</v>
      </c>
      <c r="AR470" s="85">
        <v>43482</v>
      </c>
      <c r="AS470" s="84">
        <v>6001638017</v>
      </c>
      <c r="AT470" s="85">
        <v>43482</v>
      </c>
      <c r="AU470" s="84" t="s">
        <v>1553</v>
      </c>
      <c r="AV470" s="85">
        <v>43488</v>
      </c>
      <c r="AW470" s="123">
        <v>43496</v>
      </c>
      <c r="AX470" s="123">
        <v>43516</v>
      </c>
      <c r="AY470" s="132">
        <v>70848</v>
      </c>
      <c r="AZ470" s="132">
        <f>ROUNDDOWN(AY470+(AY470*MASTER!$A$2/100),0)</f>
        <v>76515</v>
      </c>
      <c r="BA470" s="84" t="s">
        <v>666</v>
      </c>
      <c r="BB470" s="88">
        <v>48000</v>
      </c>
      <c r="BC470" s="88">
        <v>51840</v>
      </c>
      <c r="BD470" s="84" t="s">
        <v>1233</v>
      </c>
      <c r="BG470" s="88">
        <v>0</v>
      </c>
      <c r="BK470" s="88">
        <v>0</v>
      </c>
      <c r="BS470" s="88">
        <v>0</v>
      </c>
      <c r="BV470" s="89">
        <v>79704</v>
      </c>
      <c r="BW470" s="89">
        <v>51840</v>
      </c>
      <c r="BX470" s="89">
        <v>43476</v>
      </c>
      <c r="BY470" s="89">
        <v>27864</v>
      </c>
      <c r="BZ470" s="112">
        <v>34.959349593495936</v>
      </c>
      <c r="CK470" s="88">
        <v>6300</v>
      </c>
    </row>
    <row r="471" spans="1:89" x14ac:dyDescent="0.15">
      <c r="A471" s="84">
        <v>1</v>
      </c>
      <c r="C471" s="85">
        <v>43493</v>
      </c>
      <c r="F471" s="85" t="s">
        <v>338</v>
      </c>
      <c r="H471" s="85" t="s">
        <v>338</v>
      </c>
      <c r="J471" s="84">
        <v>2</v>
      </c>
      <c r="L471" s="84">
        <v>0</v>
      </c>
      <c r="M471" s="85">
        <v>43476</v>
      </c>
      <c r="N471" s="85" t="s">
        <v>264</v>
      </c>
      <c r="O471" s="86" t="s">
        <v>340</v>
      </c>
      <c r="P471" s="84" t="s">
        <v>272</v>
      </c>
      <c r="Q471" s="86" t="s">
        <v>40</v>
      </c>
      <c r="R471" s="86" t="s">
        <v>1527</v>
      </c>
      <c r="S471" s="87" t="s">
        <v>387</v>
      </c>
      <c r="T471" s="87" t="s">
        <v>1528</v>
      </c>
      <c r="U471" s="88">
        <v>140000</v>
      </c>
      <c r="V471" s="88">
        <v>151200</v>
      </c>
      <c r="W471" s="88">
        <v>140000</v>
      </c>
      <c r="X471" s="88">
        <v>151200</v>
      </c>
      <c r="Z471" s="88">
        <v>0</v>
      </c>
      <c r="AD471" s="84">
        <v>0</v>
      </c>
      <c r="AG471" s="84">
        <v>0</v>
      </c>
      <c r="AJ471" s="84">
        <v>0</v>
      </c>
      <c r="AR471" s="85">
        <v>43482</v>
      </c>
      <c r="AS471" s="84">
        <v>6001638016</v>
      </c>
      <c r="AT471" s="85">
        <v>43482</v>
      </c>
      <c r="AU471" s="84" t="s">
        <v>1633</v>
      </c>
      <c r="AV471" s="85">
        <v>43493</v>
      </c>
      <c r="AW471" s="123">
        <v>43496</v>
      </c>
      <c r="AX471" s="123">
        <v>43516</v>
      </c>
      <c r="AY471" s="140">
        <v>140000</v>
      </c>
      <c r="AZ471" s="132">
        <f>ROUNDDOWN(AY471+(AY471*MASTER!$A$2/100),0)</f>
        <v>151200</v>
      </c>
      <c r="BC471" s="88">
        <v>0</v>
      </c>
      <c r="BG471" s="88">
        <v>0</v>
      </c>
      <c r="BK471" s="88">
        <v>0</v>
      </c>
      <c r="BS471" s="88">
        <v>0</v>
      </c>
      <c r="BV471" s="89">
        <v>151200</v>
      </c>
      <c r="BW471" s="89">
        <v>0</v>
      </c>
      <c r="BX471" s="89">
        <v>43476</v>
      </c>
      <c r="BY471" s="89">
        <v>151200</v>
      </c>
      <c r="BZ471" s="112">
        <v>100</v>
      </c>
    </row>
    <row r="472" spans="1:89" x14ac:dyDescent="0.15">
      <c r="A472" s="84">
        <v>2</v>
      </c>
      <c r="C472" s="85" t="s">
        <v>338</v>
      </c>
      <c r="F472" s="85" t="s">
        <v>338</v>
      </c>
      <c r="H472" s="85" t="s">
        <v>338</v>
      </c>
      <c r="J472" s="84">
        <v>4</v>
      </c>
      <c r="L472" s="84">
        <v>0</v>
      </c>
      <c r="M472" s="85">
        <v>43478</v>
      </c>
      <c r="N472" s="85" t="s">
        <v>265</v>
      </c>
      <c r="O472" s="86" t="s">
        <v>340</v>
      </c>
      <c r="P472" s="84" t="s">
        <v>6</v>
      </c>
      <c r="Q472" s="86" t="s">
        <v>40</v>
      </c>
      <c r="R472" s="86" t="s">
        <v>1532</v>
      </c>
      <c r="S472" s="87" t="s">
        <v>419</v>
      </c>
      <c r="T472" s="87" t="s">
        <v>479</v>
      </c>
      <c r="U472" s="88">
        <v>0</v>
      </c>
      <c r="V472" s="88">
        <v>0</v>
      </c>
      <c r="W472" s="88">
        <v>0</v>
      </c>
      <c r="X472" s="88">
        <v>0</v>
      </c>
      <c r="Y472" s="88">
        <v>0</v>
      </c>
      <c r="Z472" s="88">
        <v>0</v>
      </c>
      <c r="AA472" s="85">
        <v>43462</v>
      </c>
      <c r="AB472" s="85">
        <v>43462</v>
      </c>
      <c r="AD472" s="84">
        <v>0</v>
      </c>
      <c r="AG472" s="84">
        <v>0</v>
      </c>
      <c r="AJ472" s="84">
        <v>0</v>
      </c>
      <c r="AN472" s="84" t="s">
        <v>338</v>
      </c>
      <c r="AY472" s="132">
        <v>0</v>
      </c>
      <c r="AZ472" s="132">
        <f>ROUNDDOWN(AY472+(AY472*MASTER!$A$2/100),0)</f>
        <v>0</v>
      </c>
      <c r="BA472" s="84" t="s">
        <v>543</v>
      </c>
      <c r="BB472" s="88">
        <v>23000</v>
      </c>
      <c r="BC472" s="88">
        <v>24840</v>
      </c>
      <c r="BD472" s="84" t="s">
        <v>1138</v>
      </c>
      <c r="BG472" s="88">
        <v>0</v>
      </c>
      <c r="BK472" s="88">
        <v>0</v>
      </c>
      <c r="BS472" s="88">
        <v>0</v>
      </c>
      <c r="BV472" s="89">
        <v>0</v>
      </c>
      <c r="BW472" s="89">
        <v>24840</v>
      </c>
      <c r="BX472" s="89">
        <v>43478</v>
      </c>
      <c r="BY472" s="89">
        <v>-24840</v>
      </c>
      <c r="BZ472" s="112" t="s">
        <v>338</v>
      </c>
    </row>
    <row r="473" spans="1:89" x14ac:dyDescent="0.15">
      <c r="A473" s="84">
        <v>2</v>
      </c>
      <c r="C473" s="85" t="s">
        <v>338</v>
      </c>
      <c r="F473" s="85" t="s">
        <v>338</v>
      </c>
      <c r="H473" s="85" t="s">
        <v>338</v>
      </c>
      <c r="J473" s="84">
        <v>4</v>
      </c>
      <c r="L473" s="84">
        <v>0</v>
      </c>
      <c r="M473" s="85">
        <v>43478</v>
      </c>
      <c r="N473" s="85" t="s">
        <v>265</v>
      </c>
      <c r="O473" s="86" t="s">
        <v>340</v>
      </c>
      <c r="P473" s="84" t="s">
        <v>6</v>
      </c>
      <c r="Q473" s="86" t="s">
        <v>40</v>
      </c>
      <c r="R473" s="86" t="s">
        <v>1533</v>
      </c>
      <c r="S473" s="87" t="s">
        <v>1329</v>
      </c>
      <c r="T473" s="87" t="s">
        <v>479</v>
      </c>
      <c r="U473" s="88">
        <v>0</v>
      </c>
      <c r="V473" s="88">
        <v>0</v>
      </c>
      <c r="W473" s="88">
        <v>0</v>
      </c>
      <c r="X473" s="88">
        <v>0</v>
      </c>
      <c r="Y473" s="88">
        <v>0</v>
      </c>
      <c r="Z473" s="88">
        <v>0</v>
      </c>
      <c r="AA473" s="85">
        <v>43473</v>
      </c>
      <c r="AB473" s="85">
        <v>43473</v>
      </c>
      <c r="AD473" s="84">
        <v>0</v>
      </c>
      <c r="AG473" s="84">
        <v>0</v>
      </c>
      <c r="AJ473" s="84">
        <v>0</v>
      </c>
      <c r="AN473" s="84" t="s">
        <v>338</v>
      </c>
      <c r="AY473" s="132">
        <v>0</v>
      </c>
      <c r="AZ473" s="132">
        <f>ROUNDDOWN(AY473+(AY473*MASTER!$A$2/100),0)</f>
        <v>0</v>
      </c>
      <c r="BA473" s="84" t="s">
        <v>286</v>
      </c>
      <c r="BB473" s="88">
        <v>30000</v>
      </c>
      <c r="BC473" s="88">
        <v>32400</v>
      </c>
      <c r="BD473" s="84" t="s">
        <v>1138</v>
      </c>
      <c r="BG473" s="88">
        <v>0</v>
      </c>
      <c r="BK473" s="88">
        <v>0</v>
      </c>
      <c r="BS473" s="88">
        <v>0</v>
      </c>
      <c r="BV473" s="89">
        <v>0</v>
      </c>
      <c r="BW473" s="89">
        <v>32400</v>
      </c>
      <c r="BX473" s="89">
        <v>43478</v>
      </c>
      <c r="BY473" s="89">
        <v>-32400</v>
      </c>
      <c r="BZ473" s="112" t="s">
        <v>338</v>
      </c>
    </row>
    <row r="474" spans="1:89" x14ac:dyDescent="0.15">
      <c r="A474" s="84">
        <v>2</v>
      </c>
      <c r="C474" s="85" t="s">
        <v>338</v>
      </c>
      <c r="F474" s="85" t="s">
        <v>338</v>
      </c>
      <c r="H474" s="85" t="s">
        <v>338</v>
      </c>
      <c r="J474" s="84">
        <v>4</v>
      </c>
      <c r="L474" s="84">
        <v>0</v>
      </c>
      <c r="M474" s="85">
        <v>43478</v>
      </c>
      <c r="N474" s="85" t="s">
        <v>265</v>
      </c>
      <c r="O474" s="86" t="s">
        <v>340</v>
      </c>
      <c r="P474" s="84" t="s">
        <v>6</v>
      </c>
      <c r="Q474" s="86" t="s">
        <v>40</v>
      </c>
      <c r="R474" s="86" t="s">
        <v>1534</v>
      </c>
      <c r="S474" s="87" t="s">
        <v>646</v>
      </c>
      <c r="T474" s="87" t="s">
        <v>479</v>
      </c>
      <c r="U474" s="88">
        <v>0</v>
      </c>
      <c r="V474" s="88">
        <v>0</v>
      </c>
      <c r="W474" s="88">
        <v>0</v>
      </c>
      <c r="X474" s="88">
        <v>0</v>
      </c>
      <c r="Y474" s="88">
        <v>0</v>
      </c>
      <c r="Z474" s="88">
        <v>0</v>
      </c>
      <c r="AA474" s="85">
        <v>43474</v>
      </c>
      <c r="AB474" s="85">
        <v>43474</v>
      </c>
      <c r="AD474" s="84">
        <v>0</v>
      </c>
      <c r="AG474" s="84">
        <v>0</v>
      </c>
      <c r="AJ474" s="84">
        <v>0</v>
      </c>
      <c r="AN474" s="84" t="s">
        <v>338</v>
      </c>
      <c r="AY474" s="132">
        <v>0</v>
      </c>
      <c r="AZ474" s="132">
        <f>ROUNDDOWN(AY474+(AY474*MASTER!$A$2/100),0)</f>
        <v>0</v>
      </c>
      <c r="BA474" s="84" t="s">
        <v>543</v>
      </c>
      <c r="BB474" s="88">
        <v>30000</v>
      </c>
      <c r="BC474" s="88">
        <v>32400</v>
      </c>
      <c r="BD474" s="84" t="s">
        <v>1138</v>
      </c>
      <c r="BG474" s="88">
        <v>0</v>
      </c>
      <c r="BK474" s="88">
        <v>0</v>
      </c>
      <c r="BS474" s="88">
        <v>0</v>
      </c>
      <c r="BV474" s="89">
        <v>0</v>
      </c>
      <c r="BW474" s="89">
        <v>32400</v>
      </c>
      <c r="BX474" s="89">
        <v>43478</v>
      </c>
      <c r="BY474" s="89">
        <v>-32400</v>
      </c>
      <c r="BZ474" s="112" t="s">
        <v>338</v>
      </c>
    </row>
    <row r="475" spans="1:89" x14ac:dyDescent="0.15">
      <c r="A475" s="84">
        <v>2</v>
      </c>
      <c r="B475" s="85">
        <v>43483</v>
      </c>
      <c r="C475" s="85">
        <v>43486</v>
      </c>
      <c r="F475" s="85" t="s">
        <v>338</v>
      </c>
      <c r="H475" s="85" t="s">
        <v>338</v>
      </c>
      <c r="J475" s="84">
        <v>2</v>
      </c>
      <c r="L475" s="84">
        <v>0</v>
      </c>
      <c r="M475" s="85">
        <v>43480</v>
      </c>
      <c r="N475" s="85" t="s">
        <v>265</v>
      </c>
      <c r="O475" s="86" t="s">
        <v>340</v>
      </c>
      <c r="P475" s="84" t="s">
        <v>271</v>
      </c>
      <c r="Q475" s="86" t="s">
        <v>40</v>
      </c>
      <c r="R475" s="86" t="s">
        <v>1545</v>
      </c>
      <c r="S475" s="87" t="s">
        <v>955</v>
      </c>
      <c r="T475" s="87" t="s">
        <v>617</v>
      </c>
      <c r="U475" s="88">
        <v>200000</v>
      </c>
      <c r="V475" s="88">
        <v>216000</v>
      </c>
      <c r="W475" s="88">
        <v>200000</v>
      </c>
      <c r="X475" s="88">
        <v>216000</v>
      </c>
      <c r="Z475" s="88">
        <v>0</v>
      </c>
      <c r="AD475" s="84">
        <v>0</v>
      </c>
      <c r="AG475" s="84">
        <v>0</v>
      </c>
      <c r="AJ475" s="84">
        <v>0</v>
      </c>
      <c r="AR475" s="85">
        <v>43482</v>
      </c>
      <c r="AS475" s="84">
        <v>6001638017</v>
      </c>
      <c r="AT475" s="85">
        <v>43482</v>
      </c>
      <c r="AU475" s="84" t="s">
        <v>1553</v>
      </c>
      <c r="AV475" s="85">
        <v>43486</v>
      </c>
      <c r="AW475" s="123">
        <v>43496</v>
      </c>
      <c r="AX475" s="123">
        <v>43516</v>
      </c>
      <c r="AY475" s="132">
        <v>192000</v>
      </c>
      <c r="AZ475" s="132">
        <f>ROUNDDOWN(AY475+(AY475*MASTER!$A$2/100),0)</f>
        <v>207360</v>
      </c>
      <c r="BC475" s="88">
        <v>0</v>
      </c>
      <c r="BG475" s="88">
        <v>0</v>
      </c>
      <c r="BK475" s="88">
        <v>0</v>
      </c>
      <c r="BS475" s="88">
        <v>0</v>
      </c>
      <c r="BV475" s="89">
        <v>216000</v>
      </c>
      <c r="BW475" s="89">
        <v>0</v>
      </c>
      <c r="BX475" s="89">
        <v>43480</v>
      </c>
      <c r="BY475" s="89">
        <v>216000</v>
      </c>
      <c r="BZ475" s="112">
        <v>100</v>
      </c>
      <c r="CK475" s="88">
        <v>200000</v>
      </c>
    </row>
    <row r="476" spans="1:89" x14ac:dyDescent="0.15">
      <c r="A476" s="84">
        <v>2</v>
      </c>
      <c r="B476" s="85">
        <v>43516</v>
      </c>
      <c r="C476" s="85">
        <v>43525</v>
      </c>
      <c r="D476" s="85">
        <v>43571</v>
      </c>
      <c r="F476" s="85">
        <v>43532</v>
      </c>
      <c r="G476" s="85">
        <v>43525</v>
      </c>
      <c r="H476" s="85">
        <v>43528</v>
      </c>
      <c r="I476" s="84" t="s">
        <v>1191</v>
      </c>
      <c r="J476" s="84">
        <v>1</v>
      </c>
      <c r="L476" s="84">
        <v>0</v>
      </c>
      <c r="M476" s="85">
        <v>43481</v>
      </c>
      <c r="N476" s="85" t="s">
        <v>265</v>
      </c>
      <c r="O476" s="86" t="s">
        <v>340</v>
      </c>
      <c r="P476" s="84" t="s">
        <v>26</v>
      </c>
      <c r="Q476" s="86" t="s">
        <v>40</v>
      </c>
      <c r="R476" s="86" t="s">
        <v>1634</v>
      </c>
      <c r="S476" s="87" t="s">
        <v>1366</v>
      </c>
      <c r="T476" s="87" t="s">
        <v>1635</v>
      </c>
      <c r="U476" s="88">
        <v>50000</v>
      </c>
      <c r="V476" s="88">
        <v>54000</v>
      </c>
      <c r="W476" s="88">
        <v>47000</v>
      </c>
      <c r="X476" s="88">
        <v>50760</v>
      </c>
      <c r="Y476" s="88">
        <v>3000</v>
      </c>
      <c r="Z476" s="88">
        <v>3240</v>
      </c>
      <c r="AA476" s="85">
        <v>43523</v>
      </c>
      <c r="AB476" s="85">
        <v>43525</v>
      </c>
      <c r="AC476" s="85">
        <v>43525</v>
      </c>
      <c r="AD476" s="84">
        <v>0</v>
      </c>
      <c r="AG476" s="84">
        <v>0</v>
      </c>
      <c r="AJ476" s="84">
        <v>0</v>
      </c>
      <c r="AM476" s="84" t="s">
        <v>290</v>
      </c>
      <c r="AN476" s="84" t="s">
        <v>1636</v>
      </c>
      <c r="AR476" s="85">
        <v>43515</v>
      </c>
      <c r="AS476" s="84">
        <v>6001648328</v>
      </c>
      <c r="AT476" s="85">
        <v>43515</v>
      </c>
      <c r="AU476" s="84" t="s">
        <v>1637</v>
      </c>
      <c r="AV476" s="85">
        <v>43525</v>
      </c>
      <c r="AW476" s="123">
        <v>43555</v>
      </c>
      <c r="AX476" s="123">
        <v>43575</v>
      </c>
      <c r="AY476" s="132">
        <v>48000</v>
      </c>
      <c r="AZ476" s="132">
        <f>ROUNDDOWN(AY476+(AY476*MASTER!$A$2/100),0)</f>
        <v>51840</v>
      </c>
      <c r="BA476" s="84" t="s">
        <v>778</v>
      </c>
      <c r="BC476" s="88">
        <v>0</v>
      </c>
      <c r="BG476" s="88">
        <v>0</v>
      </c>
      <c r="BK476" s="88">
        <v>0</v>
      </c>
      <c r="BS476" s="88">
        <v>0</v>
      </c>
      <c r="BV476" s="89">
        <v>50760</v>
      </c>
      <c r="BW476" s="89">
        <v>0</v>
      </c>
      <c r="BX476" s="89">
        <v>43481</v>
      </c>
      <c r="BY476" s="89">
        <v>50760</v>
      </c>
      <c r="BZ476" s="112">
        <v>100</v>
      </c>
      <c r="CK476" s="88">
        <v>0</v>
      </c>
    </row>
    <row r="477" spans="1:89" x14ac:dyDescent="0.15">
      <c r="A477" s="84">
        <v>2</v>
      </c>
      <c r="B477" s="85">
        <v>43501</v>
      </c>
      <c r="C477" s="85">
        <v>43502</v>
      </c>
      <c r="D477" s="85">
        <v>43571</v>
      </c>
      <c r="F477" s="85">
        <v>43509</v>
      </c>
      <c r="G477" s="85">
        <v>43501</v>
      </c>
      <c r="H477" s="85">
        <v>43505</v>
      </c>
      <c r="I477" s="84" t="s">
        <v>1191</v>
      </c>
      <c r="J477" s="84">
        <v>1</v>
      </c>
      <c r="L477" s="84">
        <v>0</v>
      </c>
      <c r="M477" s="85">
        <v>43481</v>
      </c>
      <c r="N477" s="85" t="s">
        <v>265</v>
      </c>
      <c r="O477" s="86" t="s">
        <v>340</v>
      </c>
      <c r="P477" s="84" t="s">
        <v>26</v>
      </c>
      <c r="Q477" s="86" t="s">
        <v>40</v>
      </c>
      <c r="R477" s="86" t="s">
        <v>1638</v>
      </c>
      <c r="S477" s="87" t="s">
        <v>1356</v>
      </c>
      <c r="T477" s="87" t="s">
        <v>1303</v>
      </c>
      <c r="U477" s="88">
        <v>59000</v>
      </c>
      <c r="V477" s="88">
        <v>63720</v>
      </c>
      <c r="W477" s="88">
        <v>47000</v>
      </c>
      <c r="X477" s="88">
        <v>50760</v>
      </c>
      <c r="Y477" s="88">
        <v>12000</v>
      </c>
      <c r="Z477" s="88">
        <v>12960</v>
      </c>
      <c r="AA477" s="85">
        <v>43501</v>
      </c>
      <c r="AB477" s="85">
        <v>43502</v>
      </c>
      <c r="AC477" s="85">
        <v>43502</v>
      </c>
      <c r="AD477" s="84">
        <v>0</v>
      </c>
      <c r="AG477" s="84">
        <v>0</v>
      </c>
      <c r="AJ477" s="84">
        <v>0</v>
      </c>
      <c r="AM477" s="84" t="s">
        <v>290</v>
      </c>
      <c r="AN477" s="84" t="s">
        <v>1639</v>
      </c>
      <c r="AR477" s="85">
        <v>43496</v>
      </c>
      <c r="AS477" s="84">
        <v>6001642562</v>
      </c>
      <c r="AT477" s="85">
        <v>43500</v>
      </c>
      <c r="AU477" s="84" t="s">
        <v>1606</v>
      </c>
      <c r="AV477" s="85">
        <v>43502</v>
      </c>
      <c r="AW477" s="123">
        <v>43524</v>
      </c>
      <c r="AX477" s="123">
        <v>43544</v>
      </c>
      <c r="AY477" s="132">
        <v>56640</v>
      </c>
      <c r="AZ477" s="132">
        <f>ROUNDDOWN(AY477+(AY477*MASTER!$A$2/100),0)</f>
        <v>61171</v>
      </c>
      <c r="BA477" s="84" t="s">
        <v>287</v>
      </c>
      <c r="BB477" s="88">
        <v>44000</v>
      </c>
      <c r="BC477" s="88">
        <v>47520</v>
      </c>
      <c r="BD477" s="84" t="s">
        <v>1233</v>
      </c>
      <c r="BG477" s="88">
        <v>0</v>
      </c>
      <c r="BI477" s="84" t="s">
        <v>434</v>
      </c>
      <c r="BJ477" s="88">
        <v>7800</v>
      </c>
      <c r="BK477" s="88">
        <v>8424</v>
      </c>
      <c r="BL477" s="84" t="s">
        <v>1233</v>
      </c>
      <c r="BS477" s="88">
        <v>0</v>
      </c>
      <c r="BV477" s="89">
        <v>50760</v>
      </c>
      <c r="BW477" s="89">
        <v>55944</v>
      </c>
      <c r="BX477" s="89">
        <v>43481</v>
      </c>
      <c r="BY477" s="89">
        <v>-5184</v>
      </c>
      <c r="BZ477" s="112">
        <v>-10.212765957446807</v>
      </c>
      <c r="CK477" s="88">
        <v>0</v>
      </c>
    </row>
    <row r="478" spans="1:89" x14ac:dyDescent="0.15">
      <c r="A478" s="84">
        <v>2</v>
      </c>
      <c r="B478" s="85">
        <v>43570</v>
      </c>
      <c r="C478" s="85">
        <v>43581</v>
      </c>
      <c r="D478" s="85">
        <v>43581</v>
      </c>
      <c r="E478" s="85">
        <v>43596</v>
      </c>
      <c r="F478" s="85">
        <v>43588</v>
      </c>
      <c r="G478" s="85">
        <v>43581</v>
      </c>
      <c r="H478" s="85">
        <v>43584</v>
      </c>
      <c r="I478" s="84" t="s">
        <v>1191</v>
      </c>
      <c r="J478" s="84">
        <v>1</v>
      </c>
      <c r="L478" s="84">
        <v>0</v>
      </c>
      <c r="M478" s="85">
        <v>43481</v>
      </c>
      <c r="N478" s="85" t="s">
        <v>265</v>
      </c>
      <c r="O478" s="86" t="s">
        <v>340</v>
      </c>
      <c r="P478" s="84" t="s">
        <v>26</v>
      </c>
      <c r="Q478" s="86" t="s">
        <v>40</v>
      </c>
      <c r="R478" s="86" t="s">
        <v>1640</v>
      </c>
      <c r="S478" s="87" t="s">
        <v>1641</v>
      </c>
      <c r="T478" s="87" t="s">
        <v>1642</v>
      </c>
      <c r="U478" s="88">
        <v>73200</v>
      </c>
      <c r="V478" s="88">
        <v>79056</v>
      </c>
      <c r="W478" s="88">
        <v>47000</v>
      </c>
      <c r="X478" s="88">
        <v>50760</v>
      </c>
      <c r="Y478" s="88">
        <v>26200</v>
      </c>
      <c r="Z478" s="88">
        <v>28296</v>
      </c>
      <c r="AA478" s="85">
        <v>43579</v>
      </c>
      <c r="AB478" s="85">
        <v>43581</v>
      </c>
      <c r="AC478" s="85">
        <v>43581</v>
      </c>
      <c r="AD478" s="84">
        <v>0</v>
      </c>
      <c r="AG478" s="84">
        <v>0</v>
      </c>
      <c r="AJ478" s="84">
        <v>0</v>
      </c>
      <c r="AM478" s="84" t="s">
        <v>290</v>
      </c>
      <c r="AN478" s="84" t="s">
        <v>1643</v>
      </c>
      <c r="AR478" s="85">
        <v>43494</v>
      </c>
      <c r="AS478" s="84">
        <v>6001641785</v>
      </c>
      <c r="AT478" s="85">
        <v>43553</v>
      </c>
      <c r="AU478" s="84" t="s">
        <v>1644</v>
      </c>
      <c r="AV478" s="85">
        <v>43581</v>
      </c>
      <c r="AW478" s="123">
        <v>43585</v>
      </c>
      <c r="AX478" s="123">
        <v>43605</v>
      </c>
      <c r="AY478" s="132">
        <v>70272</v>
      </c>
      <c r="AZ478" s="132">
        <f>ROUNDDOWN(AY478+(AY478*MASTER!$A$2/100),0)</f>
        <v>75893</v>
      </c>
      <c r="BA478" s="84" t="s">
        <v>778</v>
      </c>
      <c r="BC478" s="88">
        <v>0</v>
      </c>
      <c r="BG478" s="88">
        <v>0</v>
      </c>
      <c r="BI478" s="84" t="s">
        <v>276</v>
      </c>
      <c r="BJ478" s="88">
        <v>17030</v>
      </c>
      <c r="BK478" s="88">
        <v>18392.400000000001</v>
      </c>
      <c r="BL478" s="84" t="s">
        <v>1645</v>
      </c>
      <c r="BS478" s="88">
        <v>0</v>
      </c>
      <c r="BV478" s="89">
        <v>50760</v>
      </c>
      <c r="BW478" s="89">
        <v>18392.400000000001</v>
      </c>
      <c r="BX478" s="89">
        <v>43481</v>
      </c>
      <c r="BY478" s="89">
        <v>32367.599999999999</v>
      </c>
      <c r="BZ478" s="112">
        <v>63.765957446808507</v>
      </c>
      <c r="CD478" s="87" t="s">
        <v>1646</v>
      </c>
      <c r="CK478" s="88">
        <v>0</v>
      </c>
    </row>
    <row r="479" spans="1:89" x14ac:dyDescent="0.15">
      <c r="A479" s="84">
        <v>1</v>
      </c>
      <c r="B479" s="85">
        <v>43516</v>
      </c>
      <c r="C479" s="85">
        <v>43524</v>
      </c>
      <c r="F479" s="85" t="s">
        <v>338</v>
      </c>
      <c r="H479" s="85" t="s">
        <v>338</v>
      </c>
      <c r="J479" s="84">
        <v>2</v>
      </c>
      <c r="L479" s="84">
        <v>0</v>
      </c>
      <c r="M479" s="85">
        <v>43481</v>
      </c>
      <c r="N479" s="85" t="s">
        <v>265</v>
      </c>
      <c r="O479" s="86" t="s">
        <v>340</v>
      </c>
      <c r="P479" s="84" t="s">
        <v>272</v>
      </c>
      <c r="Q479" s="86" t="s">
        <v>40</v>
      </c>
      <c r="R479" s="86" t="s">
        <v>1546</v>
      </c>
      <c r="S479" s="87" t="s">
        <v>1539</v>
      </c>
      <c r="T479" s="87" t="s">
        <v>1101</v>
      </c>
      <c r="U479" s="88">
        <v>3000</v>
      </c>
      <c r="V479" s="88">
        <v>3240</v>
      </c>
      <c r="W479" s="88">
        <v>3000</v>
      </c>
      <c r="X479" s="88">
        <v>3240</v>
      </c>
      <c r="Z479" s="88">
        <v>0</v>
      </c>
      <c r="AA479" s="85">
        <v>43476</v>
      </c>
      <c r="AD479" s="84">
        <v>0</v>
      </c>
      <c r="AG479" s="84">
        <v>0</v>
      </c>
      <c r="AJ479" s="84">
        <v>0</v>
      </c>
      <c r="AR479" s="85">
        <v>43515</v>
      </c>
      <c r="AS479" s="84">
        <v>6001648328</v>
      </c>
      <c r="AT479" s="85">
        <v>43515</v>
      </c>
      <c r="AU479" s="84" t="s">
        <v>1637</v>
      </c>
      <c r="AV479" s="85">
        <v>43524</v>
      </c>
      <c r="AW479" s="123">
        <v>43524</v>
      </c>
      <c r="AX479" s="123">
        <v>43544</v>
      </c>
      <c r="AY479" s="132">
        <v>2880</v>
      </c>
      <c r="AZ479" s="132">
        <f>ROUNDDOWN(AY479+(AY479*MASTER!$A$2/100),0)</f>
        <v>3110</v>
      </c>
      <c r="BC479" s="88">
        <v>0</v>
      </c>
      <c r="BG479" s="88">
        <v>0</v>
      </c>
      <c r="BK479" s="88">
        <v>0</v>
      </c>
      <c r="BS479" s="88">
        <v>0</v>
      </c>
      <c r="BV479" s="89">
        <v>3240</v>
      </c>
      <c r="BW479" s="89">
        <v>0</v>
      </c>
      <c r="BX479" s="89">
        <v>43481</v>
      </c>
      <c r="BY479" s="89">
        <v>3240</v>
      </c>
      <c r="BZ479" s="112">
        <v>100</v>
      </c>
    </row>
    <row r="480" spans="1:89" x14ac:dyDescent="0.15">
      <c r="A480" s="84">
        <v>1</v>
      </c>
      <c r="B480" s="85">
        <v>43516</v>
      </c>
      <c r="C480" s="85">
        <v>43524</v>
      </c>
      <c r="F480" s="85" t="s">
        <v>338</v>
      </c>
      <c r="H480" s="85" t="s">
        <v>338</v>
      </c>
      <c r="J480" s="84">
        <v>2</v>
      </c>
      <c r="L480" s="84">
        <v>0</v>
      </c>
      <c r="M480" s="85">
        <v>43481</v>
      </c>
      <c r="N480" s="85" t="s">
        <v>265</v>
      </c>
      <c r="O480" s="86" t="s">
        <v>340</v>
      </c>
      <c r="P480" s="84" t="s">
        <v>272</v>
      </c>
      <c r="Q480" s="86" t="s">
        <v>40</v>
      </c>
      <c r="R480" s="86" t="s">
        <v>1547</v>
      </c>
      <c r="S480" s="87" t="s">
        <v>1542</v>
      </c>
      <c r="T480" s="87" t="s">
        <v>1101</v>
      </c>
      <c r="U480" s="88">
        <v>3000</v>
      </c>
      <c r="V480" s="88">
        <v>3240</v>
      </c>
      <c r="W480" s="88">
        <v>3000</v>
      </c>
      <c r="X480" s="88">
        <v>3240</v>
      </c>
      <c r="Z480" s="88">
        <v>0</v>
      </c>
      <c r="AA480" s="85">
        <v>43476</v>
      </c>
      <c r="AD480" s="84">
        <v>0</v>
      </c>
      <c r="AG480" s="84">
        <v>0</v>
      </c>
      <c r="AJ480" s="84">
        <v>0</v>
      </c>
      <c r="AR480" s="85">
        <v>43515</v>
      </c>
      <c r="AS480" s="84">
        <v>6001648328</v>
      </c>
      <c r="AT480" s="85">
        <v>43515</v>
      </c>
      <c r="AU480" s="84" t="s">
        <v>1637</v>
      </c>
      <c r="AV480" s="85">
        <v>43524</v>
      </c>
      <c r="AW480" s="123">
        <v>43524</v>
      </c>
      <c r="AX480" s="123">
        <v>43544</v>
      </c>
      <c r="AY480" s="132">
        <v>2880</v>
      </c>
      <c r="AZ480" s="132">
        <f>ROUNDDOWN(AY480+(AY480*MASTER!$A$2/100),0)</f>
        <v>3110</v>
      </c>
      <c r="BC480" s="88">
        <v>0</v>
      </c>
      <c r="BG480" s="88">
        <v>0</v>
      </c>
      <c r="BK480" s="88">
        <v>0</v>
      </c>
      <c r="BS480" s="88">
        <v>0</v>
      </c>
      <c r="BV480" s="89">
        <v>3240</v>
      </c>
      <c r="BW480" s="89">
        <v>0</v>
      </c>
      <c r="BX480" s="89">
        <v>43481</v>
      </c>
      <c r="BY480" s="89">
        <v>3240</v>
      </c>
      <c r="BZ480" s="112">
        <v>100</v>
      </c>
    </row>
    <row r="481" spans="1:89" s="151" customFormat="1" x14ac:dyDescent="0.15">
      <c r="A481" s="141">
        <v>3</v>
      </c>
      <c r="B481" s="142"/>
      <c r="C481" s="142" t="s">
        <v>338</v>
      </c>
      <c r="D481" s="142"/>
      <c r="E481" s="142"/>
      <c r="F481" s="142" t="s">
        <v>338</v>
      </c>
      <c r="G481" s="142"/>
      <c r="H481" s="142" t="s">
        <v>338</v>
      </c>
      <c r="I481" s="141"/>
      <c r="J481" s="141">
        <v>2</v>
      </c>
      <c r="K481" s="142"/>
      <c r="L481" s="141">
        <v>0</v>
      </c>
      <c r="M481" s="142">
        <v>43481</v>
      </c>
      <c r="N481" s="142" t="s">
        <v>265</v>
      </c>
      <c r="O481" s="143" t="s">
        <v>340</v>
      </c>
      <c r="P481" s="141" t="s">
        <v>26</v>
      </c>
      <c r="Q481" s="143" t="s">
        <v>40</v>
      </c>
      <c r="R481" s="143" t="s">
        <v>1548</v>
      </c>
      <c r="S481" s="144" t="s">
        <v>1230</v>
      </c>
      <c r="T481" s="144" t="s">
        <v>1075</v>
      </c>
      <c r="U481" s="145">
        <v>81900</v>
      </c>
      <c r="V481" s="145">
        <v>88452</v>
      </c>
      <c r="W481" s="145">
        <v>81900</v>
      </c>
      <c r="X481" s="145">
        <v>88452</v>
      </c>
      <c r="Y481" s="145"/>
      <c r="Z481" s="145">
        <v>0</v>
      </c>
      <c r="AA481" s="142"/>
      <c r="AB481" s="142"/>
      <c r="AC481" s="142"/>
      <c r="AD481" s="141">
        <v>0</v>
      </c>
      <c r="AE481" s="141"/>
      <c r="AF481" s="141"/>
      <c r="AG481" s="141">
        <v>0</v>
      </c>
      <c r="AH481" s="141"/>
      <c r="AI481" s="141"/>
      <c r="AJ481" s="141">
        <v>0</v>
      </c>
      <c r="AK481" s="141"/>
      <c r="AL481" s="141"/>
      <c r="AM481" s="141"/>
      <c r="AN481" s="141" t="s">
        <v>338</v>
      </c>
      <c r="AO481" s="142"/>
      <c r="AP481" s="141"/>
      <c r="AQ481" s="141"/>
      <c r="AR481" s="142"/>
      <c r="AS481" s="141"/>
      <c r="AT481" s="142"/>
      <c r="AU481" s="141"/>
      <c r="AV481" s="142"/>
      <c r="AW481" s="146"/>
      <c r="AX481" s="146"/>
      <c r="AY481" s="147">
        <v>78624</v>
      </c>
      <c r="AZ481" s="132">
        <f>ROUNDDOWN(AY481+(AY481*MASTER!$A$2/100),0)</f>
        <v>84913</v>
      </c>
      <c r="BA481" s="141"/>
      <c r="BB481" s="145"/>
      <c r="BC481" s="145">
        <v>0</v>
      </c>
      <c r="BD481" s="141"/>
      <c r="BE481" s="141"/>
      <c r="BF481" s="145"/>
      <c r="BG481" s="145">
        <v>0</v>
      </c>
      <c r="BH481" s="141"/>
      <c r="BI481" s="141"/>
      <c r="BJ481" s="145"/>
      <c r="BK481" s="145">
        <v>0</v>
      </c>
      <c r="BL481" s="141"/>
      <c r="BM481" s="145"/>
      <c r="BN481" s="145"/>
      <c r="BO481" s="145"/>
      <c r="BP481" s="145"/>
      <c r="BQ481" s="145"/>
      <c r="BR481" s="145"/>
      <c r="BS481" s="145">
        <v>0</v>
      </c>
      <c r="BT481" s="148"/>
      <c r="BU481" s="148"/>
      <c r="BV481" s="149">
        <v>88452</v>
      </c>
      <c r="BW481" s="149">
        <v>0</v>
      </c>
      <c r="BX481" s="149">
        <v>43481</v>
      </c>
      <c r="BY481" s="149">
        <v>88452</v>
      </c>
      <c r="BZ481" s="150">
        <v>100</v>
      </c>
      <c r="CA481" s="141"/>
      <c r="CB481" s="141"/>
      <c r="CC481" s="141"/>
      <c r="CD481" s="144" t="s">
        <v>1585</v>
      </c>
      <c r="CE481" s="142"/>
      <c r="CF481" s="142"/>
      <c r="CG481" s="142"/>
      <c r="CH481" s="142"/>
      <c r="CI481" s="142"/>
      <c r="CJ481" s="142"/>
      <c r="CK481" s="145">
        <v>0</v>
      </c>
    </row>
    <row r="482" spans="1:89" x14ac:dyDescent="0.15">
      <c r="A482" s="84">
        <v>1</v>
      </c>
      <c r="B482" s="85">
        <v>43509</v>
      </c>
      <c r="C482" s="85">
        <v>43517</v>
      </c>
      <c r="F482" s="85" t="s">
        <v>338</v>
      </c>
      <c r="G482" s="85">
        <v>43518</v>
      </c>
      <c r="H482" s="85" t="s">
        <v>338</v>
      </c>
      <c r="I482" s="84" t="s">
        <v>1191</v>
      </c>
      <c r="J482" s="84">
        <v>1</v>
      </c>
      <c r="L482" s="84">
        <v>0</v>
      </c>
      <c r="M482" s="85">
        <v>43481</v>
      </c>
      <c r="N482" s="85" t="s">
        <v>265</v>
      </c>
      <c r="O482" s="86" t="s">
        <v>340</v>
      </c>
      <c r="P482" s="84" t="s">
        <v>26</v>
      </c>
      <c r="Q482" s="86" t="s">
        <v>40</v>
      </c>
      <c r="R482" s="86" t="s">
        <v>1647</v>
      </c>
      <c r="S482" s="87" t="s">
        <v>1648</v>
      </c>
      <c r="T482" s="87" t="s">
        <v>794</v>
      </c>
      <c r="U482" s="88">
        <v>23900</v>
      </c>
      <c r="V482" s="88">
        <v>25812</v>
      </c>
      <c r="W482" s="88">
        <v>14700</v>
      </c>
      <c r="X482" s="88">
        <v>15876</v>
      </c>
      <c r="Y482" s="88">
        <v>9200</v>
      </c>
      <c r="Z482" s="88">
        <v>9936</v>
      </c>
      <c r="AA482" s="85">
        <v>43516</v>
      </c>
      <c r="AB482" s="85">
        <v>43517</v>
      </c>
      <c r="AD482" s="84">
        <v>0</v>
      </c>
      <c r="AG482" s="84">
        <v>0</v>
      </c>
      <c r="AJ482" s="84">
        <v>0</v>
      </c>
      <c r="AM482" s="84" t="s">
        <v>290</v>
      </c>
      <c r="AN482" s="84" t="s">
        <v>1649</v>
      </c>
      <c r="AR482" s="85">
        <v>43494</v>
      </c>
      <c r="AS482" s="84">
        <v>6001641785</v>
      </c>
      <c r="AT482" s="85">
        <v>43494</v>
      </c>
      <c r="AU482" s="84" t="s">
        <v>1644</v>
      </c>
      <c r="AV482" s="85">
        <v>43517</v>
      </c>
      <c r="AW482" s="123">
        <v>43524</v>
      </c>
      <c r="AX482" s="123">
        <v>43544</v>
      </c>
      <c r="AY482" s="132">
        <v>22944</v>
      </c>
      <c r="AZ482" s="132">
        <f>ROUNDDOWN(AY482+(AY482*MASTER!$A$2/100),0)</f>
        <v>24779</v>
      </c>
      <c r="BA482" s="84" t="s">
        <v>778</v>
      </c>
      <c r="BC482" s="88">
        <v>0</v>
      </c>
      <c r="BG482" s="88">
        <v>0</v>
      </c>
      <c r="BI482" s="84" t="s">
        <v>276</v>
      </c>
      <c r="BJ482" s="88">
        <v>5980</v>
      </c>
      <c r="BK482" s="88">
        <v>6458.4</v>
      </c>
      <c r="BL482" s="84" t="s">
        <v>1567</v>
      </c>
      <c r="BS482" s="88">
        <v>0</v>
      </c>
      <c r="BV482" s="89">
        <v>15876</v>
      </c>
      <c r="BW482" s="89">
        <v>6458.4</v>
      </c>
      <c r="BX482" s="89">
        <v>43481</v>
      </c>
      <c r="BY482" s="89">
        <v>9417.6</v>
      </c>
      <c r="BZ482" s="112">
        <v>59.319727891156461</v>
      </c>
      <c r="CK482" s="88">
        <v>0</v>
      </c>
    </row>
    <row r="483" spans="1:89" x14ac:dyDescent="0.15">
      <c r="A483" s="84">
        <v>2</v>
      </c>
      <c r="B483" s="85">
        <v>43490</v>
      </c>
      <c r="C483" s="85">
        <v>43490</v>
      </c>
      <c r="D483" s="85">
        <v>43481</v>
      </c>
      <c r="E483" s="85">
        <v>43481</v>
      </c>
      <c r="F483" s="85" t="s">
        <v>338</v>
      </c>
      <c r="G483" s="85">
        <v>43481</v>
      </c>
      <c r="H483" s="85" t="s">
        <v>338</v>
      </c>
      <c r="I483" s="84" t="s">
        <v>380</v>
      </c>
      <c r="J483" s="84">
        <v>2</v>
      </c>
      <c r="L483" s="84">
        <v>0</v>
      </c>
      <c r="M483" s="85">
        <v>43481</v>
      </c>
      <c r="N483" s="85" t="s">
        <v>265</v>
      </c>
      <c r="O483" s="86" t="s">
        <v>340</v>
      </c>
      <c r="P483" s="84" t="s">
        <v>6</v>
      </c>
      <c r="Q483" s="86" t="s">
        <v>40</v>
      </c>
      <c r="R483" s="86" t="s">
        <v>1650</v>
      </c>
      <c r="S483" s="87" t="s">
        <v>1356</v>
      </c>
      <c r="T483" s="87" t="s">
        <v>342</v>
      </c>
      <c r="U483" s="88">
        <v>35000</v>
      </c>
      <c r="V483" s="88">
        <v>37800</v>
      </c>
      <c r="W483" s="88">
        <v>35000</v>
      </c>
      <c r="X483" s="88">
        <v>37800</v>
      </c>
      <c r="Z483" s="88">
        <v>0</v>
      </c>
      <c r="AA483" s="85">
        <v>43477</v>
      </c>
      <c r="AB483" s="85">
        <v>43477</v>
      </c>
      <c r="AD483" s="84">
        <v>0</v>
      </c>
      <c r="AG483" s="84">
        <v>0</v>
      </c>
      <c r="AJ483" s="84">
        <v>0</v>
      </c>
      <c r="AN483" s="84" t="s">
        <v>338</v>
      </c>
      <c r="AR483" s="85">
        <v>43488</v>
      </c>
      <c r="AS483" s="84">
        <v>6001639885</v>
      </c>
      <c r="AT483" s="85">
        <v>43488</v>
      </c>
      <c r="AU483" s="84" t="s">
        <v>1597</v>
      </c>
      <c r="AV483" s="85">
        <v>43490</v>
      </c>
      <c r="AW483" s="123">
        <v>43496</v>
      </c>
      <c r="AX483" s="123">
        <v>43516</v>
      </c>
      <c r="AY483" s="132">
        <v>33600</v>
      </c>
      <c r="AZ483" s="132">
        <f>ROUNDDOWN(AY483+(AY483*MASTER!$A$2/100),0)</f>
        <v>36288</v>
      </c>
      <c r="BA483" s="84" t="s">
        <v>287</v>
      </c>
      <c r="BB483" s="88">
        <v>44000</v>
      </c>
      <c r="BC483" s="88">
        <v>47520</v>
      </c>
      <c r="BD483" s="84" t="s">
        <v>1138</v>
      </c>
      <c r="BG483" s="88">
        <v>0</v>
      </c>
      <c r="BK483" s="88">
        <v>0</v>
      </c>
      <c r="BS483" s="88">
        <v>0</v>
      </c>
      <c r="BV483" s="89">
        <v>37800</v>
      </c>
      <c r="BW483" s="89">
        <v>47520</v>
      </c>
      <c r="BX483" s="89">
        <v>43481</v>
      </c>
      <c r="BY483" s="89">
        <v>-9720</v>
      </c>
      <c r="BZ483" s="112">
        <v>-25.714285714285712</v>
      </c>
      <c r="CK483" s="88">
        <v>0</v>
      </c>
    </row>
    <row r="484" spans="1:89" x14ac:dyDescent="0.15">
      <c r="A484" s="84">
        <v>2</v>
      </c>
      <c r="C484" s="85" t="s">
        <v>338</v>
      </c>
      <c r="D484" s="85">
        <v>43502</v>
      </c>
      <c r="E484" s="85">
        <v>43502</v>
      </c>
      <c r="F484" s="85" t="s">
        <v>338</v>
      </c>
      <c r="G484" s="85">
        <v>43502</v>
      </c>
      <c r="H484" s="85" t="s">
        <v>338</v>
      </c>
      <c r="I484" s="84" t="s">
        <v>380</v>
      </c>
      <c r="J484" s="84">
        <v>4</v>
      </c>
      <c r="L484" s="84">
        <v>0</v>
      </c>
      <c r="M484" s="85">
        <v>43481</v>
      </c>
      <c r="N484" s="85" t="s">
        <v>265</v>
      </c>
      <c r="O484" s="86" t="s">
        <v>340</v>
      </c>
      <c r="P484" s="84" t="s">
        <v>6</v>
      </c>
      <c r="Q484" s="86" t="s">
        <v>40</v>
      </c>
      <c r="R484" s="86" t="s">
        <v>1651</v>
      </c>
      <c r="S484" s="87" t="s">
        <v>646</v>
      </c>
      <c r="T484" s="87" t="s">
        <v>342</v>
      </c>
      <c r="U484" s="88">
        <v>0</v>
      </c>
      <c r="V484" s="88">
        <v>0</v>
      </c>
      <c r="W484" s="88">
        <v>0</v>
      </c>
      <c r="X484" s="88">
        <v>0</v>
      </c>
      <c r="Z484" s="88">
        <v>0</v>
      </c>
      <c r="AA484" s="85">
        <v>43502</v>
      </c>
      <c r="AB484" s="85">
        <v>43502</v>
      </c>
      <c r="AD484" s="84">
        <v>0</v>
      </c>
      <c r="AG484" s="84">
        <v>0</v>
      </c>
      <c r="AJ484" s="84">
        <v>0</v>
      </c>
      <c r="AN484" s="84" t="s">
        <v>338</v>
      </c>
      <c r="AY484" s="132">
        <v>0</v>
      </c>
      <c r="AZ484" s="132">
        <f>ROUNDDOWN(AY484+(AY484*MASTER!$A$2/100),0)</f>
        <v>0</v>
      </c>
      <c r="BA484" s="84" t="s">
        <v>543</v>
      </c>
      <c r="BB484" s="88">
        <v>30000</v>
      </c>
      <c r="BC484" s="88">
        <v>32400</v>
      </c>
      <c r="BD484" s="84" t="s">
        <v>1233</v>
      </c>
      <c r="BG484" s="88">
        <v>0</v>
      </c>
      <c r="BK484" s="88">
        <v>0</v>
      </c>
      <c r="BS484" s="88">
        <v>0</v>
      </c>
      <c r="BV484" s="89">
        <v>0</v>
      </c>
      <c r="BW484" s="89">
        <v>32400</v>
      </c>
      <c r="BX484" s="89">
        <v>43481</v>
      </c>
      <c r="BY484" s="89">
        <v>-32400</v>
      </c>
      <c r="BZ484" s="112" t="s">
        <v>338</v>
      </c>
      <c r="CK484" s="88">
        <v>0</v>
      </c>
    </row>
    <row r="485" spans="1:89" x14ac:dyDescent="0.15">
      <c r="A485" s="84">
        <v>1</v>
      </c>
      <c r="B485" s="85">
        <v>43501</v>
      </c>
      <c r="C485" s="85">
        <v>43516</v>
      </c>
      <c r="F485" s="85" t="s">
        <v>338</v>
      </c>
      <c r="H485" s="85" t="s">
        <v>338</v>
      </c>
      <c r="J485" s="84">
        <v>2</v>
      </c>
      <c r="L485" s="84">
        <v>0</v>
      </c>
      <c r="M485" s="85">
        <v>43481</v>
      </c>
      <c r="N485" s="85" t="s">
        <v>265</v>
      </c>
      <c r="O485" s="86" t="s">
        <v>340</v>
      </c>
      <c r="P485" s="84" t="s">
        <v>272</v>
      </c>
      <c r="Q485" s="86" t="s">
        <v>40</v>
      </c>
      <c r="R485" s="86" t="s">
        <v>1652</v>
      </c>
      <c r="S485" s="87" t="s">
        <v>1530</v>
      </c>
      <c r="T485" s="87" t="s">
        <v>393</v>
      </c>
      <c r="U485" s="88">
        <v>3000</v>
      </c>
      <c r="V485" s="88">
        <v>3240</v>
      </c>
      <c r="W485" s="88">
        <v>3000</v>
      </c>
      <c r="X485" s="88">
        <v>3240</v>
      </c>
      <c r="Z485" s="88">
        <v>0</v>
      </c>
      <c r="AA485" s="85">
        <v>43460</v>
      </c>
      <c r="AD485" s="84">
        <v>0</v>
      </c>
      <c r="AG485" s="84">
        <v>0</v>
      </c>
      <c r="AJ485" s="84">
        <v>0</v>
      </c>
      <c r="AR485" s="85">
        <v>43500</v>
      </c>
      <c r="AS485" s="84">
        <v>6001643300</v>
      </c>
      <c r="AT485" s="85">
        <v>43500</v>
      </c>
      <c r="AU485" s="84" t="s">
        <v>1653</v>
      </c>
      <c r="AV485" s="85">
        <v>43516</v>
      </c>
      <c r="AW485" s="123">
        <v>43524</v>
      </c>
      <c r="AX485" s="123">
        <v>43544</v>
      </c>
      <c r="AY485" s="132">
        <v>2880</v>
      </c>
      <c r="AZ485" s="132">
        <f>ROUNDDOWN(AY485+(AY485*MASTER!$A$2/100),0)</f>
        <v>3110</v>
      </c>
      <c r="BC485" s="88">
        <v>0</v>
      </c>
      <c r="BG485" s="88">
        <v>0</v>
      </c>
      <c r="BK485" s="88">
        <v>0</v>
      </c>
      <c r="BS485" s="88">
        <v>0</v>
      </c>
      <c r="BV485" s="89">
        <v>3240</v>
      </c>
      <c r="BW485" s="89">
        <v>0</v>
      </c>
      <c r="BX485" s="89">
        <v>43481</v>
      </c>
      <c r="BY485" s="89">
        <v>3240</v>
      </c>
      <c r="BZ485" s="112">
        <v>100</v>
      </c>
    </row>
    <row r="486" spans="1:89" x14ac:dyDescent="0.15">
      <c r="A486" s="84">
        <v>2</v>
      </c>
      <c r="B486" s="85">
        <v>43490</v>
      </c>
      <c r="C486" s="85">
        <v>43490</v>
      </c>
      <c r="D486" s="85">
        <v>43487</v>
      </c>
      <c r="E486" s="85">
        <v>43487</v>
      </c>
      <c r="F486" s="85" t="s">
        <v>338</v>
      </c>
      <c r="G486" s="85">
        <v>43487</v>
      </c>
      <c r="H486" s="85" t="s">
        <v>338</v>
      </c>
      <c r="I486" s="84" t="s">
        <v>547</v>
      </c>
      <c r="J486" s="84">
        <v>2</v>
      </c>
      <c r="L486" s="84">
        <v>0</v>
      </c>
      <c r="M486" s="85">
        <v>43481</v>
      </c>
      <c r="N486" s="85" t="s">
        <v>265</v>
      </c>
      <c r="O486" s="86" t="s">
        <v>340</v>
      </c>
      <c r="P486" s="84" t="s">
        <v>6</v>
      </c>
      <c r="Q486" s="86" t="s">
        <v>40</v>
      </c>
      <c r="R486" s="86" t="s">
        <v>1654</v>
      </c>
      <c r="S486" s="87" t="s">
        <v>1655</v>
      </c>
      <c r="T486" s="87" t="s">
        <v>342</v>
      </c>
      <c r="U486" s="88">
        <v>35000</v>
      </c>
      <c r="V486" s="88">
        <v>37800</v>
      </c>
      <c r="W486" s="88">
        <v>35000</v>
      </c>
      <c r="X486" s="88">
        <v>37800</v>
      </c>
      <c r="Z486" s="88">
        <v>0</v>
      </c>
      <c r="AA486" s="85">
        <v>43485</v>
      </c>
      <c r="AB486" s="85">
        <v>43485</v>
      </c>
      <c r="AD486" s="84">
        <v>0</v>
      </c>
      <c r="AG486" s="84">
        <v>0</v>
      </c>
      <c r="AJ486" s="84">
        <v>0</v>
      </c>
      <c r="AR486" s="85">
        <v>43488</v>
      </c>
      <c r="AS486" s="84">
        <v>6001639885</v>
      </c>
      <c r="AT486" s="85">
        <v>43488</v>
      </c>
      <c r="AU486" s="84" t="s">
        <v>1597</v>
      </c>
      <c r="AV486" s="85">
        <v>43490</v>
      </c>
      <c r="AW486" s="123">
        <v>43496</v>
      </c>
      <c r="AX486" s="123">
        <v>43516</v>
      </c>
      <c r="AY486" s="132">
        <v>33600</v>
      </c>
      <c r="AZ486" s="132">
        <f>ROUNDDOWN(AY486+(AY486*MASTER!$A$2/100),0)</f>
        <v>36288</v>
      </c>
      <c r="BA486" s="84" t="s">
        <v>400</v>
      </c>
      <c r="BB486" s="88">
        <v>23000</v>
      </c>
      <c r="BC486" s="88">
        <v>24840</v>
      </c>
      <c r="BD486" s="84" t="s">
        <v>1138</v>
      </c>
      <c r="BG486" s="88">
        <v>0</v>
      </c>
      <c r="BK486" s="88">
        <v>0</v>
      </c>
      <c r="BS486" s="88">
        <v>0</v>
      </c>
      <c r="BV486" s="89">
        <v>37800</v>
      </c>
      <c r="BW486" s="89">
        <v>24840</v>
      </c>
      <c r="BX486" s="89">
        <v>43481</v>
      </c>
      <c r="BY486" s="89">
        <v>12960</v>
      </c>
      <c r="BZ486" s="112">
        <v>34.285714285714285</v>
      </c>
    </row>
    <row r="487" spans="1:89" s="151" customFormat="1" x14ac:dyDescent="0.15">
      <c r="A487" s="141">
        <v>3</v>
      </c>
      <c r="B487" s="142"/>
      <c r="C487" s="142" t="s">
        <v>338</v>
      </c>
      <c r="D487" s="142"/>
      <c r="E487" s="142"/>
      <c r="F487" s="142" t="s">
        <v>338</v>
      </c>
      <c r="G487" s="142"/>
      <c r="H487" s="142" t="s">
        <v>338</v>
      </c>
      <c r="I487" s="141"/>
      <c r="J487" s="141">
        <v>1</v>
      </c>
      <c r="K487" s="142"/>
      <c r="L487" s="141">
        <v>0</v>
      </c>
      <c r="M487" s="142">
        <v>43482</v>
      </c>
      <c r="N487" s="142" t="s">
        <v>265</v>
      </c>
      <c r="O487" s="143" t="s">
        <v>340</v>
      </c>
      <c r="P487" s="141" t="s">
        <v>26</v>
      </c>
      <c r="Q487" s="143" t="s">
        <v>40</v>
      </c>
      <c r="R487" s="143" t="s">
        <v>1656</v>
      </c>
      <c r="S487" s="144" t="s">
        <v>1657</v>
      </c>
      <c r="T487" s="144" t="s">
        <v>861</v>
      </c>
      <c r="U487" s="145">
        <v>59000</v>
      </c>
      <c r="V487" s="145">
        <v>63720</v>
      </c>
      <c r="W487" s="145">
        <v>47000</v>
      </c>
      <c r="X487" s="145">
        <v>50760</v>
      </c>
      <c r="Y487" s="145">
        <v>12000</v>
      </c>
      <c r="Z487" s="145">
        <v>12960</v>
      </c>
      <c r="AA487" s="142">
        <v>43499</v>
      </c>
      <c r="AB487" s="142">
        <v>43500</v>
      </c>
      <c r="AC487" s="142"/>
      <c r="AD487" s="141">
        <v>0</v>
      </c>
      <c r="AE487" s="141"/>
      <c r="AF487" s="141"/>
      <c r="AG487" s="141">
        <v>0</v>
      </c>
      <c r="AH487" s="141"/>
      <c r="AI487" s="141"/>
      <c r="AJ487" s="141">
        <v>0</v>
      </c>
      <c r="AK487" s="141"/>
      <c r="AL487" s="141"/>
      <c r="AM487" s="141" t="s">
        <v>290</v>
      </c>
      <c r="AN487" s="141" t="s">
        <v>1658</v>
      </c>
      <c r="AO487" s="142"/>
      <c r="AP487" s="141"/>
      <c r="AQ487" s="141"/>
      <c r="AR487" s="142"/>
      <c r="AS487" s="141"/>
      <c r="AT487" s="142"/>
      <c r="AU487" s="141"/>
      <c r="AV487" s="142"/>
      <c r="AW487" s="146"/>
      <c r="AX487" s="146"/>
      <c r="AY487" s="147">
        <v>56640</v>
      </c>
      <c r="AZ487" s="132">
        <f>ROUNDDOWN(AY487+(AY487*MASTER!$A$2/100),0)</f>
        <v>61171</v>
      </c>
      <c r="BA487" s="141"/>
      <c r="BB487" s="145"/>
      <c r="BC487" s="145">
        <v>0</v>
      </c>
      <c r="BD487" s="141"/>
      <c r="BE487" s="141"/>
      <c r="BF487" s="145"/>
      <c r="BG487" s="145">
        <v>0</v>
      </c>
      <c r="BH487" s="141"/>
      <c r="BI487" s="141" t="s">
        <v>276</v>
      </c>
      <c r="BJ487" s="145">
        <v>7800</v>
      </c>
      <c r="BK487" s="145">
        <v>8424</v>
      </c>
      <c r="BL487" s="141" t="s">
        <v>1659</v>
      </c>
      <c r="BM487" s="145"/>
      <c r="BN487" s="145"/>
      <c r="BO487" s="145"/>
      <c r="BP487" s="145"/>
      <c r="BQ487" s="145"/>
      <c r="BR487" s="145"/>
      <c r="BS487" s="145">
        <v>0</v>
      </c>
      <c r="BT487" s="148"/>
      <c r="BU487" s="148"/>
      <c r="BV487" s="149">
        <v>50760</v>
      </c>
      <c r="BW487" s="149">
        <v>8424</v>
      </c>
      <c r="BX487" s="149">
        <v>43482</v>
      </c>
      <c r="BY487" s="149">
        <v>42336</v>
      </c>
      <c r="BZ487" s="150">
        <v>83.40425531914893</v>
      </c>
      <c r="CA487" s="141"/>
      <c r="CB487" s="141"/>
      <c r="CC487" s="141"/>
      <c r="CD487" s="144" t="s">
        <v>1660</v>
      </c>
      <c r="CE487" s="142"/>
      <c r="CF487" s="142"/>
      <c r="CG487" s="142"/>
      <c r="CH487" s="142"/>
      <c r="CI487" s="142"/>
      <c r="CJ487" s="142"/>
      <c r="CK487" s="145">
        <v>0</v>
      </c>
    </row>
    <row r="488" spans="1:89" x14ac:dyDescent="0.15">
      <c r="A488" s="84">
        <v>2</v>
      </c>
      <c r="B488" s="85">
        <v>43535</v>
      </c>
      <c r="C488" s="85">
        <v>43544</v>
      </c>
      <c r="D488" s="85" t="s">
        <v>374</v>
      </c>
      <c r="E488" s="85">
        <v>43549</v>
      </c>
      <c r="F488" s="85">
        <v>43551</v>
      </c>
      <c r="G488" s="85">
        <v>43549</v>
      </c>
      <c r="H488" s="85">
        <v>43547</v>
      </c>
      <c r="I488" s="84" t="s">
        <v>1191</v>
      </c>
      <c r="J488" s="84">
        <v>1</v>
      </c>
      <c r="L488" s="84">
        <v>0</v>
      </c>
      <c r="M488" s="85">
        <v>43482</v>
      </c>
      <c r="N488" s="85" t="s">
        <v>265</v>
      </c>
      <c r="O488" s="86" t="s">
        <v>340</v>
      </c>
      <c r="P488" s="84" t="s">
        <v>26</v>
      </c>
      <c r="Q488" s="86" t="s">
        <v>40</v>
      </c>
      <c r="R488" s="86" t="s">
        <v>1661</v>
      </c>
      <c r="S488" s="87" t="s">
        <v>1662</v>
      </c>
      <c r="T488" s="87" t="s">
        <v>1663</v>
      </c>
      <c r="U488" s="88">
        <v>23900</v>
      </c>
      <c r="V488" s="88">
        <v>25812</v>
      </c>
      <c r="W488" s="88">
        <v>14700</v>
      </c>
      <c r="X488" s="88">
        <v>15876</v>
      </c>
      <c r="Y488" s="88">
        <v>9200</v>
      </c>
      <c r="Z488" s="88">
        <v>9936</v>
      </c>
      <c r="AA488" s="85">
        <v>43543</v>
      </c>
      <c r="AB488" s="85">
        <v>43544</v>
      </c>
      <c r="AC488" s="85">
        <v>43544</v>
      </c>
      <c r="AD488" s="84">
        <v>0</v>
      </c>
      <c r="AG488" s="84">
        <v>0</v>
      </c>
      <c r="AJ488" s="84">
        <v>0</v>
      </c>
      <c r="AM488" s="84" t="s">
        <v>290</v>
      </c>
      <c r="AN488" s="84" t="s">
        <v>1664</v>
      </c>
      <c r="AR488" s="85">
        <v>43501</v>
      </c>
      <c r="AS488" s="84">
        <v>6001644002</v>
      </c>
      <c r="AT488" s="85">
        <v>43501</v>
      </c>
      <c r="AU488" s="84" t="s">
        <v>1566</v>
      </c>
      <c r="AV488" s="85">
        <v>43544</v>
      </c>
      <c r="AW488" s="123">
        <v>43555</v>
      </c>
      <c r="AX488" s="123">
        <v>43575</v>
      </c>
      <c r="AY488" s="132">
        <v>22944</v>
      </c>
      <c r="AZ488" s="132">
        <f>ROUNDDOWN(AY488+(AY488*MASTER!$A$2/100),0)</f>
        <v>24779</v>
      </c>
      <c r="BA488" s="84" t="s">
        <v>778</v>
      </c>
      <c r="BC488" s="88">
        <v>0</v>
      </c>
      <c r="BG488" s="88">
        <v>0</v>
      </c>
      <c r="BI488" s="84" t="s">
        <v>434</v>
      </c>
      <c r="BJ488" s="88">
        <v>5980</v>
      </c>
      <c r="BK488" s="88">
        <v>6458.4</v>
      </c>
      <c r="BL488" s="84" t="s">
        <v>1268</v>
      </c>
      <c r="BS488" s="88">
        <v>0</v>
      </c>
      <c r="BV488" s="89">
        <v>15876</v>
      </c>
      <c r="BW488" s="89">
        <v>6458.4</v>
      </c>
      <c r="BX488" s="89">
        <v>43482</v>
      </c>
      <c r="BY488" s="89">
        <v>9417.6</v>
      </c>
      <c r="BZ488" s="112">
        <v>59.319727891156461</v>
      </c>
      <c r="CK488" s="88">
        <v>0</v>
      </c>
    </row>
    <row r="489" spans="1:89" x14ac:dyDescent="0.15">
      <c r="A489" s="84">
        <v>2</v>
      </c>
      <c r="B489" s="85">
        <v>43500</v>
      </c>
      <c r="C489" s="85">
        <v>43511</v>
      </c>
      <c r="D489" s="85">
        <v>43521</v>
      </c>
      <c r="F489" s="85">
        <v>43509</v>
      </c>
      <c r="G489" s="85">
        <v>43503</v>
      </c>
      <c r="H489" s="85">
        <v>43505</v>
      </c>
      <c r="I489" s="84" t="s">
        <v>401</v>
      </c>
      <c r="J489" s="84">
        <v>1</v>
      </c>
      <c r="L489" s="84">
        <v>0</v>
      </c>
      <c r="M489" s="85">
        <v>43482</v>
      </c>
      <c r="N489" s="85" t="s">
        <v>265</v>
      </c>
      <c r="O489" s="86" t="s">
        <v>340</v>
      </c>
      <c r="P489" s="84" t="s">
        <v>26</v>
      </c>
      <c r="Q489" s="86" t="s">
        <v>40</v>
      </c>
      <c r="R489" s="86" t="s">
        <v>1665</v>
      </c>
      <c r="S489" s="87" t="s">
        <v>1220</v>
      </c>
      <c r="T489" s="87" t="s">
        <v>828</v>
      </c>
      <c r="U489" s="88">
        <v>101300</v>
      </c>
      <c r="V489" s="88">
        <v>109404</v>
      </c>
      <c r="W489" s="88">
        <v>86300</v>
      </c>
      <c r="X489" s="88">
        <v>93204</v>
      </c>
      <c r="Y489" s="88">
        <v>15000</v>
      </c>
      <c r="Z489" s="88">
        <v>16200</v>
      </c>
      <c r="AA489" s="85">
        <v>43501</v>
      </c>
      <c r="AB489" s="85">
        <v>43502</v>
      </c>
      <c r="AC489" s="85">
        <v>43502</v>
      </c>
      <c r="AD489" s="84">
        <v>0</v>
      </c>
      <c r="AG489" s="84">
        <v>0</v>
      </c>
      <c r="AJ489" s="84">
        <v>0</v>
      </c>
      <c r="AN489" s="84" t="s">
        <v>338</v>
      </c>
      <c r="AR489" s="85">
        <v>43487</v>
      </c>
      <c r="AS489" s="84">
        <v>6001639675</v>
      </c>
      <c r="AT489" s="85">
        <v>43487</v>
      </c>
      <c r="AU489" s="84" t="s">
        <v>1594</v>
      </c>
      <c r="AV489" s="85">
        <v>43511</v>
      </c>
      <c r="AW489" s="123">
        <v>43524</v>
      </c>
      <c r="AX489" s="123">
        <v>43544</v>
      </c>
      <c r="AY489" s="132">
        <v>97248</v>
      </c>
      <c r="AZ489" s="132">
        <f>ROUNDDOWN(AY489+(AY489*MASTER!$A$2/100),0)</f>
        <v>105027</v>
      </c>
      <c r="BA489" s="84" t="s">
        <v>286</v>
      </c>
      <c r="BB489" s="88">
        <v>30000</v>
      </c>
      <c r="BC489" s="88">
        <v>32400</v>
      </c>
      <c r="BD489" s="84" t="s">
        <v>1233</v>
      </c>
      <c r="BG489" s="88">
        <v>0</v>
      </c>
      <c r="BI489" s="84" t="s">
        <v>434</v>
      </c>
      <c r="BJ489" s="88">
        <v>9750</v>
      </c>
      <c r="BK489" s="88">
        <v>10530</v>
      </c>
      <c r="BL489" s="84" t="s">
        <v>1233</v>
      </c>
      <c r="BS489" s="88">
        <v>0</v>
      </c>
      <c r="BV489" s="89">
        <v>93204</v>
      </c>
      <c r="BW489" s="89">
        <v>42930</v>
      </c>
      <c r="BX489" s="89">
        <v>43482</v>
      </c>
      <c r="BY489" s="89">
        <v>50274</v>
      </c>
      <c r="BZ489" s="112">
        <v>53.939745075318655</v>
      </c>
      <c r="CK489" s="88">
        <v>6300</v>
      </c>
    </row>
    <row r="490" spans="1:89" x14ac:dyDescent="0.15">
      <c r="A490" s="84">
        <v>2</v>
      </c>
      <c r="B490" s="85">
        <v>43496</v>
      </c>
      <c r="C490" s="85">
        <v>43503</v>
      </c>
      <c r="D490" s="85">
        <v>43521</v>
      </c>
      <c r="F490" s="85">
        <v>43510</v>
      </c>
      <c r="G490" s="85">
        <v>43503</v>
      </c>
      <c r="H490" s="85">
        <v>43506</v>
      </c>
      <c r="I490" s="84" t="s">
        <v>401</v>
      </c>
      <c r="J490" s="84">
        <v>1</v>
      </c>
      <c r="L490" s="84">
        <v>0</v>
      </c>
      <c r="M490" s="85">
        <v>43482</v>
      </c>
      <c r="N490" s="85" t="s">
        <v>265</v>
      </c>
      <c r="O490" s="86" t="s">
        <v>340</v>
      </c>
      <c r="P490" s="84" t="s">
        <v>26</v>
      </c>
      <c r="Q490" s="86" t="s">
        <v>40</v>
      </c>
      <c r="R490" s="86" t="s">
        <v>1666</v>
      </c>
      <c r="S490" s="87" t="s">
        <v>1667</v>
      </c>
      <c r="T490" s="87" t="s">
        <v>1668</v>
      </c>
      <c r="U490" s="88">
        <v>59000</v>
      </c>
      <c r="V490" s="88">
        <v>63720</v>
      </c>
      <c r="W490" s="88">
        <v>47000</v>
      </c>
      <c r="X490" s="88">
        <v>50760</v>
      </c>
      <c r="Y490" s="88">
        <v>12000</v>
      </c>
      <c r="Z490" s="88">
        <v>12960</v>
      </c>
      <c r="AA490" s="85">
        <v>43501</v>
      </c>
      <c r="AB490" s="85">
        <v>43503</v>
      </c>
      <c r="AC490" s="85">
        <v>43503</v>
      </c>
      <c r="AD490" s="84">
        <v>0</v>
      </c>
      <c r="AG490" s="84">
        <v>0</v>
      </c>
      <c r="AJ490" s="84">
        <v>0</v>
      </c>
      <c r="AM490" s="84" t="s">
        <v>290</v>
      </c>
      <c r="AN490" s="84" t="s">
        <v>1669</v>
      </c>
      <c r="AR490" s="85">
        <v>43494</v>
      </c>
      <c r="AS490" s="84">
        <v>6001641785</v>
      </c>
      <c r="AT490" s="85">
        <v>43494</v>
      </c>
      <c r="AU490" s="84" t="s">
        <v>1644</v>
      </c>
      <c r="AV490" s="85">
        <v>43503</v>
      </c>
      <c r="AW490" s="123">
        <v>43524</v>
      </c>
      <c r="AX490" s="123">
        <v>43544</v>
      </c>
      <c r="AY490" s="132">
        <v>56640</v>
      </c>
      <c r="AZ490" s="132">
        <f>ROUNDDOWN(AY490+(AY490*MASTER!$A$2/100),0)</f>
        <v>61171</v>
      </c>
      <c r="BA490" s="84" t="s">
        <v>286</v>
      </c>
      <c r="BB490" s="88">
        <v>28000</v>
      </c>
      <c r="BC490" s="88">
        <v>30240</v>
      </c>
      <c r="BD490" s="84" t="s">
        <v>1233</v>
      </c>
      <c r="BG490" s="88">
        <v>0</v>
      </c>
      <c r="BI490" s="84" t="s">
        <v>434</v>
      </c>
      <c r="BJ490" s="88">
        <v>7800</v>
      </c>
      <c r="BK490" s="88">
        <v>8424</v>
      </c>
      <c r="BL490" s="84" t="s">
        <v>1233</v>
      </c>
      <c r="BS490" s="88">
        <v>0</v>
      </c>
      <c r="BV490" s="89">
        <v>50760</v>
      </c>
      <c r="BW490" s="89">
        <v>38664</v>
      </c>
      <c r="BX490" s="89">
        <v>43482</v>
      </c>
      <c r="BY490" s="89">
        <v>12096</v>
      </c>
      <c r="BZ490" s="112">
        <v>23.829787234042556</v>
      </c>
      <c r="CK490" s="88">
        <v>0</v>
      </c>
    </row>
    <row r="491" spans="1:89" x14ac:dyDescent="0.15">
      <c r="A491" s="84">
        <v>2</v>
      </c>
      <c r="B491" s="85">
        <v>43510</v>
      </c>
      <c r="C491" s="85">
        <v>43518</v>
      </c>
      <c r="D491" s="85">
        <v>43522</v>
      </c>
      <c r="F491" s="85">
        <v>43525</v>
      </c>
      <c r="G491" s="85">
        <v>43517</v>
      </c>
      <c r="H491" s="85">
        <v>43521</v>
      </c>
      <c r="I491" s="84" t="s">
        <v>401</v>
      </c>
      <c r="J491" s="84">
        <v>1</v>
      </c>
      <c r="L491" s="84">
        <v>0</v>
      </c>
      <c r="M491" s="85">
        <v>43482</v>
      </c>
      <c r="N491" s="85" t="s">
        <v>265</v>
      </c>
      <c r="O491" s="86" t="s">
        <v>340</v>
      </c>
      <c r="P491" s="84" t="s">
        <v>26</v>
      </c>
      <c r="Q491" s="86" t="s">
        <v>40</v>
      </c>
      <c r="R491" s="86" t="s">
        <v>1670</v>
      </c>
      <c r="S491" s="87" t="s">
        <v>1085</v>
      </c>
      <c r="T491" s="87" t="s">
        <v>1010</v>
      </c>
      <c r="U491" s="88">
        <v>85500</v>
      </c>
      <c r="V491" s="88">
        <v>92340</v>
      </c>
      <c r="W491" s="88">
        <v>76300</v>
      </c>
      <c r="X491" s="88">
        <v>82404</v>
      </c>
      <c r="Y491" s="88">
        <v>9200</v>
      </c>
      <c r="Z491" s="88">
        <v>9936</v>
      </c>
      <c r="AA491" s="85">
        <v>43516</v>
      </c>
      <c r="AB491" s="85">
        <v>43518</v>
      </c>
      <c r="AC491" s="85">
        <v>43518</v>
      </c>
      <c r="AD491" s="84">
        <v>0</v>
      </c>
      <c r="AG491" s="84">
        <v>0</v>
      </c>
      <c r="AJ491" s="84">
        <v>0</v>
      </c>
      <c r="AM491" s="84" t="s">
        <v>290</v>
      </c>
      <c r="AN491" s="84" t="s">
        <v>1671</v>
      </c>
      <c r="AR491" s="85">
        <v>43504</v>
      </c>
      <c r="AS491" s="84">
        <v>6001645543</v>
      </c>
      <c r="AT491" s="85">
        <v>43509</v>
      </c>
      <c r="AU491" s="84" t="s">
        <v>1672</v>
      </c>
      <c r="AV491" s="85">
        <v>43518</v>
      </c>
      <c r="AW491" s="123">
        <v>43524</v>
      </c>
      <c r="AX491" s="123">
        <v>43544</v>
      </c>
      <c r="AY491" s="132">
        <v>82080</v>
      </c>
      <c r="AZ491" s="132">
        <f>ROUNDDOWN(AY491+(AY491*MASTER!$A$2/100),0)</f>
        <v>88646</v>
      </c>
      <c r="BA491" s="84" t="s">
        <v>543</v>
      </c>
      <c r="BB491" s="88">
        <v>42600</v>
      </c>
      <c r="BC491" s="88">
        <v>46008</v>
      </c>
      <c r="BD491" s="84" t="s">
        <v>1233</v>
      </c>
      <c r="BG491" s="88">
        <v>0</v>
      </c>
      <c r="BI491" s="84" t="s">
        <v>276</v>
      </c>
      <c r="BJ491" s="88">
        <v>5980</v>
      </c>
      <c r="BK491" s="88">
        <v>6458.4</v>
      </c>
      <c r="BL491" s="84" t="s">
        <v>1567</v>
      </c>
      <c r="BS491" s="88">
        <v>0</v>
      </c>
      <c r="BV491" s="89">
        <v>82404</v>
      </c>
      <c r="BW491" s="89">
        <v>52466.400000000001</v>
      </c>
      <c r="BX491" s="89">
        <v>43482</v>
      </c>
      <c r="BY491" s="89">
        <v>29937.599999999999</v>
      </c>
      <c r="BZ491" s="112">
        <v>36.330275229357795</v>
      </c>
      <c r="CK491" s="88">
        <v>6300</v>
      </c>
    </row>
    <row r="492" spans="1:89" s="151" customFormat="1" x14ac:dyDescent="0.15">
      <c r="A492" s="141">
        <v>3</v>
      </c>
      <c r="B492" s="142"/>
      <c r="C492" s="142" t="s">
        <v>338</v>
      </c>
      <c r="D492" s="142"/>
      <c r="E492" s="142"/>
      <c r="F492" s="142" t="s">
        <v>338</v>
      </c>
      <c r="G492" s="142"/>
      <c r="H492" s="142" t="s">
        <v>338</v>
      </c>
      <c r="I492" s="141"/>
      <c r="J492" s="141">
        <v>1</v>
      </c>
      <c r="K492" s="142"/>
      <c r="L492" s="141">
        <v>0</v>
      </c>
      <c r="M492" s="142">
        <v>43482</v>
      </c>
      <c r="N492" s="142" t="s">
        <v>265</v>
      </c>
      <c r="O492" s="143" t="s">
        <v>340</v>
      </c>
      <c r="P492" s="141" t="s">
        <v>26</v>
      </c>
      <c r="Q492" s="143" t="s">
        <v>40</v>
      </c>
      <c r="R492" s="143" t="s">
        <v>1673</v>
      </c>
      <c r="S492" s="144" t="s">
        <v>1324</v>
      </c>
      <c r="T492" s="144" t="s">
        <v>1583</v>
      </c>
      <c r="U492" s="145">
        <v>59000</v>
      </c>
      <c r="V492" s="145">
        <v>63720</v>
      </c>
      <c r="W492" s="145">
        <v>47000</v>
      </c>
      <c r="X492" s="145">
        <v>50760</v>
      </c>
      <c r="Y492" s="145">
        <v>12000</v>
      </c>
      <c r="Z492" s="145">
        <v>12960</v>
      </c>
      <c r="AA492" s="142"/>
      <c r="AB492" s="142"/>
      <c r="AC492" s="142"/>
      <c r="AD492" s="141">
        <v>0</v>
      </c>
      <c r="AE492" s="141"/>
      <c r="AF492" s="141"/>
      <c r="AG492" s="141">
        <v>0</v>
      </c>
      <c r="AH492" s="141"/>
      <c r="AI492" s="141"/>
      <c r="AJ492" s="141">
        <v>0</v>
      </c>
      <c r="AK492" s="141"/>
      <c r="AL492" s="141"/>
      <c r="AM492" s="141" t="s">
        <v>290</v>
      </c>
      <c r="AN492" s="141" t="s">
        <v>1674</v>
      </c>
      <c r="AO492" s="142"/>
      <c r="AP492" s="141"/>
      <c r="AQ492" s="141"/>
      <c r="AR492" s="142"/>
      <c r="AS492" s="141"/>
      <c r="AT492" s="142"/>
      <c r="AU492" s="141"/>
      <c r="AV492" s="142"/>
      <c r="AW492" s="146"/>
      <c r="AX492" s="146"/>
      <c r="AY492" s="147">
        <v>56640</v>
      </c>
      <c r="AZ492" s="132">
        <f>ROUNDDOWN(AY492+(AY492*MASTER!$A$2/100),0)</f>
        <v>61171</v>
      </c>
      <c r="BA492" s="141"/>
      <c r="BB492" s="145"/>
      <c r="BC492" s="145">
        <v>0</v>
      </c>
      <c r="BD492" s="141"/>
      <c r="BE492" s="141"/>
      <c r="BF492" s="145"/>
      <c r="BG492" s="145">
        <v>0</v>
      </c>
      <c r="BH492" s="141"/>
      <c r="BI492" s="141"/>
      <c r="BJ492" s="145"/>
      <c r="BK492" s="145">
        <v>0</v>
      </c>
      <c r="BL492" s="141"/>
      <c r="BM492" s="145"/>
      <c r="BN492" s="145"/>
      <c r="BO492" s="145"/>
      <c r="BP492" s="145"/>
      <c r="BQ492" s="145"/>
      <c r="BR492" s="145"/>
      <c r="BS492" s="145">
        <v>0</v>
      </c>
      <c r="BT492" s="148"/>
      <c r="BU492" s="148"/>
      <c r="BV492" s="149">
        <v>50760</v>
      </c>
      <c r="BW492" s="149">
        <v>0</v>
      </c>
      <c r="BX492" s="149">
        <v>43482</v>
      </c>
      <c r="BY492" s="149">
        <v>50760</v>
      </c>
      <c r="BZ492" s="150">
        <v>100</v>
      </c>
      <c r="CA492" s="141"/>
      <c r="CB492" s="141"/>
      <c r="CC492" s="141"/>
      <c r="CD492" s="144" t="s">
        <v>1585</v>
      </c>
      <c r="CE492" s="142"/>
      <c r="CF492" s="142"/>
      <c r="CG492" s="142"/>
      <c r="CH492" s="142"/>
      <c r="CI492" s="142"/>
      <c r="CJ492" s="142"/>
      <c r="CK492" s="145">
        <v>0</v>
      </c>
    </row>
    <row r="493" spans="1:89" s="151" customFormat="1" x14ac:dyDescent="0.15">
      <c r="A493" s="141">
        <v>3</v>
      </c>
      <c r="B493" s="142"/>
      <c r="C493" s="142" t="s">
        <v>338</v>
      </c>
      <c r="D493" s="142"/>
      <c r="E493" s="142"/>
      <c r="F493" s="142" t="s">
        <v>338</v>
      </c>
      <c r="G493" s="142"/>
      <c r="H493" s="142" t="s">
        <v>338</v>
      </c>
      <c r="I493" s="141"/>
      <c r="J493" s="141">
        <v>2</v>
      </c>
      <c r="K493" s="142"/>
      <c r="L493" s="141">
        <v>0</v>
      </c>
      <c r="M493" s="142">
        <v>43482</v>
      </c>
      <c r="N493" s="142" t="s">
        <v>265</v>
      </c>
      <c r="O493" s="143" t="s">
        <v>340</v>
      </c>
      <c r="P493" s="141" t="s">
        <v>26</v>
      </c>
      <c r="Q493" s="143" t="s">
        <v>40</v>
      </c>
      <c r="R493" s="143" t="s">
        <v>1675</v>
      </c>
      <c r="S493" s="144" t="s">
        <v>351</v>
      </c>
      <c r="T493" s="144" t="s">
        <v>1676</v>
      </c>
      <c r="U493" s="145">
        <v>30000</v>
      </c>
      <c r="V493" s="145">
        <v>32400</v>
      </c>
      <c r="W493" s="145">
        <v>30000</v>
      </c>
      <c r="X493" s="145">
        <v>32400</v>
      </c>
      <c r="Y493" s="145"/>
      <c r="Z493" s="145">
        <v>0</v>
      </c>
      <c r="AA493" s="142">
        <v>43490</v>
      </c>
      <c r="AB493" s="142"/>
      <c r="AC493" s="142"/>
      <c r="AD493" s="141">
        <v>0</v>
      </c>
      <c r="AE493" s="141"/>
      <c r="AF493" s="141"/>
      <c r="AG493" s="141">
        <v>0</v>
      </c>
      <c r="AH493" s="141"/>
      <c r="AI493" s="141"/>
      <c r="AJ493" s="141">
        <v>0</v>
      </c>
      <c r="AK493" s="141"/>
      <c r="AL493" s="141"/>
      <c r="AM493" s="141"/>
      <c r="AN493" s="141"/>
      <c r="AO493" s="142"/>
      <c r="AP493" s="141"/>
      <c r="AQ493" s="141"/>
      <c r="AR493" s="142"/>
      <c r="AS493" s="141"/>
      <c r="AT493" s="142"/>
      <c r="AU493" s="141"/>
      <c r="AV493" s="142"/>
      <c r="AW493" s="146"/>
      <c r="AX493" s="146"/>
      <c r="AY493" s="147">
        <v>28800</v>
      </c>
      <c r="AZ493" s="132">
        <f>ROUNDDOWN(AY493+(AY493*MASTER!$A$2/100),0)</f>
        <v>31104</v>
      </c>
      <c r="BA493" s="141"/>
      <c r="BB493" s="145"/>
      <c r="BC493" s="145">
        <v>0</v>
      </c>
      <c r="BD493" s="141"/>
      <c r="BE493" s="141"/>
      <c r="BF493" s="145"/>
      <c r="BG493" s="145">
        <v>0</v>
      </c>
      <c r="BH493" s="141"/>
      <c r="BI493" s="141"/>
      <c r="BJ493" s="145"/>
      <c r="BK493" s="145">
        <v>0</v>
      </c>
      <c r="BL493" s="141"/>
      <c r="BM493" s="145"/>
      <c r="BN493" s="145"/>
      <c r="BO493" s="145"/>
      <c r="BP493" s="145"/>
      <c r="BQ493" s="145"/>
      <c r="BR493" s="145"/>
      <c r="BS493" s="145">
        <v>0</v>
      </c>
      <c r="BT493" s="148"/>
      <c r="BU493" s="148"/>
      <c r="BV493" s="149">
        <v>32400</v>
      </c>
      <c r="BW493" s="149">
        <v>0</v>
      </c>
      <c r="BX493" s="149">
        <v>43482</v>
      </c>
      <c r="BY493" s="149">
        <v>32400</v>
      </c>
      <c r="BZ493" s="150">
        <v>100</v>
      </c>
      <c r="CA493" s="141"/>
      <c r="CB493" s="141"/>
      <c r="CC493" s="141"/>
      <c r="CD493" s="144" t="s">
        <v>3630</v>
      </c>
      <c r="CE493" s="142"/>
      <c r="CF493" s="142"/>
      <c r="CG493" s="142"/>
      <c r="CH493" s="142"/>
      <c r="CI493" s="142"/>
      <c r="CJ493" s="142"/>
      <c r="CK493" s="145"/>
    </row>
    <row r="494" spans="1:89" x14ac:dyDescent="0.15">
      <c r="A494" s="84">
        <v>2</v>
      </c>
      <c r="B494" s="85">
        <v>43490</v>
      </c>
      <c r="C494" s="85">
        <v>43490</v>
      </c>
      <c r="D494" s="85">
        <v>43489</v>
      </c>
      <c r="E494" s="85">
        <v>43489</v>
      </c>
      <c r="F494" s="85" t="s">
        <v>338</v>
      </c>
      <c r="G494" s="85">
        <v>43489</v>
      </c>
      <c r="H494" s="85" t="s">
        <v>338</v>
      </c>
      <c r="I494" s="84" t="s">
        <v>547</v>
      </c>
      <c r="J494" s="84">
        <v>2</v>
      </c>
      <c r="L494" s="84">
        <v>0</v>
      </c>
      <c r="M494" s="85">
        <v>43483</v>
      </c>
      <c r="N494" s="85" t="s">
        <v>265</v>
      </c>
      <c r="O494" s="86" t="s">
        <v>340</v>
      </c>
      <c r="P494" s="84" t="s">
        <v>6</v>
      </c>
      <c r="Q494" s="86" t="s">
        <v>40</v>
      </c>
      <c r="R494" s="86" t="s">
        <v>1677</v>
      </c>
      <c r="S494" s="87" t="s">
        <v>793</v>
      </c>
      <c r="T494" s="87" t="s">
        <v>342</v>
      </c>
      <c r="U494" s="88">
        <v>35000</v>
      </c>
      <c r="V494" s="88">
        <v>37800</v>
      </c>
      <c r="W494" s="88">
        <v>35000</v>
      </c>
      <c r="X494" s="88">
        <v>37800</v>
      </c>
      <c r="Z494" s="88">
        <v>0</v>
      </c>
      <c r="AA494" s="85">
        <v>43488</v>
      </c>
      <c r="AB494" s="85">
        <v>43488</v>
      </c>
      <c r="AD494" s="84">
        <v>0</v>
      </c>
      <c r="AG494" s="84">
        <v>0</v>
      </c>
      <c r="AJ494" s="84">
        <v>0</v>
      </c>
      <c r="AR494" s="85">
        <v>43488</v>
      </c>
      <c r="AS494" s="84">
        <v>6001639885</v>
      </c>
      <c r="AT494" s="85">
        <v>43488</v>
      </c>
      <c r="AU494" s="84" t="s">
        <v>1597</v>
      </c>
      <c r="AV494" s="85">
        <v>43490</v>
      </c>
      <c r="AW494" s="123">
        <v>43496</v>
      </c>
      <c r="AX494" s="123">
        <v>43516</v>
      </c>
      <c r="AY494" s="132">
        <v>33600</v>
      </c>
      <c r="AZ494" s="132">
        <f>ROUNDDOWN(AY494+(AY494*MASTER!$A$2/100),0)</f>
        <v>36288</v>
      </c>
      <c r="BA494" s="84" t="s">
        <v>486</v>
      </c>
      <c r="BB494" s="88">
        <v>32000</v>
      </c>
      <c r="BC494" s="88">
        <v>34560</v>
      </c>
      <c r="BD494" s="84" t="s">
        <v>1559</v>
      </c>
      <c r="BG494" s="88">
        <v>0</v>
      </c>
      <c r="BK494" s="88">
        <v>0</v>
      </c>
      <c r="BS494" s="88">
        <v>0</v>
      </c>
      <c r="BV494" s="89">
        <v>37800</v>
      </c>
      <c r="BW494" s="89">
        <v>34560</v>
      </c>
      <c r="BX494" s="89">
        <v>43483</v>
      </c>
      <c r="BY494" s="89">
        <v>3240</v>
      </c>
      <c r="BZ494" s="112">
        <v>8.5714285714285712</v>
      </c>
    </row>
    <row r="495" spans="1:89" x14ac:dyDescent="0.15">
      <c r="A495" s="84">
        <v>2</v>
      </c>
      <c r="B495" s="85">
        <v>43490</v>
      </c>
      <c r="C495" s="85">
        <v>43490</v>
      </c>
      <c r="D495" s="85">
        <v>43483</v>
      </c>
      <c r="E495" s="85">
        <v>43483</v>
      </c>
      <c r="F495" s="85" t="s">
        <v>338</v>
      </c>
      <c r="G495" s="85">
        <v>43483</v>
      </c>
      <c r="H495" s="85" t="s">
        <v>338</v>
      </c>
      <c r="I495" s="84" t="s">
        <v>380</v>
      </c>
      <c r="J495" s="84">
        <v>2</v>
      </c>
      <c r="L495" s="84">
        <v>0</v>
      </c>
      <c r="M495" s="85">
        <v>43483</v>
      </c>
      <c r="N495" s="85" t="s">
        <v>265</v>
      </c>
      <c r="O495" s="86" t="s">
        <v>340</v>
      </c>
      <c r="P495" s="84" t="s">
        <v>6</v>
      </c>
      <c r="Q495" s="86" t="s">
        <v>40</v>
      </c>
      <c r="R495" s="86" t="s">
        <v>1678</v>
      </c>
      <c r="S495" s="87" t="s">
        <v>558</v>
      </c>
      <c r="T495" s="87" t="s">
        <v>342</v>
      </c>
      <c r="U495" s="88">
        <v>35000</v>
      </c>
      <c r="V495" s="88">
        <v>37800</v>
      </c>
      <c r="W495" s="88">
        <v>35000</v>
      </c>
      <c r="X495" s="88">
        <v>37800</v>
      </c>
      <c r="Z495" s="88">
        <v>0</v>
      </c>
      <c r="AA495" s="85">
        <v>43483</v>
      </c>
      <c r="AB495" s="85">
        <v>43483</v>
      </c>
      <c r="AD495" s="84">
        <v>0</v>
      </c>
      <c r="AG495" s="84">
        <v>0</v>
      </c>
      <c r="AJ495" s="84">
        <v>0</v>
      </c>
      <c r="AR495" s="85">
        <v>43488</v>
      </c>
      <c r="AS495" s="84">
        <v>6001639885</v>
      </c>
      <c r="AT495" s="85">
        <v>43488</v>
      </c>
      <c r="AU495" s="84" t="s">
        <v>1597</v>
      </c>
      <c r="AV495" s="85">
        <v>43490</v>
      </c>
      <c r="AW495" s="123">
        <v>43496</v>
      </c>
      <c r="AX495" s="123">
        <v>43516</v>
      </c>
      <c r="AY495" s="132">
        <v>33600</v>
      </c>
      <c r="AZ495" s="132">
        <f>ROUNDDOWN(AY495+(AY495*MASTER!$A$2/100),0)</f>
        <v>36288</v>
      </c>
      <c r="BA495" s="84" t="s">
        <v>287</v>
      </c>
      <c r="BB495" s="88">
        <v>21000</v>
      </c>
      <c r="BC495" s="88">
        <v>22680</v>
      </c>
      <c r="BD495" s="84" t="s">
        <v>1138</v>
      </c>
      <c r="BG495" s="88">
        <v>0</v>
      </c>
      <c r="BK495" s="88">
        <v>0</v>
      </c>
      <c r="BS495" s="88">
        <v>0</v>
      </c>
      <c r="BV495" s="89">
        <v>37800</v>
      </c>
      <c r="BW495" s="89">
        <v>22680</v>
      </c>
      <c r="BX495" s="89">
        <v>43483</v>
      </c>
      <c r="BY495" s="89">
        <v>15120</v>
      </c>
      <c r="BZ495" s="112">
        <v>40</v>
      </c>
    </row>
    <row r="496" spans="1:89" s="151" customFormat="1" x14ac:dyDescent="0.15">
      <c r="A496" s="141">
        <v>3</v>
      </c>
      <c r="B496" s="142"/>
      <c r="C496" s="142" t="s">
        <v>338</v>
      </c>
      <c r="D496" s="142"/>
      <c r="E496" s="142"/>
      <c r="F496" s="142" t="s">
        <v>338</v>
      </c>
      <c r="G496" s="142"/>
      <c r="H496" s="142" t="s">
        <v>338</v>
      </c>
      <c r="I496" s="141"/>
      <c r="J496" s="141">
        <v>3</v>
      </c>
      <c r="K496" s="142"/>
      <c r="L496" s="141">
        <v>0</v>
      </c>
      <c r="M496" s="142">
        <v>43483</v>
      </c>
      <c r="N496" s="142" t="s">
        <v>265</v>
      </c>
      <c r="O496" s="143" t="s">
        <v>340</v>
      </c>
      <c r="P496" s="141" t="s">
        <v>26</v>
      </c>
      <c r="Q496" s="143" t="s">
        <v>40</v>
      </c>
      <c r="R496" s="143" t="s">
        <v>1679</v>
      </c>
      <c r="S496" s="144" t="s">
        <v>1680</v>
      </c>
      <c r="T496" s="144" t="s">
        <v>1681</v>
      </c>
      <c r="U496" s="145">
        <v>80000</v>
      </c>
      <c r="V496" s="145">
        <v>86400</v>
      </c>
      <c r="W496" s="145"/>
      <c r="X496" s="145">
        <v>0</v>
      </c>
      <c r="Y496" s="145">
        <v>80000</v>
      </c>
      <c r="Z496" s="145">
        <v>86400</v>
      </c>
      <c r="AA496" s="142">
        <v>43487</v>
      </c>
      <c r="AB496" s="142">
        <v>43488</v>
      </c>
      <c r="AC496" s="142"/>
      <c r="AD496" s="141">
        <v>0</v>
      </c>
      <c r="AE496" s="141"/>
      <c r="AF496" s="141"/>
      <c r="AG496" s="141">
        <v>0</v>
      </c>
      <c r="AH496" s="141"/>
      <c r="AI496" s="141"/>
      <c r="AJ496" s="141">
        <v>0</v>
      </c>
      <c r="AK496" s="141"/>
      <c r="AL496" s="141"/>
      <c r="AM496" s="141"/>
      <c r="AN496" s="141" t="s">
        <v>338</v>
      </c>
      <c r="AO496" s="142"/>
      <c r="AP496" s="141"/>
      <c r="AQ496" s="141"/>
      <c r="AR496" s="142"/>
      <c r="AS496" s="141"/>
      <c r="AT496" s="142"/>
      <c r="AU496" s="141"/>
      <c r="AV496" s="142"/>
      <c r="AW496" s="146"/>
      <c r="AX496" s="146"/>
      <c r="AY496" s="147">
        <v>76800</v>
      </c>
      <c r="AZ496" s="132">
        <f>ROUNDDOWN(AY496+(AY496*MASTER!$A$2/100),0)</f>
        <v>82944</v>
      </c>
      <c r="BA496" s="141"/>
      <c r="BB496" s="145"/>
      <c r="BC496" s="145">
        <v>0</v>
      </c>
      <c r="BD496" s="141"/>
      <c r="BE496" s="141"/>
      <c r="BF496" s="145"/>
      <c r="BG496" s="145">
        <v>0</v>
      </c>
      <c r="BH496" s="141"/>
      <c r="BI496" s="141"/>
      <c r="BJ496" s="145"/>
      <c r="BK496" s="145">
        <v>0</v>
      </c>
      <c r="BL496" s="141"/>
      <c r="BM496" s="145"/>
      <c r="BN496" s="145"/>
      <c r="BO496" s="145"/>
      <c r="BP496" s="145"/>
      <c r="BQ496" s="145"/>
      <c r="BR496" s="145"/>
      <c r="BS496" s="145">
        <v>0</v>
      </c>
      <c r="BT496" s="148"/>
      <c r="BU496" s="148"/>
      <c r="BV496" s="149">
        <v>0</v>
      </c>
      <c r="BW496" s="149">
        <v>0</v>
      </c>
      <c r="BX496" s="149">
        <v>43483</v>
      </c>
      <c r="BY496" s="149">
        <v>0</v>
      </c>
      <c r="BZ496" s="150" t="s">
        <v>338</v>
      </c>
      <c r="CA496" s="141"/>
      <c r="CB496" s="141"/>
      <c r="CC496" s="141"/>
      <c r="CD496" s="144" t="s">
        <v>1682</v>
      </c>
      <c r="CE496" s="142"/>
      <c r="CF496" s="142"/>
      <c r="CG496" s="142"/>
      <c r="CH496" s="142"/>
      <c r="CI496" s="142"/>
      <c r="CJ496" s="142"/>
      <c r="CK496" s="145"/>
    </row>
    <row r="497" spans="1:89" x14ac:dyDescent="0.15">
      <c r="A497" s="84">
        <v>1</v>
      </c>
      <c r="C497" s="85">
        <v>43494</v>
      </c>
      <c r="F497" s="85" t="s">
        <v>338</v>
      </c>
      <c r="H497" s="85" t="s">
        <v>338</v>
      </c>
      <c r="J497" s="84">
        <v>3</v>
      </c>
      <c r="L497" s="84">
        <v>0</v>
      </c>
      <c r="M497" s="85">
        <v>43483</v>
      </c>
      <c r="N497" s="85" t="s">
        <v>265</v>
      </c>
      <c r="O497" s="86" t="s">
        <v>340</v>
      </c>
      <c r="P497" s="84" t="s">
        <v>26</v>
      </c>
      <c r="Q497" s="86" t="s">
        <v>40</v>
      </c>
      <c r="R497" s="86" t="s">
        <v>1683</v>
      </c>
      <c r="S497" s="87" t="s">
        <v>1680</v>
      </c>
      <c r="T497" s="87" t="s">
        <v>1684</v>
      </c>
      <c r="U497" s="88">
        <v>108000</v>
      </c>
      <c r="V497" s="88">
        <v>116640</v>
      </c>
      <c r="X497" s="88">
        <v>0</v>
      </c>
      <c r="Y497" s="88">
        <v>108000</v>
      </c>
      <c r="Z497" s="88">
        <v>116640</v>
      </c>
      <c r="AA497" s="85">
        <v>43487</v>
      </c>
      <c r="AB497" s="85">
        <v>43488</v>
      </c>
      <c r="AD497" s="84">
        <v>0</v>
      </c>
      <c r="AG497" s="84">
        <v>0</v>
      </c>
      <c r="AJ497" s="84">
        <v>0</v>
      </c>
      <c r="AN497" s="84" t="s">
        <v>338</v>
      </c>
      <c r="AR497" s="85">
        <v>43489</v>
      </c>
      <c r="AS497" s="84">
        <v>6001640645</v>
      </c>
      <c r="AT497" s="85">
        <v>43489</v>
      </c>
      <c r="AU497" s="84" t="s">
        <v>1685</v>
      </c>
      <c r="AV497" s="85">
        <v>43494</v>
      </c>
      <c r="AW497" s="123">
        <v>43496</v>
      </c>
      <c r="AX497" s="123">
        <v>43516</v>
      </c>
      <c r="AY497" s="132">
        <v>103680</v>
      </c>
      <c r="AZ497" s="132">
        <f>ROUNDDOWN(AY497+(AY497*MASTER!$A$2/100),0)</f>
        <v>111974</v>
      </c>
      <c r="BC497" s="88">
        <v>0</v>
      </c>
      <c r="BG497" s="88">
        <v>0</v>
      </c>
      <c r="BI497" s="84" t="s">
        <v>434</v>
      </c>
      <c r="BJ497" s="88">
        <v>58926</v>
      </c>
      <c r="BK497" s="88">
        <v>63640.08</v>
      </c>
      <c r="BL497" s="84" t="s">
        <v>1233</v>
      </c>
      <c r="BS497" s="88">
        <v>0</v>
      </c>
      <c r="BV497" s="89">
        <v>0</v>
      </c>
      <c r="BW497" s="89">
        <v>63640.08</v>
      </c>
      <c r="BX497" s="89">
        <v>43483</v>
      </c>
      <c r="BY497" s="89">
        <v>-63640.08</v>
      </c>
      <c r="BZ497" s="112" t="s">
        <v>338</v>
      </c>
    </row>
    <row r="498" spans="1:89" x14ac:dyDescent="0.15">
      <c r="A498" s="84">
        <v>2</v>
      </c>
      <c r="B498" s="85">
        <v>43490</v>
      </c>
      <c r="C498" s="85">
        <v>43490</v>
      </c>
      <c r="D498" s="85">
        <v>43489</v>
      </c>
      <c r="E498" s="85">
        <v>43489</v>
      </c>
      <c r="F498" s="85" t="s">
        <v>338</v>
      </c>
      <c r="G498" s="85">
        <v>43489</v>
      </c>
      <c r="H498" s="85" t="s">
        <v>338</v>
      </c>
      <c r="I498" s="84" t="s">
        <v>380</v>
      </c>
      <c r="J498" s="84">
        <v>2</v>
      </c>
      <c r="L498" s="84">
        <v>0</v>
      </c>
      <c r="M498" s="85">
        <v>43486</v>
      </c>
      <c r="N498" s="85" t="s">
        <v>265</v>
      </c>
      <c r="O498" s="86" t="s">
        <v>340</v>
      </c>
      <c r="P498" s="84" t="s">
        <v>6</v>
      </c>
      <c r="Q498" s="86" t="s">
        <v>40</v>
      </c>
      <c r="R498" s="86" t="s">
        <v>1686</v>
      </c>
      <c r="S498" s="87" t="s">
        <v>605</v>
      </c>
      <c r="T498" s="87" t="s">
        <v>342</v>
      </c>
      <c r="U498" s="88">
        <v>35000</v>
      </c>
      <c r="V498" s="88">
        <v>37800</v>
      </c>
      <c r="W498" s="88">
        <v>35000</v>
      </c>
      <c r="X498" s="88">
        <v>37800</v>
      </c>
      <c r="Z498" s="88">
        <v>0</v>
      </c>
      <c r="AA498" s="85">
        <v>43488</v>
      </c>
      <c r="AB498" s="85">
        <v>43488</v>
      </c>
      <c r="AD498" s="84">
        <v>0</v>
      </c>
      <c r="AG498" s="84">
        <v>0</v>
      </c>
      <c r="AJ498" s="84">
        <v>0</v>
      </c>
      <c r="AN498" s="84" t="s">
        <v>338</v>
      </c>
      <c r="AR498" s="85">
        <v>43488</v>
      </c>
      <c r="AS498" s="84">
        <v>6001639885</v>
      </c>
      <c r="AT498" s="85">
        <v>43488</v>
      </c>
      <c r="AU498" s="84" t="s">
        <v>1597</v>
      </c>
      <c r="AV498" s="85">
        <v>43490</v>
      </c>
      <c r="AW498" s="123">
        <v>43496</v>
      </c>
      <c r="AX498" s="123">
        <v>43516</v>
      </c>
      <c r="AY498" s="132">
        <v>33600</v>
      </c>
      <c r="AZ498" s="132">
        <f>ROUNDDOWN(AY498+(AY498*MASTER!$A$2/100),0)</f>
        <v>36288</v>
      </c>
      <c r="BA498" s="84" t="s">
        <v>287</v>
      </c>
      <c r="BB498" s="88">
        <v>24000</v>
      </c>
      <c r="BC498" s="88">
        <v>25920</v>
      </c>
      <c r="BD498" s="84" t="s">
        <v>1233</v>
      </c>
      <c r="BG498" s="88">
        <v>0</v>
      </c>
      <c r="BK498" s="88">
        <v>0</v>
      </c>
      <c r="BS498" s="88">
        <v>0</v>
      </c>
      <c r="BV498" s="89">
        <v>37800</v>
      </c>
      <c r="BW498" s="89">
        <v>25920</v>
      </c>
      <c r="BX498" s="89">
        <v>43486</v>
      </c>
      <c r="BY498" s="89">
        <v>11880</v>
      </c>
      <c r="BZ498" s="112">
        <v>31.428571428571427</v>
      </c>
      <c r="CK498" s="88">
        <v>0</v>
      </c>
    </row>
    <row r="499" spans="1:89" x14ac:dyDescent="0.15">
      <c r="A499" s="84">
        <v>2</v>
      </c>
      <c r="B499" s="85">
        <v>43490</v>
      </c>
      <c r="C499" s="85">
        <v>43494</v>
      </c>
      <c r="D499" s="85">
        <v>43493</v>
      </c>
      <c r="E499" s="85">
        <v>43493</v>
      </c>
      <c r="F499" s="85" t="s">
        <v>338</v>
      </c>
      <c r="G499" s="85">
        <v>43493</v>
      </c>
      <c r="H499" s="85" t="s">
        <v>338</v>
      </c>
      <c r="I499" s="84" t="s">
        <v>547</v>
      </c>
      <c r="J499" s="84">
        <v>2</v>
      </c>
      <c r="L499" s="84">
        <v>0</v>
      </c>
      <c r="M499" s="85">
        <v>43486</v>
      </c>
      <c r="N499" s="85" t="s">
        <v>265</v>
      </c>
      <c r="O499" s="86" t="s">
        <v>340</v>
      </c>
      <c r="P499" s="84" t="s">
        <v>6</v>
      </c>
      <c r="Q499" s="86" t="s">
        <v>40</v>
      </c>
      <c r="R499" s="86" t="s">
        <v>1687</v>
      </c>
      <c r="S499" s="87" t="s">
        <v>1688</v>
      </c>
      <c r="T499" s="87" t="s">
        <v>342</v>
      </c>
      <c r="U499" s="88">
        <v>35000</v>
      </c>
      <c r="V499" s="88">
        <v>37800</v>
      </c>
      <c r="W499" s="88">
        <v>35000</v>
      </c>
      <c r="X499" s="88">
        <v>37800</v>
      </c>
      <c r="Z499" s="88">
        <v>0</v>
      </c>
      <c r="AA499" s="85">
        <v>43488</v>
      </c>
      <c r="AB499" s="85">
        <v>43488</v>
      </c>
      <c r="AD499" s="84">
        <v>0</v>
      </c>
      <c r="AG499" s="84">
        <v>0</v>
      </c>
      <c r="AJ499" s="84">
        <v>0</v>
      </c>
      <c r="AR499" s="85">
        <v>43488</v>
      </c>
      <c r="AS499" s="84">
        <v>6001639885</v>
      </c>
      <c r="AT499" s="85">
        <v>43488</v>
      </c>
      <c r="AU499" s="84" t="s">
        <v>1597</v>
      </c>
      <c r="AV499" s="85">
        <v>43494</v>
      </c>
      <c r="AW499" s="123">
        <v>43496</v>
      </c>
      <c r="AX499" s="123">
        <v>43516</v>
      </c>
      <c r="AY499" s="132">
        <v>33600</v>
      </c>
      <c r="AZ499" s="132">
        <f>ROUNDDOWN(AY499+(AY499*MASTER!$A$2/100),0)</f>
        <v>36288</v>
      </c>
      <c r="BA499" s="84" t="s">
        <v>1689</v>
      </c>
      <c r="BB499" s="88">
        <v>21000</v>
      </c>
      <c r="BC499" s="88">
        <v>22680</v>
      </c>
      <c r="BD499" s="84" t="s">
        <v>1559</v>
      </c>
      <c r="BG499" s="88">
        <v>0</v>
      </c>
      <c r="BK499" s="88">
        <v>0</v>
      </c>
      <c r="BS499" s="88">
        <v>0</v>
      </c>
      <c r="BV499" s="89">
        <v>37800</v>
      </c>
      <c r="BW499" s="89">
        <v>22680</v>
      </c>
      <c r="BX499" s="89">
        <v>43486</v>
      </c>
      <c r="BY499" s="89">
        <v>15120</v>
      </c>
      <c r="BZ499" s="112">
        <v>40</v>
      </c>
    </row>
    <row r="500" spans="1:89" x14ac:dyDescent="0.15">
      <c r="A500" s="84">
        <v>1</v>
      </c>
      <c r="B500" s="85">
        <v>43564</v>
      </c>
      <c r="C500" s="85">
        <v>43581</v>
      </c>
      <c r="F500" s="85" t="s">
        <v>338</v>
      </c>
      <c r="H500" s="85" t="s">
        <v>338</v>
      </c>
      <c r="J500" s="84">
        <v>2</v>
      </c>
      <c r="K500" s="85">
        <v>43552</v>
      </c>
      <c r="L500" s="84" t="s">
        <v>818</v>
      </c>
      <c r="M500" s="85">
        <v>43486</v>
      </c>
      <c r="N500" s="85" t="s">
        <v>265</v>
      </c>
      <c r="O500" s="86" t="s">
        <v>340</v>
      </c>
      <c r="P500" s="84" t="s">
        <v>272</v>
      </c>
      <c r="Q500" s="86" t="s">
        <v>40</v>
      </c>
      <c r="R500" s="86" t="s">
        <v>1690</v>
      </c>
      <c r="S500" s="87" t="s">
        <v>1688</v>
      </c>
      <c r="T500" s="87" t="s">
        <v>1691</v>
      </c>
      <c r="U500" s="88">
        <v>3000</v>
      </c>
      <c r="V500" s="88">
        <v>3240</v>
      </c>
      <c r="W500" s="88">
        <v>3000</v>
      </c>
      <c r="X500" s="88">
        <v>3240</v>
      </c>
      <c r="Z500" s="88">
        <v>0</v>
      </c>
      <c r="AA500" s="85">
        <v>43483</v>
      </c>
      <c r="AD500" s="84">
        <v>0</v>
      </c>
      <c r="AG500" s="84">
        <v>0</v>
      </c>
      <c r="AJ500" s="84">
        <v>0</v>
      </c>
      <c r="AR500" s="85">
        <v>43563</v>
      </c>
      <c r="AS500" s="84">
        <v>6001664890</v>
      </c>
      <c r="AT500" s="85">
        <v>43563</v>
      </c>
      <c r="AU500" s="84" t="s">
        <v>1692</v>
      </c>
      <c r="AV500" s="85">
        <v>43581</v>
      </c>
      <c r="AW500" s="123">
        <v>43585</v>
      </c>
      <c r="AX500" s="123">
        <v>43605</v>
      </c>
      <c r="AY500" s="132">
        <v>2880</v>
      </c>
      <c r="AZ500" s="132">
        <f>ROUNDDOWN(AY500+(AY500*MASTER!$A$2/100),0)</f>
        <v>3110</v>
      </c>
      <c r="BC500" s="88">
        <v>0</v>
      </c>
      <c r="BG500" s="88">
        <v>0</v>
      </c>
      <c r="BK500" s="88">
        <v>0</v>
      </c>
      <c r="BS500" s="88">
        <v>0</v>
      </c>
      <c r="BV500" s="89">
        <v>3240</v>
      </c>
      <c r="BW500" s="89">
        <v>0</v>
      </c>
      <c r="BX500" s="89">
        <v>0</v>
      </c>
      <c r="BY500" s="89">
        <v>43552</v>
      </c>
      <c r="BZ500" s="112">
        <v>100</v>
      </c>
    </row>
    <row r="501" spans="1:89" x14ac:dyDescent="0.15">
      <c r="A501" s="84">
        <v>1</v>
      </c>
      <c r="C501" s="85" t="s">
        <v>338</v>
      </c>
      <c r="F501" s="85" t="s">
        <v>338</v>
      </c>
      <c r="H501" s="85" t="s">
        <v>338</v>
      </c>
      <c r="J501" s="84">
        <v>4</v>
      </c>
      <c r="L501" s="84">
        <v>0</v>
      </c>
      <c r="M501" s="85">
        <v>43486</v>
      </c>
      <c r="N501" s="85" t="s">
        <v>265</v>
      </c>
      <c r="O501" s="86" t="s">
        <v>340</v>
      </c>
      <c r="P501" s="84" t="s">
        <v>272</v>
      </c>
      <c r="Q501" s="86" t="s">
        <v>40</v>
      </c>
      <c r="R501" s="86" t="s">
        <v>1693</v>
      </c>
      <c r="S501" s="87" t="s">
        <v>926</v>
      </c>
      <c r="T501" s="87" t="s">
        <v>1694</v>
      </c>
      <c r="U501" s="88">
        <v>0</v>
      </c>
      <c r="V501" s="88">
        <v>0</v>
      </c>
      <c r="W501" s="88">
        <v>0</v>
      </c>
      <c r="X501" s="88">
        <v>0</v>
      </c>
      <c r="Y501" s="88">
        <v>0</v>
      </c>
      <c r="Z501" s="88">
        <v>0</v>
      </c>
      <c r="AA501" s="85">
        <v>43459</v>
      </c>
      <c r="AD501" s="84">
        <v>0</v>
      </c>
      <c r="AG501" s="84">
        <v>0</v>
      </c>
      <c r="AJ501" s="84">
        <v>0</v>
      </c>
      <c r="AY501" s="132">
        <v>0</v>
      </c>
      <c r="AZ501" s="132">
        <f>ROUNDDOWN(AY501+(AY501*MASTER!$A$2/100),0)</f>
        <v>0</v>
      </c>
      <c r="BC501" s="88">
        <v>0</v>
      </c>
      <c r="BG501" s="88">
        <v>0</v>
      </c>
      <c r="BI501" s="84" t="s">
        <v>434</v>
      </c>
      <c r="BJ501" s="88">
        <v>2730</v>
      </c>
      <c r="BK501" s="88">
        <v>2948.4</v>
      </c>
      <c r="BL501" s="84" t="s">
        <v>1421</v>
      </c>
      <c r="BS501" s="88">
        <v>0</v>
      </c>
      <c r="BV501" s="89">
        <v>0</v>
      </c>
      <c r="BW501" s="89">
        <v>2948.4</v>
      </c>
      <c r="BX501" s="89">
        <v>43486</v>
      </c>
      <c r="BY501" s="89">
        <v>-2948.4</v>
      </c>
      <c r="BZ501" s="112" t="s">
        <v>338</v>
      </c>
    </row>
    <row r="502" spans="1:89" x14ac:dyDescent="0.15">
      <c r="A502" s="84">
        <v>1</v>
      </c>
      <c r="C502" s="85" t="s">
        <v>338</v>
      </c>
      <c r="F502" s="85" t="s">
        <v>338</v>
      </c>
      <c r="H502" s="85" t="s">
        <v>338</v>
      </c>
      <c r="J502" s="84">
        <v>4</v>
      </c>
      <c r="L502" s="84">
        <v>0</v>
      </c>
      <c r="M502" s="85">
        <v>43486</v>
      </c>
      <c r="N502" s="85" t="s">
        <v>265</v>
      </c>
      <c r="O502" s="86" t="s">
        <v>340</v>
      </c>
      <c r="P502" s="84" t="s">
        <v>272</v>
      </c>
      <c r="Q502" s="86" t="s">
        <v>40</v>
      </c>
      <c r="R502" s="86" t="s">
        <v>1695</v>
      </c>
      <c r="S502" s="87" t="s">
        <v>1270</v>
      </c>
      <c r="T502" s="87" t="s">
        <v>1694</v>
      </c>
      <c r="U502" s="88">
        <v>0</v>
      </c>
      <c r="V502" s="88">
        <v>0</v>
      </c>
      <c r="W502" s="88">
        <v>0</v>
      </c>
      <c r="X502" s="88">
        <v>0</v>
      </c>
      <c r="Y502" s="88">
        <v>0</v>
      </c>
      <c r="Z502" s="88">
        <v>0</v>
      </c>
      <c r="AA502" s="85">
        <v>43459</v>
      </c>
      <c r="AD502" s="84">
        <v>0</v>
      </c>
      <c r="AG502" s="84">
        <v>0</v>
      </c>
      <c r="AJ502" s="84">
        <v>0</v>
      </c>
      <c r="AY502" s="132">
        <v>0</v>
      </c>
      <c r="AZ502" s="132">
        <f>ROUNDDOWN(AY502+(AY502*MASTER!$A$2/100),0)</f>
        <v>0</v>
      </c>
      <c r="BC502" s="88">
        <v>0</v>
      </c>
      <c r="BG502" s="88">
        <v>0</v>
      </c>
      <c r="BI502" s="84" t="s">
        <v>434</v>
      </c>
      <c r="BJ502" s="88">
        <v>11050</v>
      </c>
      <c r="BK502" s="88">
        <v>11934</v>
      </c>
      <c r="BL502" s="84" t="s">
        <v>1421</v>
      </c>
      <c r="BS502" s="88">
        <v>0</v>
      </c>
      <c r="BV502" s="89">
        <v>0</v>
      </c>
      <c r="BW502" s="89">
        <v>11934</v>
      </c>
      <c r="BX502" s="89">
        <v>43486</v>
      </c>
      <c r="BY502" s="89">
        <v>-11934</v>
      </c>
      <c r="BZ502" s="112" t="s">
        <v>338</v>
      </c>
    </row>
    <row r="503" spans="1:89" x14ac:dyDescent="0.15">
      <c r="A503" s="84">
        <v>2</v>
      </c>
      <c r="B503" s="85">
        <v>43490</v>
      </c>
      <c r="C503" s="85">
        <v>43490</v>
      </c>
      <c r="D503" s="85">
        <v>43487</v>
      </c>
      <c r="E503" s="85">
        <v>43487</v>
      </c>
      <c r="F503" s="85" t="s">
        <v>338</v>
      </c>
      <c r="G503" s="85">
        <v>43487</v>
      </c>
      <c r="H503" s="85" t="s">
        <v>338</v>
      </c>
      <c r="I503" s="84" t="s">
        <v>380</v>
      </c>
      <c r="J503" s="84">
        <v>2</v>
      </c>
      <c r="L503" s="84">
        <v>0</v>
      </c>
      <c r="M503" s="85">
        <v>43486</v>
      </c>
      <c r="N503" s="85" t="s">
        <v>265</v>
      </c>
      <c r="O503" s="86" t="s">
        <v>340</v>
      </c>
      <c r="P503" s="84" t="s">
        <v>6</v>
      </c>
      <c r="Q503" s="86" t="s">
        <v>40</v>
      </c>
      <c r="R503" s="86" t="s">
        <v>1696</v>
      </c>
      <c r="S503" s="87" t="s">
        <v>1697</v>
      </c>
      <c r="T503" s="87" t="s">
        <v>342</v>
      </c>
      <c r="U503" s="88">
        <v>35000</v>
      </c>
      <c r="V503" s="88">
        <v>37800</v>
      </c>
      <c r="W503" s="88">
        <v>35000</v>
      </c>
      <c r="X503" s="88">
        <v>37800</v>
      </c>
      <c r="Z503" s="88">
        <v>0</v>
      </c>
      <c r="AA503" s="85">
        <v>43486</v>
      </c>
      <c r="AB503" s="85">
        <v>43486</v>
      </c>
      <c r="AD503" s="84">
        <v>0</v>
      </c>
      <c r="AG503" s="84">
        <v>0</v>
      </c>
      <c r="AJ503" s="84">
        <v>0</v>
      </c>
      <c r="AR503" s="85">
        <v>43488</v>
      </c>
      <c r="AS503" s="84">
        <v>6001639885</v>
      </c>
      <c r="AT503" s="85">
        <v>43488</v>
      </c>
      <c r="AU503" s="84" t="s">
        <v>1597</v>
      </c>
      <c r="AV503" s="85">
        <v>43490</v>
      </c>
      <c r="AW503" s="123">
        <v>43496</v>
      </c>
      <c r="AX503" s="123">
        <v>43516</v>
      </c>
      <c r="AY503" s="132">
        <v>33600</v>
      </c>
      <c r="AZ503" s="132">
        <f>ROUNDDOWN(AY503+(AY503*MASTER!$A$2/100),0)</f>
        <v>36288</v>
      </c>
      <c r="BA503" s="84" t="s">
        <v>400</v>
      </c>
      <c r="BB503" s="88">
        <v>21000</v>
      </c>
      <c r="BC503" s="88">
        <v>22680</v>
      </c>
      <c r="BD503" s="84" t="s">
        <v>1233</v>
      </c>
      <c r="BG503" s="88">
        <v>0</v>
      </c>
      <c r="BK503" s="88">
        <v>0</v>
      </c>
      <c r="BS503" s="88">
        <v>0</v>
      </c>
      <c r="BV503" s="89">
        <v>37800</v>
      </c>
      <c r="BW503" s="89">
        <v>22680</v>
      </c>
      <c r="BX503" s="89">
        <v>43486</v>
      </c>
      <c r="BY503" s="89">
        <v>15120</v>
      </c>
      <c r="BZ503" s="112">
        <v>40</v>
      </c>
    </row>
    <row r="504" spans="1:89" s="151" customFormat="1" x14ac:dyDescent="0.15">
      <c r="A504" s="141">
        <v>3</v>
      </c>
      <c r="B504" s="142"/>
      <c r="C504" s="142" t="s">
        <v>338</v>
      </c>
      <c r="D504" s="142"/>
      <c r="E504" s="142"/>
      <c r="F504" s="142" t="s">
        <v>338</v>
      </c>
      <c r="G504" s="142"/>
      <c r="H504" s="142" t="s">
        <v>338</v>
      </c>
      <c r="I504" s="141"/>
      <c r="J504" s="141">
        <v>2</v>
      </c>
      <c r="K504" s="142"/>
      <c r="L504" s="141">
        <v>0</v>
      </c>
      <c r="M504" s="142">
        <v>43486</v>
      </c>
      <c r="N504" s="142" t="s">
        <v>265</v>
      </c>
      <c r="O504" s="143" t="s">
        <v>340</v>
      </c>
      <c r="P504" s="141" t="s">
        <v>26</v>
      </c>
      <c r="Q504" s="143" t="s">
        <v>40</v>
      </c>
      <c r="R504" s="143" t="s">
        <v>1698</v>
      </c>
      <c r="S504" s="144" t="s">
        <v>1648</v>
      </c>
      <c r="T504" s="144" t="s">
        <v>1075</v>
      </c>
      <c r="U504" s="145">
        <v>81900</v>
      </c>
      <c r="V504" s="145">
        <v>88452</v>
      </c>
      <c r="W504" s="145">
        <v>81900</v>
      </c>
      <c r="X504" s="145">
        <v>88452</v>
      </c>
      <c r="Y504" s="145"/>
      <c r="Z504" s="145">
        <v>0</v>
      </c>
      <c r="AA504" s="142"/>
      <c r="AB504" s="142"/>
      <c r="AC504" s="142"/>
      <c r="AD504" s="141">
        <v>0</v>
      </c>
      <c r="AE504" s="141"/>
      <c r="AF504" s="141"/>
      <c r="AG504" s="141">
        <v>0</v>
      </c>
      <c r="AH504" s="141"/>
      <c r="AI504" s="141"/>
      <c r="AJ504" s="141">
        <v>0</v>
      </c>
      <c r="AK504" s="141"/>
      <c r="AL504" s="141"/>
      <c r="AM504" s="141"/>
      <c r="AN504" s="141"/>
      <c r="AO504" s="142"/>
      <c r="AP504" s="141"/>
      <c r="AQ504" s="141"/>
      <c r="AR504" s="142"/>
      <c r="AS504" s="141"/>
      <c r="AT504" s="142"/>
      <c r="AU504" s="141"/>
      <c r="AV504" s="142"/>
      <c r="AW504" s="146"/>
      <c r="AX504" s="146"/>
      <c r="AY504" s="147">
        <v>78624</v>
      </c>
      <c r="AZ504" s="132">
        <f>ROUNDDOWN(AY504+(AY504*MASTER!$A$2/100),0)</f>
        <v>84913</v>
      </c>
      <c r="BA504" s="141"/>
      <c r="BB504" s="145"/>
      <c r="BC504" s="145">
        <v>0</v>
      </c>
      <c r="BD504" s="141"/>
      <c r="BE504" s="141"/>
      <c r="BF504" s="145"/>
      <c r="BG504" s="145">
        <v>0</v>
      </c>
      <c r="BH504" s="141"/>
      <c r="BI504" s="141"/>
      <c r="BJ504" s="145"/>
      <c r="BK504" s="145">
        <v>0</v>
      </c>
      <c r="BL504" s="141"/>
      <c r="BM504" s="145"/>
      <c r="BN504" s="145"/>
      <c r="BO504" s="145"/>
      <c r="BP504" s="145"/>
      <c r="BQ504" s="145"/>
      <c r="BR504" s="145"/>
      <c r="BS504" s="145">
        <v>0</v>
      </c>
      <c r="BT504" s="148"/>
      <c r="BU504" s="148"/>
      <c r="BV504" s="149">
        <v>88452</v>
      </c>
      <c r="BW504" s="149">
        <v>0</v>
      </c>
      <c r="BX504" s="149">
        <v>43486</v>
      </c>
      <c r="BY504" s="149">
        <v>88452</v>
      </c>
      <c r="BZ504" s="150">
        <v>100</v>
      </c>
      <c r="CA504" s="141"/>
      <c r="CB504" s="141"/>
      <c r="CC504" s="141"/>
      <c r="CD504" s="144" t="s">
        <v>1699</v>
      </c>
      <c r="CE504" s="142"/>
      <c r="CF504" s="142"/>
      <c r="CG504" s="142"/>
      <c r="CH504" s="142"/>
      <c r="CI504" s="142"/>
      <c r="CJ504" s="142"/>
      <c r="CK504" s="145"/>
    </row>
    <row r="505" spans="1:89" x14ac:dyDescent="0.15">
      <c r="A505" s="84">
        <v>1</v>
      </c>
      <c r="B505" s="85">
        <v>43542</v>
      </c>
      <c r="C505" s="85">
        <v>43539</v>
      </c>
      <c r="F505" s="85" t="s">
        <v>338</v>
      </c>
      <c r="H505" s="85" t="s">
        <v>338</v>
      </c>
      <c r="J505" s="84">
        <v>3</v>
      </c>
      <c r="L505" s="84">
        <v>0</v>
      </c>
      <c r="M505" s="85">
        <v>43486</v>
      </c>
      <c r="N505" s="85" t="s">
        <v>265</v>
      </c>
      <c r="O505" s="86" t="s">
        <v>340</v>
      </c>
      <c r="P505" s="84" t="s">
        <v>6</v>
      </c>
      <c r="Q505" s="86" t="s">
        <v>40</v>
      </c>
      <c r="R505" s="86" t="s">
        <v>1700</v>
      </c>
      <c r="S505" s="87" t="s">
        <v>805</v>
      </c>
      <c r="T505" s="87" t="s">
        <v>1701</v>
      </c>
      <c r="U505" s="88">
        <v>9000</v>
      </c>
      <c r="V505" s="88">
        <v>9720</v>
      </c>
      <c r="X505" s="88">
        <v>0</v>
      </c>
      <c r="Y505" s="88">
        <v>9000</v>
      </c>
      <c r="Z505" s="88">
        <v>9720</v>
      </c>
      <c r="AD505" s="84">
        <v>0</v>
      </c>
      <c r="AG505" s="84">
        <v>0</v>
      </c>
      <c r="AJ505" s="84">
        <v>0</v>
      </c>
      <c r="AR505" s="85">
        <v>43497</v>
      </c>
      <c r="AS505" s="84">
        <v>6001642926</v>
      </c>
      <c r="AT505" s="85">
        <v>43500</v>
      </c>
      <c r="AU505" s="84" t="s">
        <v>1702</v>
      </c>
      <c r="AV505" s="85">
        <v>43539</v>
      </c>
      <c r="AW505" s="123">
        <v>43555</v>
      </c>
      <c r="AX505" s="123">
        <v>43575</v>
      </c>
      <c r="AY505" s="132">
        <v>8640</v>
      </c>
      <c r="AZ505" s="132">
        <f>ROUNDDOWN(AY505+(AY505*MASTER!$A$2/100),0)</f>
        <v>9331</v>
      </c>
      <c r="BC505" s="88">
        <v>0</v>
      </c>
      <c r="BG505" s="88">
        <v>0</v>
      </c>
      <c r="BK505" s="88">
        <v>0</v>
      </c>
      <c r="BS505" s="88">
        <v>0</v>
      </c>
      <c r="BV505" s="89">
        <v>0</v>
      </c>
      <c r="BW505" s="89">
        <v>0</v>
      </c>
      <c r="BX505" s="89">
        <v>43486</v>
      </c>
      <c r="BY505" s="89">
        <v>0</v>
      </c>
      <c r="BZ505" s="112" t="s">
        <v>338</v>
      </c>
    </row>
    <row r="506" spans="1:89" x14ac:dyDescent="0.15">
      <c r="A506" s="84">
        <v>2</v>
      </c>
      <c r="C506" s="85" t="s">
        <v>338</v>
      </c>
      <c r="F506" s="85" t="s">
        <v>338</v>
      </c>
      <c r="H506" s="85" t="s">
        <v>338</v>
      </c>
      <c r="J506" s="84">
        <v>4</v>
      </c>
      <c r="L506" s="84">
        <v>0</v>
      </c>
      <c r="M506" s="85">
        <v>43487</v>
      </c>
      <c r="N506" s="85" t="s">
        <v>265</v>
      </c>
      <c r="O506" s="86" t="s">
        <v>340</v>
      </c>
      <c r="P506" s="84" t="s">
        <v>78</v>
      </c>
      <c r="Q506" s="86" t="s">
        <v>40</v>
      </c>
      <c r="R506" s="86" t="s">
        <v>1703</v>
      </c>
      <c r="S506" s="87" t="s">
        <v>562</v>
      </c>
      <c r="T506" s="87" t="s">
        <v>1704</v>
      </c>
      <c r="U506" s="88">
        <v>0</v>
      </c>
      <c r="V506" s="88">
        <v>0</v>
      </c>
      <c r="W506" s="88">
        <v>0</v>
      </c>
      <c r="X506" s="88">
        <v>0</v>
      </c>
      <c r="Y506" s="88">
        <v>0</v>
      </c>
      <c r="Z506" s="88">
        <v>0</v>
      </c>
      <c r="AA506" s="85">
        <v>43455</v>
      </c>
      <c r="AB506" s="85">
        <v>43485</v>
      </c>
      <c r="AD506" s="84">
        <v>0</v>
      </c>
      <c r="AG506" s="84">
        <v>0</v>
      </c>
      <c r="AJ506" s="84">
        <v>0</v>
      </c>
      <c r="AN506" s="84" t="s">
        <v>338</v>
      </c>
      <c r="AY506" s="132">
        <f>ROUNDDOWN((0.96*U506),0)</f>
        <v>0</v>
      </c>
      <c r="AZ506" s="132">
        <f>ROUNDDOWN(AY506+(AY506*MASTER!$A$2/100),0)</f>
        <v>0</v>
      </c>
      <c r="BA506" s="84" t="s">
        <v>289</v>
      </c>
      <c r="BB506" s="88">
        <v>424201</v>
      </c>
      <c r="BC506" s="88">
        <v>458137.08</v>
      </c>
      <c r="BD506" s="84" t="s">
        <v>1421</v>
      </c>
      <c r="BG506" s="88">
        <v>0</v>
      </c>
      <c r="BK506" s="88">
        <v>0</v>
      </c>
      <c r="BS506" s="88">
        <v>0</v>
      </c>
      <c r="BV506" s="89">
        <v>0</v>
      </c>
      <c r="BW506" s="89">
        <v>458137.08</v>
      </c>
      <c r="BX506" s="89">
        <v>43487</v>
      </c>
      <c r="BY506" s="89">
        <v>-458137.08</v>
      </c>
      <c r="BZ506" s="112" t="s">
        <v>338</v>
      </c>
    </row>
    <row r="507" spans="1:89" x14ac:dyDescent="0.15">
      <c r="A507" s="84">
        <v>1</v>
      </c>
      <c r="B507" s="85">
        <v>43542</v>
      </c>
      <c r="C507" s="85">
        <v>43537</v>
      </c>
      <c r="F507" s="85" t="s">
        <v>338</v>
      </c>
      <c r="H507" s="85" t="s">
        <v>338</v>
      </c>
      <c r="J507" s="84">
        <v>3</v>
      </c>
      <c r="L507" s="84">
        <v>0</v>
      </c>
      <c r="M507" s="85">
        <v>43487</v>
      </c>
      <c r="N507" s="85" t="s">
        <v>265</v>
      </c>
      <c r="O507" s="86" t="s">
        <v>340</v>
      </c>
      <c r="P507" s="84" t="s">
        <v>6</v>
      </c>
      <c r="Q507" s="86" t="s">
        <v>40</v>
      </c>
      <c r="R507" s="86" t="s">
        <v>1705</v>
      </c>
      <c r="S507" s="87" t="s">
        <v>403</v>
      </c>
      <c r="T507" s="87" t="s">
        <v>1540</v>
      </c>
      <c r="U507" s="88">
        <v>9000</v>
      </c>
      <c r="V507" s="88">
        <v>9720</v>
      </c>
      <c r="X507" s="88">
        <v>0</v>
      </c>
      <c r="Y507" s="88">
        <v>9000</v>
      </c>
      <c r="Z507" s="88">
        <v>9720</v>
      </c>
      <c r="AD507" s="84">
        <v>0</v>
      </c>
      <c r="AG507" s="84">
        <v>0</v>
      </c>
      <c r="AJ507" s="84">
        <v>0</v>
      </c>
      <c r="AR507" s="85">
        <v>43490</v>
      </c>
      <c r="AS507" s="84">
        <v>6001640992</v>
      </c>
      <c r="AT507" s="85">
        <v>43490</v>
      </c>
      <c r="AU507" s="84" t="s">
        <v>1706</v>
      </c>
      <c r="AV507" s="85">
        <v>43537</v>
      </c>
      <c r="AW507" s="123">
        <v>43555</v>
      </c>
      <c r="AX507" s="123">
        <v>43575</v>
      </c>
      <c r="AY507" s="132">
        <v>8640</v>
      </c>
      <c r="AZ507" s="132">
        <f>ROUNDDOWN(AY507+(AY507*MASTER!$A$2/100),0)</f>
        <v>9331</v>
      </c>
      <c r="BC507" s="88">
        <v>0</v>
      </c>
      <c r="BG507" s="88">
        <v>0</v>
      </c>
      <c r="BK507" s="88">
        <v>0</v>
      </c>
      <c r="BS507" s="88">
        <v>0</v>
      </c>
      <c r="BV507" s="89">
        <v>0</v>
      </c>
      <c r="BW507" s="89">
        <v>0</v>
      </c>
      <c r="BX507" s="89">
        <v>43487</v>
      </c>
      <c r="BY507" s="89">
        <v>0</v>
      </c>
      <c r="BZ507" s="112" t="s">
        <v>338</v>
      </c>
    </row>
    <row r="508" spans="1:89" s="151" customFormat="1" x14ac:dyDescent="0.15">
      <c r="A508" s="141">
        <v>3</v>
      </c>
      <c r="B508" s="142"/>
      <c r="C508" s="142" t="s">
        <v>338</v>
      </c>
      <c r="D508" s="142"/>
      <c r="E508" s="142"/>
      <c r="F508" s="142" t="s">
        <v>338</v>
      </c>
      <c r="G508" s="142"/>
      <c r="H508" s="142" t="s">
        <v>338</v>
      </c>
      <c r="I508" s="141"/>
      <c r="J508" s="141">
        <v>1</v>
      </c>
      <c r="K508" s="142"/>
      <c r="L508" s="141">
        <v>0</v>
      </c>
      <c r="M508" s="142">
        <v>43487</v>
      </c>
      <c r="N508" s="142" t="s">
        <v>265</v>
      </c>
      <c r="O508" s="143" t="s">
        <v>340</v>
      </c>
      <c r="P508" s="141" t="s">
        <v>6</v>
      </c>
      <c r="Q508" s="143" t="s">
        <v>40</v>
      </c>
      <c r="R508" s="143" t="s">
        <v>1707</v>
      </c>
      <c r="S508" s="144" t="s">
        <v>403</v>
      </c>
      <c r="T508" s="144" t="s">
        <v>1708</v>
      </c>
      <c r="U508" s="145">
        <v>70250</v>
      </c>
      <c r="V508" s="145">
        <v>75870</v>
      </c>
      <c r="W508" s="145">
        <v>61250</v>
      </c>
      <c r="X508" s="145">
        <v>66150</v>
      </c>
      <c r="Y508" s="145">
        <v>9000</v>
      </c>
      <c r="Z508" s="145">
        <v>9720</v>
      </c>
      <c r="AA508" s="142"/>
      <c r="AB508" s="142"/>
      <c r="AC508" s="142"/>
      <c r="AD508" s="141">
        <v>0</v>
      </c>
      <c r="AE508" s="141"/>
      <c r="AF508" s="141"/>
      <c r="AG508" s="141">
        <v>0</v>
      </c>
      <c r="AH508" s="141"/>
      <c r="AI508" s="141"/>
      <c r="AJ508" s="141">
        <v>0</v>
      </c>
      <c r="AK508" s="141"/>
      <c r="AL508" s="141"/>
      <c r="AM508" s="141"/>
      <c r="AN508" s="141"/>
      <c r="AO508" s="142"/>
      <c r="AP508" s="141"/>
      <c r="AQ508" s="141"/>
      <c r="AR508" s="142"/>
      <c r="AS508" s="141"/>
      <c r="AT508" s="142"/>
      <c r="AU508" s="141"/>
      <c r="AV508" s="142"/>
      <c r="AW508" s="146"/>
      <c r="AX508" s="146"/>
      <c r="AY508" s="147">
        <v>67440</v>
      </c>
      <c r="AZ508" s="132">
        <f>ROUNDDOWN(AY508+(AY508*MASTER!$A$2/100),0)</f>
        <v>72835</v>
      </c>
      <c r="BA508" s="141"/>
      <c r="BB508" s="145"/>
      <c r="BC508" s="145">
        <v>0</v>
      </c>
      <c r="BD508" s="141"/>
      <c r="BE508" s="141"/>
      <c r="BF508" s="145"/>
      <c r="BG508" s="145">
        <v>0</v>
      </c>
      <c r="BH508" s="141"/>
      <c r="BI508" s="141"/>
      <c r="BJ508" s="145"/>
      <c r="BK508" s="145">
        <v>0</v>
      </c>
      <c r="BL508" s="141"/>
      <c r="BM508" s="145"/>
      <c r="BN508" s="145"/>
      <c r="BO508" s="145"/>
      <c r="BP508" s="145"/>
      <c r="BQ508" s="145"/>
      <c r="BR508" s="145"/>
      <c r="BS508" s="145">
        <v>0</v>
      </c>
      <c r="BT508" s="148"/>
      <c r="BU508" s="148"/>
      <c r="BV508" s="149">
        <v>66150</v>
      </c>
      <c r="BW508" s="149">
        <v>0</v>
      </c>
      <c r="BX508" s="149">
        <v>43487</v>
      </c>
      <c r="BY508" s="149">
        <v>66150</v>
      </c>
      <c r="BZ508" s="150">
        <v>100</v>
      </c>
      <c r="CA508" s="141"/>
      <c r="CB508" s="141"/>
      <c r="CC508" s="141"/>
      <c r="CD508" s="144" t="s">
        <v>1709</v>
      </c>
      <c r="CE508" s="142"/>
      <c r="CF508" s="142"/>
      <c r="CG508" s="142"/>
      <c r="CH508" s="142"/>
      <c r="CI508" s="142"/>
      <c r="CJ508" s="142"/>
      <c r="CK508" s="145"/>
    </row>
    <row r="509" spans="1:89" x14ac:dyDescent="0.15">
      <c r="A509" s="84">
        <v>1</v>
      </c>
      <c r="B509" s="85">
        <v>43488</v>
      </c>
      <c r="C509" s="85">
        <v>43490</v>
      </c>
      <c r="F509" s="85" t="s">
        <v>338</v>
      </c>
      <c r="H509" s="85" t="s">
        <v>338</v>
      </c>
      <c r="J509" s="84">
        <v>2</v>
      </c>
      <c r="L509" s="84">
        <v>0</v>
      </c>
      <c r="M509" s="85">
        <v>43487</v>
      </c>
      <c r="N509" s="85" t="s">
        <v>265</v>
      </c>
      <c r="O509" s="86" t="s">
        <v>340</v>
      </c>
      <c r="P509" s="84" t="s">
        <v>78</v>
      </c>
      <c r="Q509" s="86" t="s">
        <v>40</v>
      </c>
      <c r="R509" s="86" t="s">
        <v>1710</v>
      </c>
      <c r="S509" s="87" t="s">
        <v>407</v>
      </c>
      <c r="T509" s="87" t="s">
        <v>582</v>
      </c>
      <c r="U509" s="88">
        <v>5150</v>
      </c>
      <c r="V509" s="88">
        <v>5562</v>
      </c>
      <c r="W509" s="88">
        <v>5150</v>
      </c>
      <c r="X509" s="88">
        <v>5562</v>
      </c>
      <c r="Z509" s="88">
        <v>0</v>
      </c>
      <c r="AD509" s="84">
        <v>0</v>
      </c>
      <c r="AG509" s="84">
        <v>0</v>
      </c>
      <c r="AJ509" s="84">
        <v>0</v>
      </c>
      <c r="AR509" s="85">
        <v>43487</v>
      </c>
      <c r="AS509" s="84">
        <v>6001639658</v>
      </c>
      <c r="AT509" s="85">
        <v>43487</v>
      </c>
      <c r="AU509" s="84" t="s">
        <v>1711</v>
      </c>
      <c r="AV509" s="85">
        <v>43490</v>
      </c>
      <c r="AW509" s="123">
        <v>43496</v>
      </c>
      <c r="AX509" s="123">
        <v>43516</v>
      </c>
      <c r="AY509" s="132">
        <v>4944</v>
      </c>
      <c r="AZ509" s="132">
        <f>ROUNDDOWN(AY509+(AY509*MASTER!$A$2/100),0)</f>
        <v>5339</v>
      </c>
      <c r="BC509" s="88">
        <v>0</v>
      </c>
      <c r="BG509" s="88">
        <v>0</v>
      </c>
      <c r="BK509" s="88">
        <v>0</v>
      </c>
      <c r="BS509" s="88">
        <v>0</v>
      </c>
      <c r="BV509" s="89">
        <v>5562</v>
      </c>
      <c r="BW509" s="89">
        <v>0</v>
      </c>
      <c r="BX509" s="89">
        <v>43487</v>
      </c>
      <c r="BY509" s="89">
        <v>5562</v>
      </c>
      <c r="BZ509" s="112">
        <v>100</v>
      </c>
      <c r="CK509" s="88">
        <v>0</v>
      </c>
    </row>
    <row r="510" spans="1:89" x14ac:dyDescent="0.15">
      <c r="A510" s="84">
        <v>1</v>
      </c>
      <c r="B510" s="85">
        <v>43542</v>
      </c>
      <c r="C510" s="85">
        <v>43539</v>
      </c>
      <c r="F510" s="85" t="s">
        <v>338</v>
      </c>
      <c r="H510" s="85" t="s">
        <v>338</v>
      </c>
      <c r="J510" s="84">
        <v>2</v>
      </c>
      <c r="L510" s="84">
        <v>0</v>
      </c>
      <c r="M510" s="85">
        <v>43487</v>
      </c>
      <c r="N510" s="85" t="s">
        <v>265</v>
      </c>
      <c r="O510" s="86" t="s">
        <v>340</v>
      </c>
      <c r="P510" s="84" t="s">
        <v>272</v>
      </c>
      <c r="Q510" s="86" t="s">
        <v>40</v>
      </c>
      <c r="R510" s="86" t="s">
        <v>1712</v>
      </c>
      <c r="S510" s="87" t="s">
        <v>805</v>
      </c>
      <c r="T510" s="87" t="s">
        <v>1713</v>
      </c>
      <c r="U510" s="88">
        <v>3000</v>
      </c>
      <c r="V510" s="88">
        <v>3240</v>
      </c>
      <c r="W510" s="88">
        <v>3000</v>
      </c>
      <c r="X510" s="88">
        <v>3240</v>
      </c>
      <c r="Z510" s="88">
        <v>0</v>
      </c>
      <c r="AA510" s="85">
        <v>43486</v>
      </c>
      <c r="AD510" s="84">
        <v>0</v>
      </c>
      <c r="AG510" s="84">
        <v>0</v>
      </c>
      <c r="AJ510" s="84">
        <v>0</v>
      </c>
      <c r="AR510" s="85">
        <v>43497</v>
      </c>
      <c r="AS510" s="84">
        <v>6001642926</v>
      </c>
      <c r="AT510" s="85">
        <v>43500</v>
      </c>
      <c r="AU510" s="84" t="s">
        <v>1702</v>
      </c>
      <c r="AV510" s="85">
        <v>43539</v>
      </c>
      <c r="AW510" s="123">
        <v>43555</v>
      </c>
      <c r="AX510" s="123">
        <v>43575</v>
      </c>
      <c r="AY510" s="132">
        <v>2880</v>
      </c>
      <c r="AZ510" s="132">
        <f>ROUNDDOWN(AY510+(AY510*MASTER!$A$2/100),0)</f>
        <v>3110</v>
      </c>
      <c r="BC510" s="88">
        <v>0</v>
      </c>
      <c r="BG510" s="88">
        <v>0</v>
      </c>
      <c r="BK510" s="88">
        <v>0</v>
      </c>
      <c r="BS510" s="88">
        <v>0</v>
      </c>
      <c r="BV510" s="89">
        <v>3240</v>
      </c>
      <c r="BW510" s="89">
        <v>0</v>
      </c>
      <c r="BX510" s="89">
        <v>43487</v>
      </c>
      <c r="BY510" s="89">
        <v>3240</v>
      </c>
      <c r="BZ510" s="112">
        <v>100</v>
      </c>
    </row>
    <row r="511" spans="1:89" x14ac:dyDescent="0.15">
      <c r="A511" s="84">
        <v>2</v>
      </c>
      <c r="C511" s="85" t="s">
        <v>338</v>
      </c>
      <c r="F511" s="85" t="s">
        <v>338</v>
      </c>
      <c r="H511" s="85" t="s">
        <v>338</v>
      </c>
      <c r="J511" s="84">
        <v>4</v>
      </c>
      <c r="L511" s="84">
        <v>0</v>
      </c>
      <c r="M511" s="85">
        <v>43487</v>
      </c>
      <c r="N511" s="85" t="s">
        <v>265</v>
      </c>
      <c r="O511" s="86" t="s">
        <v>340</v>
      </c>
      <c r="P511" s="84" t="s">
        <v>272</v>
      </c>
      <c r="Q511" s="86" t="s">
        <v>40</v>
      </c>
      <c r="R511" s="86" t="s">
        <v>1714</v>
      </c>
      <c r="S511" s="87" t="s">
        <v>873</v>
      </c>
      <c r="T511" s="87" t="s">
        <v>1715</v>
      </c>
      <c r="U511" s="88">
        <v>0</v>
      </c>
      <c r="V511" s="88">
        <v>0</v>
      </c>
      <c r="W511" s="88">
        <v>0</v>
      </c>
      <c r="X511" s="88">
        <v>0</v>
      </c>
      <c r="Y511" s="88">
        <v>0</v>
      </c>
      <c r="Z511" s="88">
        <v>0</v>
      </c>
      <c r="AA511" s="85">
        <v>43439</v>
      </c>
      <c r="AD511" s="84">
        <v>0</v>
      </c>
      <c r="AG511" s="84">
        <v>0</v>
      </c>
      <c r="AJ511" s="84">
        <v>0</v>
      </c>
      <c r="AN511" s="84" t="s">
        <v>338</v>
      </c>
      <c r="AY511" s="132">
        <f>ROUNDDOWN((0.96*U511),0)</f>
        <v>0</v>
      </c>
      <c r="AZ511" s="132">
        <f>ROUNDDOWN(AY511+(AY511*MASTER!$A$2/100),0)</f>
        <v>0</v>
      </c>
      <c r="BA511" s="84" t="s">
        <v>543</v>
      </c>
      <c r="BB511" s="88">
        <v>70200</v>
      </c>
      <c r="BC511" s="88">
        <v>75816</v>
      </c>
      <c r="BD511" s="84" t="s">
        <v>1138</v>
      </c>
      <c r="BG511" s="88">
        <v>0</v>
      </c>
      <c r="BK511" s="88">
        <v>0</v>
      </c>
      <c r="BS511" s="88">
        <v>0</v>
      </c>
      <c r="BV511" s="89">
        <v>0</v>
      </c>
      <c r="BW511" s="89">
        <v>75816</v>
      </c>
      <c r="BX511" s="89">
        <v>43487</v>
      </c>
      <c r="BY511" s="89">
        <v>-75816</v>
      </c>
      <c r="BZ511" s="112" t="s">
        <v>338</v>
      </c>
    </row>
    <row r="512" spans="1:89" x14ac:dyDescent="0.15">
      <c r="A512" s="84">
        <v>1</v>
      </c>
      <c r="B512" s="85">
        <v>43490</v>
      </c>
      <c r="C512" s="85">
        <v>43494</v>
      </c>
      <c r="F512" s="85" t="s">
        <v>338</v>
      </c>
      <c r="H512" s="85" t="s">
        <v>338</v>
      </c>
      <c r="J512" s="84">
        <v>1</v>
      </c>
      <c r="L512" s="84">
        <v>0</v>
      </c>
      <c r="M512" s="85">
        <v>43488</v>
      </c>
      <c r="N512" s="85" t="s">
        <v>265</v>
      </c>
      <c r="O512" s="86" t="s">
        <v>340</v>
      </c>
      <c r="P512" s="84" t="s">
        <v>26</v>
      </c>
      <c r="Q512" s="86" t="s">
        <v>40</v>
      </c>
      <c r="R512" s="86" t="s">
        <v>1716</v>
      </c>
      <c r="S512" s="87" t="s">
        <v>1717</v>
      </c>
      <c r="T512" s="87" t="s">
        <v>1718</v>
      </c>
      <c r="U512" s="88">
        <v>133500</v>
      </c>
      <c r="V512" s="88">
        <v>144180</v>
      </c>
      <c r="W512" s="88">
        <v>68500</v>
      </c>
      <c r="X512" s="88">
        <v>73980</v>
      </c>
      <c r="Y512" s="88">
        <v>65000</v>
      </c>
      <c r="Z512" s="88">
        <v>70200</v>
      </c>
      <c r="AD512" s="84">
        <v>0</v>
      </c>
      <c r="AG512" s="84">
        <v>0</v>
      </c>
      <c r="AJ512" s="84">
        <v>0</v>
      </c>
      <c r="AR512" s="85">
        <v>43489</v>
      </c>
      <c r="AS512" s="84">
        <v>6001640645</v>
      </c>
      <c r="AT512" s="85">
        <v>43489</v>
      </c>
      <c r="AU512" s="84" t="s">
        <v>1685</v>
      </c>
      <c r="AV512" s="85">
        <v>43494</v>
      </c>
      <c r="AW512" s="123">
        <v>43496</v>
      </c>
      <c r="AX512" s="123">
        <v>43516</v>
      </c>
      <c r="AY512" s="132">
        <v>128160</v>
      </c>
      <c r="AZ512" s="132">
        <f>ROUNDDOWN(AY512+(AY512*MASTER!$A$2/100),0)</f>
        <v>138412</v>
      </c>
      <c r="BC512" s="88">
        <v>0</v>
      </c>
      <c r="BE512" s="84" t="s">
        <v>434</v>
      </c>
      <c r="BF512" s="88">
        <v>37093</v>
      </c>
      <c r="BG512" s="88">
        <v>40060.44</v>
      </c>
      <c r="BH512" s="84" t="s">
        <v>1659</v>
      </c>
      <c r="BI512" s="84" t="s">
        <v>434</v>
      </c>
      <c r="BJ512" s="88">
        <v>42250</v>
      </c>
      <c r="BK512" s="88">
        <v>45630</v>
      </c>
      <c r="BL512" s="84" t="s">
        <v>1579</v>
      </c>
      <c r="BS512" s="88">
        <v>0</v>
      </c>
      <c r="BV512" s="89">
        <v>73980</v>
      </c>
      <c r="BW512" s="89">
        <v>85690.44</v>
      </c>
      <c r="BX512" s="89">
        <v>43488</v>
      </c>
      <c r="BY512" s="89">
        <v>-11710.44</v>
      </c>
      <c r="BZ512" s="112">
        <v>-15.829197080291973</v>
      </c>
    </row>
    <row r="513" spans="1:89" x14ac:dyDescent="0.15">
      <c r="A513" s="84">
        <v>1</v>
      </c>
      <c r="B513" s="85">
        <v>43494</v>
      </c>
      <c r="C513" s="85">
        <v>43502</v>
      </c>
      <c r="F513" s="85" t="s">
        <v>338</v>
      </c>
      <c r="H513" s="85" t="s">
        <v>338</v>
      </c>
      <c r="J513" s="84">
        <v>2</v>
      </c>
      <c r="L513" s="84">
        <v>0</v>
      </c>
      <c r="M513" s="85">
        <v>43488</v>
      </c>
      <c r="N513" s="85" t="s">
        <v>265</v>
      </c>
      <c r="O513" s="86" t="s">
        <v>340</v>
      </c>
      <c r="P513" s="84" t="s">
        <v>78</v>
      </c>
      <c r="Q513" s="86" t="s">
        <v>40</v>
      </c>
      <c r="R513" s="86" t="s">
        <v>1719</v>
      </c>
      <c r="S513" s="87" t="s">
        <v>1356</v>
      </c>
      <c r="T513" s="87" t="s">
        <v>1720</v>
      </c>
      <c r="U513" s="88">
        <v>65000</v>
      </c>
      <c r="V513" s="88">
        <v>70200</v>
      </c>
      <c r="W513" s="88">
        <v>65000</v>
      </c>
      <c r="X513" s="88">
        <v>70200</v>
      </c>
      <c r="Y513" s="88">
        <v>0</v>
      </c>
      <c r="Z513" s="88">
        <v>0</v>
      </c>
      <c r="AA513" s="85">
        <v>43501</v>
      </c>
      <c r="AB513" s="85">
        <v>43502</v>
      </c>
      <c r="AD513" s="84">
        <v>0</v>
      </c>
      <c r="AG513" s="84">
        <v>0</v>
      </c>
      <c r="AJ513" s="84">
        <v>0</v>
      </c>
      <c r="AR513" s="85">
        <v>43490</v>
      </c>
      <c r="AS513" s="84">
        <v>6001640992</v>
      </c>
      <c r="AT513" s="85">
        <v>43490</v>
      </c>
      <c r="AU513" s="84" t="s">
        <v>1706</v>
      </c>
      <c r="AV513" s="85">
        <v>43502</v>
      </c>
      <c r="AW513" s="123">
        <v>43524</v>
      </c>
      <c r="AX513" s="123">
        <v>43544</v>
      </c>
      <c r="AY513" s="132">
        <v>62400</v>
      </c>
      <c r="AZ513" s="132">
        <f>ROUNDDOWN(AY513+(AY513*MASTER!$A$2/100),0)</f>
        <v>67392</v>
      </c>
      <c r="BC513" s="88">
        <v>0</v>
      </c>
      <c r="BG513" s="88">
        <v>0</v>
      </c>
      <c r="BK513" s="88">
        <v>0</v>
      </c>
      <c r="BS513" s="88">
        <v>0</v>
      </c>
      <c r="BV513" s="89">
        <v>70200</v>
      </c>
      <c r="BW513" s="89">
        <v>0</v>
      </c>
      <c r="BX513" s="89">
        <v>43488</v>
      </c>
      <c r="BY513" s="89">
        <v>70200</v>
      </c>
      <c r="BZ513" s="112">
        <v>100</v>
      </c>
    </row>
    <row r="514" spans="1:89" x14ac:dyDescent="0.15">
      <c r="A514" s="84">
        <v>1</v>
      </c>
      <c r="B514" s="85">
        <v>43494</v>
      </c>
      <c r="C514" s="85">
        <v>43503</v>
      </c>
      <c r="F514" s="85" t="s">
        <v>338</v>
      </c>
      <c r="H514" s="85" t="s">
        <v>338</v>
      </c>
      <c r="J514" s="84">
        <v>2</v>
      </c>
      <c r="L514" s="84">
        <v>0</v>
      </c>
      <c r="M514" s="85">
        <v>43488</v>
      </c>
      <c r="N514" s="85" t="s">
        <v>265</v>
      </c>
      <c r="O514" s="86" t="s">
        <v>340</v>
      </c>
      <c r="P514" s="84" t="s">
        <v>78</v>
      </c>
      <c r="Q514" s="86" t="s">
        <v>40</v>
      </c>
      <c r="R514" s="86" t="s">
        <v>1721</v>
      </c>
      <c r="S514" s="87" t="s">
        <v>1722</v>
      </c>
      <c r="T514" s="87" t="s">
        <v>495</v>
      </c>
      <c r="U514" s="88">
        <v>65000</v>
      </c>
      <c r="V514" s="88">
        <v>70200</v>
      </c>
      <c r="W514" s="88">
        <v>65000</v>
      </c>
      <c r="X514" s="88">
        <v>70200</v>
      </c>
      <c r="Y514" s="88">
        <v>0</v>
      </c>
      <c r="Z514" s="88">
        <v>0</v>
      </c>
      <c r="AA514" s="85">
        <v>43502</v>
      </c>
      <c r="AB514" s="85">
        <v>43503</v>
      </c>
      <c r="AD514" s="84">
        <v>0</v>
      </c>
      <c r="AG514" s="84">
        <v>0</v>
      </c>
      <c r="AJ514" s="84">
        <v>0</v>
      </c>
      <c r="AR514" s="85">
        <v>43490</v>
      </c>
      <c r="AS514" s="84">
        <v>6001640992</v>
      </c>
      <c r="AT514" s="85">
        <v>43490</v>
      </c>
      <c r="AU514" s="84" t="s">
        <v>1706</v>
      </c>
      <c r="AV514" s="85">
        <v>43503</v>
      </c>
      <c r="AW514" s="123">
        <v>43524</v>
      </c>
      <c r="AX514" s="123">
        <v>43544</v>
      </c>
      <c r="AY514" s="132">
        <v>62400</v>
      </c>
      <c r="AZ514" s="132">
        <f>ROUNDDOWN(AY514+(AY514*MASTER!$A$2/100),0)</f>
        <v>67392</v>
      </c>
      <c r="BC514" s="88">
        <v>0</v>
      </c>
      <c r="BG514" s="88">
        <v>0</v>
      </c>
      <c r="BK514" s="88">
        <v>0</v>
      </c>
      <c r="BS514" s="88">
        <v>0</v>
      </c>
      <c r="BV514" s="89">
        <v>70200</v>
      </c>
      <c r="BW514" s="89">
        <v>0</v>
      </c>
      <c r="BX514" s="89">
        <v>43488</v>
      </c>
      <c r="BY514" s="89">
        <v>70200</v>
      </c>
      <c r="BZ514" s="112">
        <v>100</v>
      </c>
    </row>
    <row r="515" spans="1:89" x14ac:dyDescent="0.15">
      <c r="A515" s="84">
        <v>1</v>
      </c>
      <c r="B515" s="85">
        <v>43494</v>
      </c>
      <c r="C515" s="85">
        <v>43504</v>
      </c>
      <c r="F515" s="85" t="s">
        <v>338</v>
      </c>
      <c r="H515" s="85" t="s">
        <v>338</v>
      </c>
      <c r="J515" s="84">
        <v>2</v>
      </c>
      <c r="L515" s="84">
        <v>0</v>
      </c>
      <c r="M515" s="85">
        <v>43488</v>
      </c>
      <c r="N515" s="85" t="s">
        <v>265</v>
      </c>
      <c r="O515" s="86" t="s">
        <v>340</v>
      </c>
      <c r="P515" s="84" t="s">
        <v>78</v>
      </c>
      <c r="Q515" s="86" t="s">
        <v>40</v>
      </c>
      <c r="R515" s="86" t="s">
        <v>1723</v>
      </c>
      <c r="S515" s="87" t="s">
        <v>1724</v>
      </c>
      <c r="T515" s="87" t="s">
        <v>726</v>
      </c>
      <c r="U515" s="88">
        <v>65000</v>
      </c>
      <c r="V515" s="88">
        <v>70200</v>
      </c>
      <c r="W515" s="88">
        <v>65000</v>
      </c>
      <c r="X515" s="88">
        <v>70200</v>
      </c>
      <c r="Y515" s="88">
        <v>0</v>
      </c>
      <c r="Z515" s="88">
        <v>0</v>
      </c>
      <c r="AA515" s="85">
        <v>43503</v>
      </c>
      <c r="AB515" s="85">
        <v>43504</v>
      </c>
      <c r="AD515" s="84">
        <v>0</v>
      </c>
      <c r="AG515" s="84">
        <v>0</v>
      </c>
      <c r="AJ515" s="84">
        <v>0</v>
      </c>
      <c r="AR515" s="85">
        <v>43490</v>
      </c>
      <c r="AS515" s="84">
        <v>6001640992</v>
      </c>
      <c r="AT515" s="85">
        <v>43490</v>
      </c>
      <c r="AU515" s="84" t="s">
        <v>1706</v>
      </c>
      <c r="AV515" s="85">
        <v>43504</v>
      </c>
      <c r="AW515" s="123">
        <v>43524</v>
      </c>
      <c r="AX515" s="123">
        <v>43544</v>
      </c>
      <c r="AY515" s="132">
        <v>62400</v>
      </c>
      <c r="AZ515" s="132">
        <f>ROUNDDOWN(AY515+(AY515*MASTER!$A$2/100),0)</f>
        <v>67392</v>
      </c>
      <c r="BC515" s="88">
        <v>0</v>
      </c>
      <c r="BG515" s="88">
        <v>0</v>
      </c>
      <c r="BK515" s="88">
        <v>0</v>
      </c>
      <c r="BS515" s="88">
        <v>0</v>
      </c>
      <c r="BV515" s="89">
        <v>70200</v>
      </c>
      <c r="BW515" s="89">
        <v>0</v>
      </c>
      <c r="BX515" s="89">
        <v>43488</v>
      </c>
      <c r="BY515" s="89">
        <v>70200</v>
      </c>
      <c r="BZ515" s="112">
        <v>100</v>
      </c>
    </row>
    <row r="516" spans="1:89" x14ac:dyDescent="0.15">
      <c r="A516" s="84">
        <v>1</v>
      </c>
      <c r="B516" s="85">
        <v>43494</v>
      </c>
      <c r="C516" s="85">
        <v>43505</v>
      </c>
      <c r="F516" s="85" t="s">
        <v>338</v>
      </c>
      <c r="H516" s="85" t="s">
        <v>338</v>
      </c>
      <c r="J516" s="84">
        <v>2</v>
      </c>
      <c r="L516" s="84">
        <v>0</v>
      </c>
      <c r="M516" s="85">
        <v>43488</v>
      </c>
      <c r="N516" s="85" t="s">
        <v>265</v>
      </c>
      <c r="O516" s="86" t="s">
        <v>340</v>
      </c>
      <c r="P516" s="84" t="s">
        <v>78</v>
      </c>
      <c r="Q516" s="86" t="s">
        <v>40</v>
      </c>
      <c r="R516" s="86" t="s">
        <v>1725</v>
      </c>
      <c r="S516" s="87" t="s">
        <v>1622</v>
      </c>
      <c r="T516" s="87" t="s">
        <v>1720</v>
      </c>
      <c r="U516" s="88">
        <v>65000</v>
      </c>
      <c r="V516" s="88">
        <v>70200</v>
      </c>
      <c r="W516" s="88">
        <v>65000</v>
      </c>
      <c r="X516" s="88">
        <v>70200</v>
      </c>
      <c r="Y516" s="88">
        <v>0</v>
      </c>
      <c r="Z516" s="88">
        <v>0</v>
      </c>
      <c r="AA516" s="85">
        <v>43504</v>
      </c>
      <c r="AB516" s="85">
        <v>43505</v>
      </c>
      <c r="AD516" s="84">
        <v>0</v>
      </c>
      <c r="AG516" s="84">
        <v>0</v>
      </c>
      <c r="AJ516" s="84">
        <v>0</v>
      </c>
      <c r="AR516" s="85">
        <v>43490</v>
      </c>
      <c r="AS516" s="84">
        <v>6001640992</v>
      </c>
      <c r="AT516" s="85">
        <v>43490</v>
      </c>
      <c r="AU516" s="84" t="s">
        <v>1706</v>
      </c>
      <c r="AV516" s="85">
        <v>43505</v>
      </c>
      <c r="AW516" s="123">
        <v>43524</v>
      </c>
      <c r="AX516" s="123">
        <v>43544</v>
      </c>
      <c r="AY516" s="132">
        <v>62400</v>
      </c>
      <c r="AZ516" s="132">
        <f>ROUNDDOWN(AY516+(AY516*MASTER!$A$2/100),0)</f>
        <v>67392</v>
      </c>
      <c r="BC516" s="88">
        <v>0</v>
      </c>
      <c r="BG516" s="88">
        <v>0</v>
      </c>
      <c r="BK516" s="88">
        <v>0</v>
      </c>
      <c r="BS516" s="88">
        <v>0</v>
      </c>
      <c r="BV516" s="89">
        <v>70200</v>
      </c>
      <c r="BW516" s="89">
        <v>0</v>
      </c>
      <c r="BX516" s="89">
        <v>43488</v>
      </c>
      <c r="BY516" s="89">
        <v>70200</v>
      </c>
      <c r="BZ516" s="112">
        <v>100</v>
      </c>
    </row>
    <row r="517" spans="1:89" x14ac:dyDescent="0.15">
      <c r="A517" s="84">
        <v>1</v>
      </c>
      <c r="B517" s="85">
        <v>43510</v>
      </c>
      <c r="C517" s="85">
        <v>43509</v>
      </c>
      <c r="F517" s="85" t="s">
        <v>338</v>
      </c>
      <c r="H517" s="85" t="s">
        <v>338</v>
      </c>
      <c r="J517" s="84">
        <v>2</v>
      </c>
      <c r="L517" s="84">
        <v>0</v>
      </c>
      <c r="M517" s="85">
        <v>43488</v>
      </c>
      <c r="N517" s="85" t="s">
        <v>265</v>
      </c>
      <c r="O517" s="86" t="s">
        <v>340</v>
      </c>
      <c r="P517" s="84" t="s">
        <v>78</v>
      </c>
      <c r="Q517" s="86" t="s">
        <v>40</v>
      </c>
      <c r="R517" s="86" t="s">
        <v>1726</v>
      </c>
      <c r="S517" s="87" t="s">
        <v>691</v>
      </c>
      <c r="T517" s="87" t="s">
        <v>726</v>
      </c>
      <c r="U517" s="88">
        <v>65000</v>
      </c>
      <c r="V517" s="88">
        <v>70200</v>
      </c>
      <c r="W517" s="88">
        <v>65000</v>
      </c>
      <c r="X517" s="88">
        <v>70200</v>
      </c>
      <c r="Y517" s="88">
        <v>0</v>
      </c>
      <c r="Z517" s="88">
        <v>0</v>
      </c>
      <c r="AA517" s="85">
        <v>43508</v>
      </c>
      <c r="AB517" s="85">
        <v>43509</v>
      </c>
      <c r="AD517" s="84">
        <v>0</v>
      </c>
      <c r="AG517" s="84">
        <v>0</v>
      </c>
      <c r="AJ517" s="84">
        <v>0</v>
      </c>
      <c r="AR517" s="85">
        <v>43504</v>
      </c>
      <c r="AS517" s="84">
        <v>6001645543</v>
      </c>
      <c r="AT517" s="85">
        <v>43509</v>
      </c>
      <c r="AU517" s="84" t="s">
        <v>1672</v>
      </c>
      <c r="AV517" s="85">
        <v>43509</v>
      </c>
      <c r="AW517" s="123">
        <v>43524</v>
      </c>
      <c r="AX517" s="123">
        <v>43544</v>
      </c>
      <c r="AY517" s="132">
        <v>62400</v>
      </c>
      <c r="AZ517" s="132">
        <f>ROUNDDOWN(AY517+(AY517*MASTER!$A$2/100),0)</f>
        <v>67392</v>
      </c>
      <c r="BC517" s="88">
        <v>0</v>
      </c>
      <c r="BG517" s="88">
        <v>0</v>
      </c>
      <c r="BK517" s="88">
        <v>0</v>
      </c>
      <c r="BS517" s="88">
        <v>0</v>
      </c>
      <c r="BV517" s="89">
        <v>70200</v>
      </c>
      <c r="BW517" s="89">
        <v>0</v>
      </c>
      <c r="BX517" s="89">
        <v>43488</v>
      </c>
      <c r="BY517" s="89">
        <v>70200</v>
      </c>
      <c r="BZ517" s="112">
        <v>100</v>
      </c>
    </row>
    <row r="518" spans="1:89" x14ac:dyDescent="0.15">
      <c r="A518" s="84">
        <v>1</v>
      </c>
      <c r="B518" s="85">
        <v>43494</v>
      </c>
      <c r="C518" s="85">
        <v>43510</v>
      </c>
      <c r="F518" s="85" t="s">
        <v>338</v>
      </c>
      <c r="H518" s="85" t="s">
        <v>338</v>
      </c>
      <c r="J518" s="84">
        <v>2</v>
      </c>
      <c r="L518" s="84">
        <v>0</v>
      </c>
      <c r="M518" s="85">
        <v>43488</v>
      </c>
      <c r="N518" s="85" t="s">
        <v>265</v>
      </c>
      <c r="O518" s="86" t="s">
        <v>340</v>
      </c>
      <c r="P518" s="84" t="s">
        <v>78</v>
      </c>
      <c r="Q518" s="86" t="s">
        <v>40</v>
      </c>
      <c r="R518" s="86" t="s">
        <v>1727</v>
      </c>
      <c r="S518" s="87" t="s">
        <v>1091</v>
      </c>
      <c r="T518" s="87" t="s">
        <v>726</v>
      </c>
      <c r="U518" s="88">
        <v>65000</v>
      </c>
      <c r="V518" s="88">
        <v>70200</v>
      </c>
      <c r="W518" s="88">
        <v>65000</v>
      </c>
      <c r="X518" s="88">
        <v>70200</v>
      </c>
      <c r="Y518" s="88">
        <v>0</v>
      </c>
      <c r="Z518" s="88">
        <v>0</v>
      </c>
      <c r="AA518" s="85">
        <v>43509</v>
      </c>
      <c r="AB518" s="85">
        <v>43510</v>
      </c>
      <c r="AD518" s="84">
        <v>0</v>
      </c>
      <c r="AG518" s="84">
        <v>0</v>
      </c>
      <c r="AJ518" s="84">
        <v>0</v>
      </c>
      <c r="AR518" s="85">
        <v>43490</v>
      </c>
      <c r="AS518" s="84">
        <v>6001640992</v>
      </c>
      <c r="AT518" s="85">
        <v>43490</v>
      </c>
      <c r="AU518" s="84" t="s">
        <v>1706</v>
      </c>
      <c r="AV518" s="85">
        <v>43510</v>
      </c>
      <c r="AW518" s="123">
        <v>43524</v>
      </c>
      <c r="AX518" s="123">
        <v>43544</v>
      </c>
      <c r="AY518" s="132">
        <v>62400</v>
      </c>
      <c r="AZ518" s="132">
        <f>ROUNDDOWN(AY518+(AY518*MASTER!$A$2/100),0)</f>
        <v>67392</v>
      </c>
      <c r="BC518" s="88">
        <v>0</v>
      </c>
      <c r="BG518" s="88">
        <v>0</v>
      </c>
      <c r="BK518" s="88">
        <v>0</v>
      </c>
      <c r="BS518" s="88">
        <v>0</v>
      </c>
      <c r="BV518" s="89">
        <v>70200</v>
      </c>
      <c r="BW518" s="89">
        <v>0</v>
      </c>
      <c r="BX518" s="89">
        <v>43488</v>
      </c>
      <c r="BY518" s="89">
        <v>70200</v>
      </c>
      <c r="BZ518" s="112">
        <v>100</v>
      </c>
    </row>
    <row r="519" spans="1:89" s="151" customFormat="1" x14ac:dyDescent="0.15">
      <c r="A519" s="141">
        <v>3</v>
      </c>
      <c r="B519" s="142"/>
      <c r="C519" s="142">
        <v>43511</v>
      </c>
      <c r="D519" s="142"/>
      <c r="E519" s="142"/>
      <c r="F519" s="142" t="s">
        <v>338</v>
      </c>
      <c r="G519" s="142"/>
      <c r="H519" s="142" t="s">
        <v>338</v>
      </c>
      <c r="I519" s="141"/>
      <c r="J519" s="141">
        <v>2</v>
      </c>
      <c r="K519" s="142"/>
      <c r="L519" s="141">
        <v>0</v>
      </c>
      <c r="M519" s="142">
        <v>43488</v>
      </c>
      <c r="N519" s="142" t="s">
        <v>265</v>
      </c>
      <c r="O519" s="143" t="s">
        <v>340</v>
      </c>
      <c r="P519" s="141" t="s">
        <v>78</v>
      </c>
      <c r="Q519" s="143" t="s">
        <v>40</v>
      </c>
      <c r="R519" s="143" t="s">
        <v>1728</v>
      </c>
      <c r="S519" s="144" t="s">
        <v>1729</v>
      </c>
      <c r="T519" s="144" t="s">
        <v>726</v>
      </c>
      <c r="U519" s="145">
        <v>65000</v>
      </c>
      <c r="V519" s="145">
        <v>70200</v>
      </c>
      <c r="W519" s="145">
        <v>65000</v>
      </c>
      <c r="X519" s="145">
        <v>70200</v>
      </c>
      <c r="Y519" s="145">
        <v>0</v>
      </c>
      <c r="Z519" s="145">
        <v>0</v>
      </c>
      <c r="AA519" s="142">
        <v>43510</v>
      </c>
      <c r="AB519" s="142">
        <v>43511</v>
      </c>
      <c r="AC519" s="142"/>
      <c r="AD519" s="141">
        <v>0</v>
      </c>
      <c r="AE519" s="141"/>
      <c r="AF519" s="141"/>
      <c r="AG519" s="141">
        <v>0</v>
      </c>
      <c r="AH519" s="141"/>
      <c r="AI519" s="141"/>
      <c r="AJ519" s="141">
        <v>0</v>
      </c>
      <c r="AK519" s="141"/>
      <c r="AL519" s="141"/>
      <c r="AM519" s="141"/>
      <c r="AN519" s="141"/>
      <c r="AO519" s="142"/>
      <c r="AP519" s="141"/>
      <c r="AQ519" s="141"/>
      <c r="AR519" s="142"/>
      <c r="AS519" s="141"/>
      <c r="AT519" s="142"/>
      <c r="AU519" s="141"/>
      <c r="AV519" s="142"/>
      <c r="AW519" s="146"/>
      <c r="AX519" s="146"/>
      <c r="AY519" s="147">
        <v>62400</v>
      </c>
      <c r="AZ519" s="132">
        <f>ROUNDDOWN(AY519+(AY519*MASTER!$A$2/100),0)</f>
        <v>67392</v>
      </c>
      <c r="BA519" s="141"/>
      <c r="BB519" s="145"/>
      <c r="BC519" s="145">
        <v>0</v>
      </c>
      <c r="BD519" s="141"/>
      <c r="BE519" s="141"/>
      <c r="BF519" s="145"/>
      <c r="BG519" s="145">
        <v>0</v>
      </c>
      <c r="BH519" s="141"/>
      <c r="BI519" s="141"/>
      <c r="BJ519" s="145"/>
      <c r="BK519" s="145">
        <v>0</v>
      </c>
      <c r="BL519" s="141"/>
      <c r="BM519" s="145"/>
      <c r="BN519" s="145"/>
      <c r="BO519" s="145"/>
      <c r="BP519" s="145"/>
      <c r="BQ519" s="145"/>
      <c r="BR519" s="145"/>
      <c r="BS519" s="145">
        <v>0</v>
      </c>
      <c r="BT519" s="148"/>
      <c r="BU519" s="148"/>
      <c r="BV519" s="149">
        <v>70200</v>
      </c>
      <c r="BW519" s="149">
        <v>0</v>
      </c>
      <c r="BX519" s="149">
        <v>43488</v>
      </c>
      <c r="BY519" s="149">
        <v>70200</v>
      </c>
      <c r="BZ519" s="150">
        <v>100</v>
      </c>
      <c r="CA519" s="141"/>
      <c r="CB519" s="141"/>
      <c r="CC519" s="141"/>
      <c r="CD519" s="144"/>
      <c r="CE519" s="142"/>
      <c r="CF519" s="142"/>
      <c r="CG519" s="142"/>
      <c r="CH519" s="142"/>
      <c r="CI519" s="142"/>
      <c r="CJ519" s="142"/>
      <c r="CK519" s="145"/>
    </row>
    <row r="520" spans="1:89" s="151" customFormat="1" x14ac:dyDescent="0.15">
      <c r="A520" s="141">
        <v>3</v>
      </c>
      <c r="B520" s="142"/>
      <c r="C520" s="142" t="s">
        <v>338</v>
      </c>
      <c r="D520" s="142"/>
      <c r="E520" s="142"/>
      <c r="F520" s="142" t="s">
        <v>338</v>
      </c>
      <c r="G520" s="142"/>
      <c r="H520" s="142" t="s">
        <v>338</v>
      </c>
      <c r="I520" s="141"/>
      <c r="J520" s="141">
        <v>2</v>
      </c>
      <c r="K520" s="142"/>
      <c r="L520" s="141">
        <v>0</v>
      </c>
      <c r="M520" s="142">
        <v>43488</v>
      </c>
      <c r="N520" s="142" t="s">
        <v>265</v>
      </c>
      <c r="O520" s="143" t="s">
        <v>340</v>
      </c>
      <c r="P520" s="141" t="s">
        <v>78</v>
      </c>
      <c r="Q520" s="143" t="s">
        <v>40</v>
      </c>
      <c r="R520" s="143" t="s">
        <v>1730</v>
      </c>
      <c r="S520" s="144" t="s">
        <v>1731</v>
      </c>
      <c r="T520" s="144" t="s">
        <v>726</v>
      </c>
      <c r="U520" s="145">
        <v>65000</v>
      </c>
      <c r="V520" s="145">
        <v>70200</v>
      </c>
      <c r="W520" s="145">
        <v>65000</v>
      </c>
      <c r="X520" s="145">
        <v>70200</v>
      </c>
      <c r="Y520" s="145">
        <v>0</v>
      </c>
      <c r="Z520" s="145">
        <v>0</v>
      </c>
      <c r="AA520" s="142">
        <v>43511</v>
      </c>
      <c r="AB520" s="142">
        <v>43512</v>
      </c>
      <c r="AC520" s="142"/>
      <c r="AD520" s="141">
        <v>0</v>
      </c>
      <c r="AE520" s="141"/>
      <c r="AF520" s="141"/>
      <c r="AG520" s="141">
        <v>0</v>
      </c>
      <c r="AH520" s="141"/>
      <c r="AI520" s="141"/>
      <c r="AJ520" s="141">
        <v>0</v>
      </c>
      <c r="AK520" s="141"/>
      <c r="AL520" s="141"/>
      <c r="AM520" s="141"/>
      <c r="AN520" s="141"/>
      <c r="AO520" s="142"/>
      <c r="AP520" s="141"/>
      <c r="AQ520" s="141"/>
      <c r="AR520" s="142"/>
      <c r="AS520" s="141"/>
      <c r="AT520" s="142"/>
      <c r="AU520" s="141"/>
      <c r="AV520" s="142"/>
      <c r="AW520" s="146"/>
      <c r="AX520" s="146"/>
      <c r="AY520" s="147">
        <v>62400</v>
      </c>
      <c r="AZ520" s="132">
        <f>ROUNDDOWN(AY520+(AY520*MASTER!$A$2/100),0)</f>
        <v>67392</v>
      </c>
      <c r="BA520" s="141"/>
      <c r="BB520" s="145"/>
      <c r="BC520" s="145">
        <v>0</v>
      </c>
      <c r="BD520" s="141"/>
      <c r="BE520" s="141"/>
      <c r="BF520" s="145"/>
      <c r="BG520" s="145">
        <v>0</v>
      </c>
      <c r="BH520" s="141"/>
      <c r="BI520" s="141"/>
      <c r="BJ520" s="145"/>
      <c r="BK520" s="145">
        <v>0</v>
      </c>
      <c r="BL520" s="141"/>
      <c r="BM520" s="145"/>
      <c r="BN520" s="145"/>
      <c r="BO520" s="145"/>
      <c r="BP520" s="145"/>
      <c r="BQ520" s="145"/>
      <c r="BR520" s="145"/>
      <c r="BS520" s="145">
        <v>0</v>
      </c>
      <c r="BT520" s="148"/>
      <c r="BU520" s="148"/>
      <c r="BV520" s="149">
        <v>70200</v>
      </c>
      <c r="BW520" s="149">
        <v>0</v>
      </c>
      <c r="BX520" s="149">
        <v>43488</v>
      </c>
      <c r="BY520" s="149">
        <v>70200</v>
      </c>
      <c r="BZ520" s="150">
        <v>100</v>
      </c>
      <c r="CA520" s="141"/>
      <c r="CB520" s="141"/>
      <c r="CC520" s="141"/>
      <c r="CD520" s="144" t="s">
        <v>1732</v>
      </c>
      <c r="CE520" s="142"/>
      <c r="CF520" s="142"/>
      <c r="CG520" s="142"/>
      <c r="CH520" s="142"/>
      <c r="CI520" s="142"/>
      <c r="CJ520" s="142"/>
      <c r="CK520" s="145"/>
    </row>
    <row r="521" spans="1:89" x14ac:dyDescent="0.15">
      <c r="A521" s="84">
        <v>1</v>
      </c>
      <c r="B521" s="85">
        <v>43494</v>
      </c>
      <c r="C521" s="85">
        <v>43515</v>
      </c>
      <c r="F521" s="85" t="s">
        <v>338</v>
      </c>
      <c r="H521" s="85" t="s">
        <v>338</v>
      </c>
      <c r="J521" s="84">
        <v>2</v>
      </c>
      <c r="L521" s="84">
        <v>0</v>
      </c>
      <c r="M521" s="85">
        <v>43488</v>
      </c>
      <c r="N521" s="85" t="s">
        <v>265</v>
      </c>
      <c r="O521" s="86" t="s">
        <v>340</v>
      </c>
      <c r="P521" s="84" t="s">
        <v>78</v>
      </c>
      <c r="Q521" s="86" t="s">
        <v>40</v>
      </c>
      <c r="R521" s="86" t="s">
        <v>1733</v>
      </c>
      <c r="S521" s="87" t="s">
        <v>921</v>
      </c>
      <c r="T521" s="87" t="s">
        <v>726</v>
      </c>
      <c r="U521" s="88">
        <v>65000</v>
      </c>
      <c r="V521" s="88">
        <v>70200</v>
      </c>
      <c r="W521" s="88">
        <v>65000</v>
      </c>
      <c r="X521" s="88">
        <v>70200</v>
      </c>
      <c r="Y521" s="88">
        <v>0</v>
      </c>
      <c r="Z521" s="88">
        <v>0</v>
      </c>
      <c r="AA521" s="85">
        <v>43514</v>
      </c>
      <c r="AB521" s="85">
        <v>43515</v>
      </c>
      <c r="AD521" s="84">
        <v>0</v>
      </c>
      <c r="AG521" s="84">
        <v>0</v>
      </c>
      <c r="AJ521" s="84">
        <v>0</v>
      </c>
      <c r="AR521" s="85">
        <v>43490</v>
      </c>
      <c r="AS521" s="84">
        <v>6001640992</v>
      </c>
      <c r="AT521" s="85">
        <v>43490</v>
      </c>
      <c r="AU521" s="84" t="s">
        <v>1706</v>
      </c>
      <c r="AV521" s="85">
        <v>43515</v>
      </c>
      <c r="AW521" s="123">
        <v>43524</v>
      </c>
      <c r="AX521" s="123">
        <v>43544</v>
      </c>
      <c r="AY521" s="132">
        <v>62400</v>
      </c>
      <c r="AZ521" s="132">
        <f>ROUNDDOWN(AY521+(AY521*MASTER!$A$2/100),0)</f>
        <v>67392</v>
      </c>
      <c r="BC521" s="88">
        <v>0</v>
      </c>
      <c r="BG521" s="88">
        <v>0</v>
      </c>
      <c r="BK521" s="88">
        <v>0</v>
      </c>
      <c r="BS521" s="88">
        <v>0</v>
      </c>
      <c r="BV521" s="89">
        <v>70200</v>
      </c>
      <c r="BW521" s="89">
        <v>0</v>
      </c>
      <c r="BX521" s="89">
        <v>43488</v>
      </c>
      <c r="BY521" s="89">
        <v>70200</v>
      </c>
      <c r="BZ521" s="112">
        <v>100</v>
      </c>
    </row>
    <row r="522" spans="1:89" x14ac:dyDescent="0.15">
      <c r="A522" s="84">
        <v>1</v>
      </c>
      <c r="B522" s="85">
        <v>43494</v>
      </c>
      <c r="C522" s="85">
        <v>43516</v>
      </c>
      <c r="F522" s="85" t="s">
        <v>338</v>
      </c>
      <c r="H522" s="85" t="s">
        <v>338</v>
      </c>
      <c r="J522" s="84">
        <v>2</v>
      </c>
      <c r="L522" s="84">
        <v>0</v>
      </c>
      <c r="M522" s="85">
        <v>43488</v>
      </c>
      <c r="N522" s="85" t="s">
        <v>265</v>
      </c>
      <c r="O522" s="86" t="s">
        <v>340</v>
      </c>
      <c r="P522" s="84" t="s">
        <v>78</v>
      </c>
      <c r="Q522" s="86" t="s">
        <v>40</v>
      </c>
      <c r="R522" s="86" t="s">
        <v>1734</v>
      </c>
      <c r="S522" s="87" t="s">
        <v>1735</v>
      </c>
      <c r="T522" s="87" t="s">
        <v>726</v>
      </c>
      <c r="U522" s="88">
        <v>65000</v>
      </c>
      <c r="V522" s="88">
        <v>70200</v>
      </c>
      <c r="W522" s="88">
        <v>65000</v>
      </c>
      <c r="X522" s="88">
        <v>70200</v>
      </c>
      <c r="Y522" s="88">
        <v>0</v>
      </c>
      <c r="Z522" s="88">
        <v>0</v>
      </c>
      <c r="AA522" s="85">
        <v>43515</v>
      </c>
      <c r="AB522" s="85">
        <v>43516</v>
      </c>
      <c r="AD522" s="84">
        <v>0</v>
      </c>
      <c r="AG522" s="84">
        <v>0</v>
      </c>
      <c r="AJ522" s="84">
        <v>0</v>
      </c>
      <c r="AR522" s="85">
        <v>43490</v>
      </c>
      <c r="AS522" s="84">
        <v>6001640992</v>
      </c>
      <c r="AT522" s="85">
        <v>43490</v>
      </c>
      <c r="AU522" s="84" t="s">
        <v>1706</v>
      </c>
      <c r="AV522" s="85">
        <v>43516</v>
      </c>
      <c r="AW522" s="123">
        <v>43524</v>
      </c>
      <c r="AX522" s="123">
        <v>43544</v>
      </c>
      <c r="AY522" s="132">
        <v>62400</v>
      </c>
      <c r="AZ522" s="132">
        <f>ROUNDDOWN(AY522+(AY522*MASTER!$A$2/100),0)</f>
        <v>67392</v>
      </c>
      <c r="BC522" s="88">
        <v>0</v>
      </c>
      <c r="BG522" s="88">
        <v>0</v>
      </c>
      <c r="BK522" s="88">
        <v>0</v>
      </c>
      <c r="BS522" s="88">
        <v>0</v>
      </c>
      <c r="BV522" s="89">
        <v>70200</v>
      </c>
      <c r="BW522" s="89">
        <v>0</v>
      </c>
      <c r="BX522" s="89">
        <v>43488</v>
      </c>
      <c r="BY522" s="89">
        <v>70200</v>
      </c>
      <c r="BZ522" s="112">
        <v>100</v>
      </c>
    </row>
    <row r="523" spans="1:89" x14ac:dyDescent="0.15">
      <c r="A523" s="84">
        <v>1</v>
      </c>
      <c r="B523" s="85">
        <v>43494</v>
      </c>
      <c r="C523" s="85">
        <v>43517</v>
      </c>
      <c r="F523" s="85" t="s">
        <v>338</v>
      </c>
      <c r="H523" s="85" t="s">
        <v>338</v>
      </c>
      <c r="J523" s="84">
        <v>2</v>
      </c>
      <c r="L523" s="84">
        <v>0</v>
      </c>
      <c r="M523" s="85">
        <v>43488</v>
      </c>
      <c r="N523" s="85" t="s">
        <v>265</v>
      </c>
      <c r="O523" s="86" t="s">
        <v>340</v>
      </c>
      <c r="P523" s="84" t="s">
        <v>78</v>
      </c>
      <c r="Q523" s="86" t="s">
        <v>40</v>
      </c>
      <c r="R523" s="86" t="s">
        <v>1736</v>
      </c>
      <c r="S523" s="87" t="s">
        <v>1737</v>
      </c>
      <c r="T523" s="87" t="s">
        <v>726</v>
      </c>
      <c r="U523" s="88">
        <v>65000</v>
      </c>
      <c r="V523" s="88">
        <v>70200</v>
      </c>
      <c r="W523" s="88">
        <v>65000</v>
      </c>
      <c r="X523" s="88">
        <v>70200</v>
      </c>
      <c r="Y523" s="88">
        <v>0</v>
      </c>
      <c r="Z523" s="88">
        <v>0</v>
      </c>
      <c r="AA523" s="85">
        <v>43516</v>
      </c>
      <c r="AB523" s="85">
        <v>43517</v>
      </c>
      <c r="AD523" s="84">
        <v>0</v>
      </c>
      <c r="AG523" s="84">
        <v>0</v>
      </c>
      <c r="AJ523" s="84">
        <v>0</v>
      </c>
      <c r="AR523" s="85">
        <v>43490</v>
      </c>
      <c r="AS523" s="84">
        <v>6001640992</v>
      </c>
      <c r="AT523" s="85">
        <v>43490</v>
      </c>
      <c r="AU523" s="84" t="s">
        <v>1706</v>
      </c>
      <c r="AV523" s="85">
        <v>43517</v>
      </c>
      <c r="AW523" s="123">
        <v>43524</v>
      </c>
      <c r="AX523" s="123">
        <v>43544</v>
      </c>
      <c r="AY523" s="132">
        <v>62400</v>
      </c>
      <c r="AZ523" s="132">
        <f>ROUNDDOWN(AY523+(AY523*MASTER!$A$2/100),0)</f>
        <v>67392</v>
      </c>
      <c r="BC523" s="88">
        <v>0</v>
      </c>
      <c r="BG523" s="88">
        <v>0</v>
      </c>
      <c r="BK523" s="88">
        <v>0</v>
      </c>
      <c r="BS523" s="88">
        <v>0</v>
      </c>
      <c r="BV523" s="89">
        <v>70200</v>
      </c>
      <c r="BW523" s="89">
        <v>0</v>
      </c>
      <c r="BX523" s="89">
        <v>43488</v>
      </c>
      <c r="BY523" s="89">
        <v>70200</v>
      </c>
      <c r="BZ523" s="112">
        <v>100</v>
      </c>
    </row>
    <row r="524" spans="1:89" x14ac:dyDescent="0.15">
      <c r="A524" s="84">
        <v>1</v>
      </c>
      <c r="B524" s="85">
        <v>43494</v>
      </c>
      <c r="C524" s="85">
        <v>43518</v>
      </c>
      <c r="F524" s="85" t="s">
        <v>338</v>
      </c>
      <c r="H524" s="85" t="s">
        <v>338</v>
      </c>
      <c r="J524" s="84">
        <v>2</v>
      </c>
      <c r="L524" s="84">
        <v>0</v>
      </c>
      <c r="M524" s="85">
        <v>43488</v>
      </c>
      <c r="N524" s="85" t="s">
        <v>265</v>
      </c>
      <c r="O524" s="86" t="s">
        <v>340</v>
      </c>
      <c r="P524" s="84" t="s">
        <v>78</v>
      </c>
      <c r="Q524" s="86" t="s">
        <v>40</v>
      </c>
      <c r="R524" s="86" t="s">
        <v>1738</v>
      </c>
      <c r="S524" s="87" t="s">
        <v>1739</v>
      </c>
      <c r="T524" s="87" t="s">
        <v>726</v>
      </c>
      <c r="U524" s="88">
        <v>65000</v>
      </c>
      <c r="V524" s="88">
        <v>70200</v>
      </c>
      <c r="W524" s="88">
        <v>65000</v>
      </c>
      <c r="X524" s="88">
        <v>70200</v>
      </c>
      <c r="Y524" s="88">
        <v>0</v>
      </c>
      <c r="Z524" s="88">
        <v>0</v>
      </c>
      <c r="AA524" s="85">
        <v>43517</v>
      </c>
      <c r="AB524" s="85">
        <v>43518</v>
      </c>
      <c r="AD524" s="84">
        <v>0</v>
      </c>
      <c r="AG524" s="84">
        <v>0</v>
      </c>
      <c r="AJ524" s="84">
        <v>0</v>
      </c>
      <c r="AR524" s="85">
        <v>43490</v>
      </c>
      <c r="AS524" s="84">
        <v>6001640992</v>
      </c>
      <c r="AT524" s="85">
        <v>43490</v>
      </c>
      <c r="AU524" s="84" t="s">
        <v>1706</v>
      </c>
      <c r="AV524" s="85">
        <v>43518</v>
      </c>
      <c r="AW524" s="123">
        <v>43524</v>
      </c>
      <c r="AX524" s="123">
        <v>43544</v>
      </c>
      <c r="AY524" s="132">
        <v>62400</v>
      </c>
      <c r="AZ524" s="132">
        <f>ROUNDDOWN(AY524+(AY524*MASTER!$A$2/100),0)</f>
        <v>67392</v>
      </c>
      <c r="BC524" s="88">
        <v>0</v>
      </c>
      <c r="BG524" s="88">
        <v>0</v>
      </c>
      <c r="BK524" s="88">
        <v>0</v>
      </c>
      <c r="BS524" s="88">
        <v>0</v>
      </c>
      <c r="BV524" s="89">
        <v>70200</v>
      </c>
      <c r="BW524" s="89">
        <v>0</v>
      </c>
      <c r="BX524" s="89">
        <v>43488</v>
      </c>
      <c r="BY524" s="89">
        <v>70200</v>
      </c>
      <c r="BZ524" s="112">
        <v>100</v>
      </c>
    </row>
    <row r="525" spans="1:89" x14ac:dyDescent="0.15">
      <c r="A525" s="84">
        <v>1</v>
      </c>
      <c r="B525" s="85">
        <v>43494</v>
      </c>
      <c r="C525" s="85">
        <v>43519</v>
      </c>
      <c r="F525" s="85" t="s">
        <v>338</v>
      </c>
      <c r="H525" s="85" t="s">
        <v>338</v>
      </c>
      <c r="J525" s="84">
        <v>2</v>
      </c>
      <c r="L525" s="84">
        <v>0</v>
      </c>
      <c r="M525" s="85">
        <v>43488</v>
      </c>
      <c r="N525" s="85" t="s">
        <v>265</v>
      </c>
      <c r="O525" s="86" t="s">
        <v>340</v>
      </c>
      <c r="P525" s="84" t="s">
        <v>78</v>
      </c>
      <c r="Q525" s="86" t="s">
        <v>40</v>
      </c>
      <c r="R525" s="86" t="s">
        <v>1740</v>
      </c>
      <c r="S525" s="87" t="s">
        <v>1741</v>
      </c>
      <c r="T525" s="87" t="s">
        <v>726</v>
      </c>
      <c r="U525" s="88">
        <v>65000</v>
      </c>
      <c r="V525" s="88">
        <v>70200</v>
      </c>
      <c r="W525" s="88">
        <v>65000</v>
      </c>
      <c r="X525" s="88">
        <v>70200</v>
      </c>
      <c r="Y525" s="88">
        <v>0</v>
      </c>
      <c r="Z525" s="88">
        <v>0</v>
      </c>
      <c r="AA525" s="85">
        <v>43518</v>
      </c>
      <c r="AB525" s="85">
        <v>43519</v>
      </c>
      <c r="AD525" s="84">
        <v>0</v>
      </c>
      <c r="AG525" s="84">
        <v>0</v>
      </c>
      <c r="AJ525" s="84">
        <v>0</v>
      </c>
      <c r="AR525" s="85">
        <v>43490</v>
      </c>
      <c r="AS525" s="84">
        <v>6001640992</v>
      </c>
      <c r="AT525" s="85">
        <v>43490</v>
      </c>
      <c r="AU525" s="84" t="s">
        <v>1706</v>
      </c>
      <c r="AV525" s="85">
        <v>43519</v>
      </c>
      <c r="AW525" s="123">
        <v>43524</v>
      </c>
      <c r="AX525" s="123">
        <v>43544</v>
      </c>
      <c r="AY525" s="132">
        <v>62400</v>
      </c>
      <c r="AZ525" s="132">
        <f>ROUNDDOWN(AY525+(AY525*MASTER!$A$2/100),0)</f>
        <v>67392</v>
      </c>
      <c r="BC525" s="88">
        <v>0</v>
      </c>
      <c r="BG525" s="88">
        <v>0</v>
      </c>
      <c r="BK525" s="88">
        <v>0</v>
      </c>
      <c r="BS525" s="88">
        <v>0</v>
      </c>
      <c r="BV525" s="89">
        <v>70200</v>
      </c>
      <c r="BW525" s="89">
        <v>0</v>
      </c>
      <c r="BX525" s="89">
        <v>43488</v>
      </c>
      <c r="BY525" s="89">
        <v>70200</v>
      </c>
      <c r="BZ525" s="112">
        <v>100</v>
      </c>
    </row>
    <row r="526" spans="1:89" x14ac:dyDescent="0.15">
      <c r="A526" s="84">
        <v>1</v>
      </c>
      <c r="B526" s="85">
        <v>43494</v>
      </c>
      <c r="C526" s="85">
        <v>43511</v>
      </c>
      <c r="F526" s="85" t="s">
        <v>338</v>
      </c>
      <c r="H526" s="85" t="s">
        <v>338</v>
      </c>
      <c r="J526" s="84">
        <v>2</v>
      </c>
      <c r="L526" s="84">
        <v>0</v>
      </c>
      <c r="M526" s="85">
        <v>43488</v>
      </c>
      <c r="N526" s="85" t="s">
        <v>265</v>
      </c>
      <c r="O526" s="86" t="s">
        <v>340</v>
      </c>
      <c r="P526" s="84" t="s">
        <v>78</v>
      </c>
      <c r="Q526" s="86" t="s">
        <v>40</v>
      </c>
      <c r="R526" s="86" t="s">
        <v>1742</v>
      </c>
      <c r="S526" s="87" t="s">
        <v>1743</v>
      </c>
      <c r="T526" s="87" t="s">
        <v>726</v>
      </c>
      <c r="U526" s="88">
        <v>65000</v>
      </c>
      <c r="V526" s="88">
        <v>70200</v>
      </c>
      <c r="W526" s="88">
        <v>65000</v>
      </c>
      <c r="X526" s="88">
        <v>70200</v>
      </c>
      <c r="Y526" s="88">
        <v>0</v>
      </c>
      <c r="Z526" s="88">
        <v>0</v>
      </c>
      <c r="AA526" s="85">
        <v>43522</v>
      </c>
      <c r="AB526" s="85">
        <v>43523</v>
      </c>
      <c r="AD526" s="84">
        <v>0</v>
      </c>
      <c r="AG526" s="84">
        <v>0</v>
      </c>
      <c r="AJ526" s="84">
        <v>0</v>
      </c>
      <c r="AR526" s="85">
        <v>43490</v>
      </c>
      <c r="AS526" s="84">
        <v>6001640992</v>
      </c>
      <c r="AT526" s="85">
        <v>43490</v>
      </c>
      <c r="AU526" s="84" t="s">
        <v>1706</v>
      </c>
      <c r="AV526" s="85">
        <v>43511</v>
      </c>
      <c r="AW526" s="123">
        <v>43524</v>
      </c>
      <c r="AX526" s="123">
        <v>43544</v>
      </c>
      <c r="AY526" s="132">
        <v>62400</v>
      </c>
      <c r="AZ526" s="132">
        <f>ROUNDDOWN(AY526+(AY526*MASTER!$A$2/100),0)</f>
        <v>67392</v>
      </c>
      <c r="BC526" s="88">
        <v>0</v>
      </c>
      <c r="BG526" s="88">
        <v>0</v>
      </c>
      <c r="BK526" s="88">
        <v>0</v>
      </c>
      <c r="BS526" s="88">
        <v>0</v>
      </c>
      <c r="BV526" s="89">
        <v>70200</v>
      </c>
      <c r="BW526" s="89">
        <v>0</v>
      </c>
      <c r="BX526" s="89">
        <v>43488</v>
      </c>
      <c r="BY526" s="89">
        <v>70200</v>
      </c>
      <c r="BZ526" s="112">
        <v>100</v>
      </c>
    </row>
    <row r="527" spans="1:89" x14ac:dyDescent="0.15">
      <c r="A527" s="84">
        <v>2</v>
      </c>
      <c r="B527" s="85">
        <v>43524</v>
      </c>
      <c r="C527" s="85">
        <v>43531</v>
      </c>
      <c r="D527" s="85">
        <v>43571</v>
      </c>
      <c r="F527" s="85">
        <v>43538</v>
      </c>
      <c r="G527" s="85">
        <v>43530</v>
      </c>
      <c r="H527" s="85">
        <v>43534</v>
      </c>
      <c r="I527" s="84" t="s">
        <v>1191</v>
      </c>
      <c r="J527" s="84">
        <v>1</v>
      </c>
      <c r="L527" s="84">
        <v>0</v>
      </c>
      <c r="M527" s="85">
        <v>43489</v>
      </c>
      <c r="N527" s="85" t="s">
        <v>265</v>
      </c>
      <c r="O527" s="86" t="s">
        <v>340</v>
      </c>
      <c r="P527" s="84" t="s">
        <v>26</v>
      </c>
      <c r="Q527" s="86" t="s">
        <v>40</v>
      </c>
      <c r="R527" s="86" t="s">
        <v>1744</v>
      </c>
      <c r="S527" s="87" t="s">
        <v>392</v>
      </c>
      <c r="T527" s="87" t="s">
        <v>636</v>
      </c>
      <c r="U527" s="88">
        <v>73200</v>
      </c>
      <c r="V527" s="88">
        <v>79056</v>
      </c>
      <c r="W527" s="88">
        <v>47000</v>
      </c>
      <c r="X527" s="88">
        <v>50760</v>
      </c>
      <c r="Y527" s="88">
        <v>26200</v>
      </c>
      <c r="Z527" s="88">
        <v>28296</v>
      </c>
      <c r="AA527" s="85">
        <v>43529</v>
      </c>
      <c r="AB527" s="85">
        <v>43531</v>
      </c>
      <c r="AC527" s="85">
        <v>43531</v>
      </c>
      <c r="AD527" s="84">
        <v>0</v>
      </c>
      <c r="AG527" s="84">
        <v>0</v>
      </c>
      <c r="AJ527" s="84">
        <v>0</v>
      </c>
      <c r="AM527" s="84" t="s">
        <v>290</v>
      </c>
      <c r="AN527" s="84" t="s">
        <v>1745</v>
      </c>
      <c r="AR527" s="85">
        <v>43508</v>
      </c>
      <c r="AS527" s="84">
        <v>6001645992</v>
      </c>
      <c r="AT527" s="85">
        <v>43509</v>
      </c>
      <c r="AU527" s="84" t="s">
        <v>1746</v>
      </c>
      <c r="AV527" s="85">
        <v>43531</v>
      </c>
      <c r="AW527" s="123">
        <v>43555</v>
      </c>
      <c r="AX527" s="123">
        <v>43575</v>
      </c>
      <c r="AY527" s="132">
        <v>70272</v>
      </c>
      <c r="AZ527" s="132">
        <f>ROUNDDOWN(AY527+(AY527*MASTER!$A$2/100),0)</f>
        <v>75893</v>
      </c>
      <c r="BA527" s="84" t="s">
        <v>287</v>
      </c>
      <c r="BB527" s="88">
        <v>42000</v>
      </c>
      <c r="BC527" s="88">
        <v>45360</v>
      </c>
      <c r="BD527" s="84" t="s">
        <v>1268</v>
      </c>
      <c r="BG527" s="88">
        <v>0</v>
      </c>
      <c r="BI527" s="84" t="s">
        <v>434</v>
      </c>
      <c r="BJ527" s="88">
        <v>17030</v>
      </c>
      <c r="BK527" s="88">
        <v>18392.400000000001</v>
      </c>
      <c r="BL527" s="84" t="s">
        <v>1268</v>
      </c>
      <c r="BS527" s="88">
        <v>0</v>
      </c>
      <c r="BV527" s="89">
        <v>50760</v>
      </c>
      <c r="BW527" s="89">
        <v>63752.4</v>
      </c>
      <c r="BX527" s="89">
        <v>43489</v>
      </c>
      <c r="BY527" s="89">
        <v>-12992.4</v>
      </c>
      <c r="BZ527" s="112">
        <v>-25.59574468085107</v>
      </c>
      <c r="CK527" s="88">
        <v>0</v>
      </c>
    </row>
    <row r="528" spans="1:89" x14ac:dyDescent="0.15">
      <c r="A528" s="84">
        <v>2</v>
      </c>
      <c r="B528" s="85">
        <v>43531</v>
      </c>
      <c r="C528" s="85">
        <v>43540</v>
      </c>
      <c r="D528" s="85">
        <v>43571</v>
      </c>
      <c r="E528" s="85">
        <v>43549</v>
      </c>
      <c r="F528" s="85">
        <v>43547</v>
      </c>
      <c r="G528" s="85">
        <v>43542</v>
      </c>
      <c r="H528" s="85">
        <v>43543</v>
      </c>
      <c r="I528" s="84" t="s">
        <v>1191</v>
      </c>
      <c r="J528" s="84">
        <v>1</v>
      </c>
      <c r="K528" s="85">
        <v>43509</v>
      </c>
      <c r="L528" s="84" t="s">
        <v>818</v>
      </c>
      <c r="M528" s="85">
        <v>43489</v>
      </c>
      <c r="N528" s="85" t="s">
        <v>265</v>
      </c>
      <c r="O528" s="86" t="s">
        <v>340</v>
      </c>
      <c r="P528" s="84" t="s">
        <v>26</v>
      </c>
      <c r="Q528" s="86" t="s">
        <v>40</v>
      </c>
      <c r="R528" s="86" t="s">
        <v>1747</v>
      </c>
      <c r="S528" s="87" t="s">
        <v>1748</v>
      </c>
      <c r="T528" s="87" t="s">
        <v>1749</v>
      </c>
      <c r="U528" s="88">
        <v>181200</v>
      </c>
      <c r="V528" s="88">
        <v>195696</v>
      </c>
      <c r="W528" s="88">
        <v>86500</v>
      </c>
      <c r="X528" s="88">
        <v>93420</v>
      </c>
      <c r="Y528" s="88">
        <v>94700</v>
      </c>
      <c r="Z528" s="88">
        <v>102276</v>
      </c>
      <c r="AA528" s="85">
        <v>43539</v>
      </c>
      <c r="AB528" s="85">
        <v>43540</v>
      </c>
      <c r="AC528" s="85">
        <v>43540</v>
      </c>
      <c r="AD528" s="84">
        <v>0</v>
      </c>
      <c r="AG528" s="84">
        <v>0</v>
      </c>
      <c r="AJ528" s="84">
        <v>0</v>
      </c>
      <c r="AM528" s="84" t="s">
        <v>290</v>
      </c>
      <c r="AN528" s="84" t="s">
        <v>1750</v>
      </c>
      <c r="AR528" s="85">
        <v>43522</v>
      </c>
      <c r="AS528" s="84">
        <v>6001651126</v>
      </c>
      <c r="AT528" s="85">
        <v>43522</v>
      </c>
      <c r="AU528" s="84" t="s">
        <v>1751</v>
      </c>
      <c r="AV528" s="85">
        <v>43540</v>
      </c>
      <c r="AW528" s="123">
        <v>43555</v>
      </c>
      <c r="AX528" s="123">
        <v>43575</v>
      </c>
      <c r="AY528" s="132">
        <v>173952</v>
      </c>
      <c r="AZ528" s="132">
        <f>ROUNDDOWN(AY528+(AY528*MASTER!$A$2/100),0)</f>
        <v>187868</v>
      </c>
      <c r="BA528" s="84" t="s">
        <v>287</v>
      </c>
      <c r="BB528" s="88">
        <v>30000</v>
      </c>
      <c r="BC528" s="88">
        <v>32400</v>
      </c>
      <c r="BD528" s="84" t="s">
        <v>1268</v>
      </c>
      <c r="BG528" s="88">
        <v>0</v>
      </c>
      <c r="BI528" s="84" t="s">
        <v>434</v>
      </c>
      <c r="BJ528" s="88">
        <v>61555</v>
      </c>
      <c r="BK528" s="88">
        <v>66479.399999999994</v>
      </c>
      <c r="BL528" s="84" t="s">
        <v>1268</v>
      </c>
      <c r="BS528" s="88">
        <v>0</v>
      </c>
      <c r="BV528" s="89">
        <v>93420</v>
      </c>
      <c r="BW528" s="89">
        <v>98879.4</v>
      </c>
      <c r="BX528" s="89">
        <v>0</v>
      </c>
      <c r="BY528" s="89">
        <v>43509</v>
      </c>
      <c r="BZ528" s="112">
        <v>-5.8439306358381442</v>
      </c>
      <c r="CK528" s="88">
        <v>31500</v>
      </c>
    </row>
    <row r="529" spans="1:89" x14ac:dyDescent="0.15">
      <c r="A529" s="84">
        <v>2</v>
      </c>
      <c r="B529" s="85">
        <v>43531</v>
      </c>
      <c r="C529" s="85">
        <v>43539</v>
      </c>
      <c r="D529" s="85">
        <v>43571</v>
      </c>
      <c r="E529" s="85">
        <v>43549</v>
      </c>
      <c r="F529" s="85">
        <v>43546</v>
      </c>
      <c r="G529" s="85">
        <v>43542</v>
      </c>
      <c r="H529" s="85">
        <v>43542</v>
      </c>
      <c r="I529" s="84" t="s">
        <v>1191</v>
      </c>
      <c r="J529" s="84">
        <v>2</v>
      </c>
      <c r="L529" s="84">
        <v>0</v>
      </c>
      <c r="M529" s="85">
        <v>43489</v>
      </c>
      <c r="N529" s="85" t="s">
        <v>265</v>
      </c>
      <c r="O529" s="86" t="s">
        <v>340</v>
      </c>
      <c r="P529" s="84" t="s">
        <v>26</v>
      </c>
      <c r="Q529" s="86" t="s">
        <v>40</v>
      </c>
      <c r="R529" s="86" t="s">
        <v>1752</v>
      </c>
      <c r="S529" s="87" t="s">
        <v>1753</v>
      </c>
      <c r="T529" s="87" t="s">
        <v>1754</v>
      </c>
      <c r="U529" s="88">
        <v>490320</v>
      </c>
      <c r="V529" s="88">
        <v>529545.6</v>
      </c>
      <c r="W529" s="88">
        <v>490320</v>
      </c>
      <c r="X529" s="88">
        <v>529545.6</v>
      </c>
      <c r="Z529" s="88">
        <v>0</v>
      </c>
      <c r="AA529" s="85">
        <v>43535</v>
      </c>
      <c r="AB529" s="85">
        <v>43539</v>
      </c>
      <c r="AC529" s="85">
        <v>43539</v>
      </c>
      <c r="AD529" s="84">
        <v>0</v>
      </c>
      <c r="AG529" s="84">
        <v>0</v>
      </c>
      <c r="AJ529" s="84">
        <v>0</v>
      </c>
      <c r="AM529" s="84" t="s">
        <v>290</v>
      </c>
      <c r="AN529" s="84" t="s">
        <v>1755</v>
      </c>
      <c r="AR529" s="85">
        <v>43525</v>
      </c>
      <c r="AS529" s="84">
        <v>6001652292</v>
      </c>
      <c r="AT529" s="85">
        <v>43525</v>
      </c>
      <c r="AU529" s="84" t="s">
        <v>1756</v>
      </c>
      <c r="AV529" s="85">
        <v>43539</v>
      </c>
      <c r="AW529" s="123">
        <v>43555</v>
      </c>
      <c r="AX529" s="123">
        <v>43575</v>
      </c>
      <c r="AY529" s="132">
        <v>470707</v>
      </c>
      <c r="AZ529" s="132">
        <f>ROUNDDOWN(AY529+(AY529*MASTER!$A$2/100),0)</f>
        <v>508363</v>
      </c>
      <c r="BA529" s="84" t="s">
        <v>287</v>
      </c>
      <c r="BB529" s="88">
        <v>103460</v>
      </c>
      <c r="BC529" s="88">
        <v>111736.8</v>
      </c>
      <c r="BD529" s="84" t="s">
        <v>1268</v>
      </c>
      <c r="BG529" s="88">
        <v>0</v>
      </c>
      <c r="BK529" s="88">
        <v>0</v>
      </c>
      <c r="BS529" s="88">
        <v>0</v>
      </c>
      <c r="BV529" s="89">
        <v>529545.6</v>
      </c>
      <c r="BW529" s="89">
        <v>111736.8</v>
      </c>
      <c r="BX529" s="89">
        <v>43489</v>
      </c>
      <c r="BY529" s="89">
        <v>417808.8</v>
      </c>
      <c r="BZ529" s="112">
        <v>78.899494207864251</v>
      </c>
      <c r="CK529" s="88">
        <v>0</v>
      </c>
    </row>
    <row r="530" spans="1:89" x14ac:dyDescent="0.15">
      <c r="A530" s="84">
        <v>1</v>
      </c>
      <c r="B530" s="85">
        <v>43514</v>
      </c>
      <c r="C530" s="85">
        <v>43516</v>
      </c>
      <c r="F530" s="85" t="s">
        <v>338</v>
      </c>
      <c r="G530" s="85">
        <v>43517</v>
      </c>
      <c r="H530" s="85" t="s">
        <v>338</v>
      </c>
      <c r="I530" s="84" t="s">
        <v>1191</v>
      </c>
      <c r="J530" s="84">
        <v>2</v>
      </c>
      <c r="L530" s="84">
        <v>0</v>
      </c>
      <c r="M530" s="85">
        <v>43489</v>
      </c>
      <c r="N530" s="85" t="s">
        <v>265</v>
      </c>
      <c r="O530" s="86" t="s">
        <v>340</v>
      </c>
      <c r="P530" s="84" t="s">
        <v>26</v>
      </c>
      <c r="Q530" s="86" t="s">
        <v>40</v>
      </c>
      <c r="R530" s="86" t="s">
        <v>1757</v>
      </c>
      <c r="S530" s="87" t="s">
        <v>1758</v>
      </c>
      <c r="T530" s="87" t="s">
        <v>1759</v>
      </c>
      <c r="U530" s="88">
        <v>57000</v>
      </c>
      <c r="V530" s="88">
        <v>61560</v>
      </c>
      <c r="W530" s="88">
        <v>57000</v>
      </c>
      <c r="X530" s="88">
        <v>61560</v>
      </c>
      <c r="Z530" s="88">
        <v>0</v>
      </c>
      <c r="AA530" s="85">
        <v>43515</v>
      </c>
      <c r="AB530" s="85">
        <v>43515</v>
      </c>
      <c r="AD530" s="84">
        <v>0</v>
      </c>
      <c r="AG530" s="84">
        <v>0</v>
      </c>
      <c r="AJ530" s="84">
        <v>0</v>
      </c>
      <c r="AM530" s="84" t="s">
        <v>290</v>
      </c>
      <c r="AN530" s="84" t="s">
        <v>1760</v>
      </c>
      <c r="AR530" s="85">
        <v>43511</v>
      </c>
      <c r="AS530" s="84">
        <v>6001647343</v>
      </c>
      <c r="AT530" s="85">
        <v>43511</v>
      </c>
      <c r="AU530" s="84" t="s">
        <v>1761</v>
      </c>
      <c r="AV530" s="85">
        <v>43516</v>
      </c>
      <c r="AW530" s="123">
        <v>43524</v>
      </c>
      <c r="AX530" s="123">
        <v>43544</v>
      </c>
      <c r="AY530" s="132">
        <v>54720</v>
      </c>
      <c r="AZ530" s="132">
        <f>ROUNDDOWN(AY530+(AY530*MASTER!$A$2/100),0)</f>
        <v>59097</v>
      </c>
      <c r="BA530" s="84" t="s">
        <v>778</v>
      </c>
      <c r="BC530" s="88">
        <v>0</v>
      </c>
      <c r="BG530" s="88">
        <v>0</v>
      </c>
      <c r="BK530" s="88">
        <v>0</v>
      </c>
      <c r="BS530" s="88">
        <v>0</v>
      </c>
      <c r="BV530" s="89">
        <v>61560</v>
      </c>
      <c r="BW530" s="89">
        <v>0</v>
      </c>
      <c r="BX530" s="89">
        <v>43489</v>
      </c>
      <c r="BY530" s="89">
        <v>61560</v>
      </c>
      <c r="BZ530" s="112">
        <v>100</v>
      </c>
      <c r="CK530" s="88">
        <v>0</v>
      </c>
    </row>
    <row r="531" spans="1:89" x14ac:dyDescent="0.15">
      <c r="A531" s="84">
        <v>2</v>
      </c>
      <c r="B531" s="85">
        <v>43501</v>
      </c>
      <c r="C531" s="85">
        <v>43504</v>
      </c>
      <c r="D531" s="85">
        <v>43508</v>
      </c>
      <c r="E531" s="85">
        <v>43508</v>
      </c>
      <c r="F531" s="85" t="s">
        <v>338</v>
      </c>
      <c r="G531" s="85">
        <v>43508</v>
      </c>
      <c r="H531" s="85" t="s">
        <v>338</v>
      </c>
      <c r="I531" s="84" t="s">
        <v>380</v>
      </c>
      <c r="J531" s="84">
        <v>2</v>
      </c>
      <c r="L531" s="84">
        <v>0</v>
      </c>
      <c r="M531" s="85">
        <v>43490</v>
      </c>
      <c r="N531" s="85" t="s">
        <v>265</v>
      </c>
      <c r="O531" s="86" t="s">
        <v>340</v>
      </c>
      <c r="P531" s="84" t="s">
        <v>6</v>
      </c>
      <c r="Q531" s="86" t="s">
        <v>40</v>
      </c>
      <c r="R531" s="86" t="s">
        <v>1762</v>
      </c>
      <c r="S531" s="87" t="s">
        <v>1763</v>
      </c>
      <c r="T531" s="87" t="s">
        <v>342</v>
      </c>
      <c r="U531" s="88">
        <v>35000</v>
      </c>
      <c r="V531" s="88">
        <v>37800</v>
      </c>
      <c r="W531" s="88">
        <v>35000</v>
      </c>
      <c r="X531" s="88">
        <v>37800</v>
      </c>
      <c r="Z531" s="88">
        <v>0</v>
      </c>
      <c r="AA531" s="85">
        <v>43504</v>
      </c>
      <c r="AB531" s="85">
        <v>43504</v>
      </c>
      <c r="AD531" s="84">
        <v>0</v>
      </c>
      <c r="AG531" s="84">
        <v>0</v>
      </c>
      <c r="AJ531" s="84">
        <v>0</v>
      </c>
      <c r="AN531" s="84" t="s">
        <v>338</v>
      </c>
      <c r="AR531" s="85">
        <v>43496</v>
      </c>
      <c r="AS531" s="84">
        <v>6001642562</v>
      </c>
      <c r="AT531" s="85">
        <v>43500</v>
      </c>
      <c r="AU531" s="84" t="s">
        <v>1606</v>
      </c>
      <c r="AV531" s="85">
        <v>43504</v>
      </c>
      <c r="AW531" s="123">
        <v>43524</v>
      </c>
      <c r="AX531" s="123">
        <v>43544</v>
      </c>
      <c r="AY531" s="132">
        <v>33600</v>
      </c>
      <c r="AZ531" s="132">
        <f>ROUNDDOWN(AY531+(AY531*MASTER!$A$2/100),0)</f>
        <v>36288</v>
      </c>
      <c r="BA531" s="84" t="s">
        <v>287</v>
      </c>
      <c r="BB531" s="88">
        <v>38000</v>
      </c>
      <c r="BC531" s="88">
        <v>41040</v>
      </c>
      <c r="BD531" s="84" t="s">
        <v>1233</v>
      </c>
      <c r="BG531" s="88">
        <v>0</v>
      </c>
      <c r="BK531" s="88">
        <v>0</v>
      </c>
      <c r="BS531" s="88">
        <v>0</v>
      </c>
      <c r="BV531" s="89">
        <v>37800</v>
      </c>
      <c r="BW531" s="89">
        <v>41040</v>
      </c>
      <c r="BX531" s="89">
        <v>43490</v>
      </c>
      <c r="BY531" s="89">
        <v>-3240</v>
      </c>
      <c r="BZ531" s="112">
        <v>-8.5714285714285712</v>
      </c>
      <c r="CK531" s="88">
        <v>0</v>
      </c>
    </row>
    <row r="532" spans="1:89" s="151" customFormat="1" x14ac:dyDescent="0.15">
      <c r="A532" s="141">
        <v>3</v>
      </c>
      <c r="B532" s="142"/>
      <c r="C532" s="142" t="s">
        <v>338</v>
      </c>
      <c r="D532" s="142"/>
      <c r="E532" s="142"/>
      <c r="F532" s="142" t="s">
        <v>338</v>
      </c>
      <c r="G532" s="142"/>
      <c r="H532" s="142" t="s">
        <v>338</v>
      </c>
      <c r="I532" s="141"/>
      <c r="J532" s="141">
        <v>2</v>
      </c>
      <c r="K532" s="142"/>
      <c r="L532" s="141">
        <v>0</v>
      </c>
      <c r="M532" s="142">
        <v>43490</v>
      </c>
      <c r="N532" s="142" t="s">
        <v>265</v>
      </c>
      <c r="O532" s="143" t="s">
        <v>340</v>
      </c>
      <c r="P532" s="141" t="s">
        <v>26</v>
      </c>
      <c r="Q532" s="143" t="s">
        <v>40</v>
      </c>
      <c r="R532" s="143" t="s">
        <v>1764</v>
      </c>
      <c r="S532" s="144" t="s">
        <v>1230</v>
      </c>
      <c r="T532" s="144" t="s">
        <v>455</v>
      </c>
      <c r="U532" s="145">
        <v>97800</v>
      </c>
      <c r="V532" s="145">
        <v>105624</v>
      </c>
      <c r="W532" s="145">
        <v>97800</v>
      </c>
      <c r="X532" s="145">
        <v>105624</v>
      </c>
      <c r="Y532" s="145"/>
      <c r="Z532" s="145">
        <v>0</v>
      </c>
      <c r="AA532" s="142">
        <v>43516</v>
      </c>
      <c r="AB532" s="142">
        <v>43518</v>
      </c>
      <c r="AC532" s="142"/>
      <c r="AD532" s="141">
        <v>0</v>
      </c>
      <c r="AE532" s="141"/>
      <c r="AF532" s="141"/>
      <c r="AG532" s="141">
        <v>0</v>
      </c>
      <c r="AH532" s="141"/>
      <c r="AI532" s="141"/>
      <c r="AJ532" s="141">
        <v>0</v>
      </c>
      <c r="AK532" s="141"/>
      <c r="AL532" s="141"/>
      <c r="AM532" s="141" t="s">
        <v>290</v>
      </c>
      <c r="AN532" s="141" t="s">
        <v>1765</v>
      </c>
      <c r="AO532" s="142"/>
      <c r="AP532" s="141"/>
      <c r="AQ532" s="141"/>
      <c r="AR532" s="142"/>
      <c r="AS532" s="141"/>
      <c r="AT532" s="142"/>
      <c r="AU532" s="141"/>
      <c r="AV532" s="142"/>
      <c r="AW532" s="146"/>
      <c r="AX532" s="146"/>
      <c r="AY532" s="147">
        <v>93888</v>
      </c>
      <c r="AZ532" s="132">
        <f>ROUNDDOWN(AY532+(AY532*MASTER!$A$2/100),0)</f>
        <v>101399</v>
      </c>
      <c r="BA532" s="141"/>
      <c r="BB532" s="145"/>
      <c r="BC532" s="145">
        <v>0</v>
      </c>
      <c r="BD532" s="141"/>
      <c r="BE532" s="141"/>
      <c r="BF532" s="145"/>
      <c r="BG532" s="145">
        <v>0</v>
      </c>
      <c r="BH532" s="141"/>
      <c r="BI532" s="141"/>
      <c r="BJ532" s="145"/>
      <c r="BK532" s="145">
        <v>0</v>
      </c>
      <c r="BL532" s="141"/>
      <c r="BM532" s="145"/>
      <c r="BN532" s="145"/>
      <c r="BO532" s="145"/>
      <c r="BP532" s="145"/>
      <c r="BQ532" s="145"/>
      <c r="BR532" s="145"/>
      <c r="BS532" s="145">
        <v>0</v>
      </c>
      <c r="BT532" s="148"/>
      <c r="BU532" s="148"/>
      <c r="BV532" s="149">
        <v>105624</v>
      </c>
      <c r="BW532" s="149">
        <v>0</v>
      </c>
      <c r="BX532" s="149">
        <v>43490</v>
      </c>
      <c r="BY532" s="149">
        <v>105624</v>
      </c>
      <c r="BZ532" s="150">
        <v>100</v>
      </c>
      <c r="CA532" s="141"/>
      <c r="CB532" s="141"/>
      <c r="CC532" s="141"/>
      <c r="CD532" s="144" t="s">
        <v>1766</v>
      </c>
      <c r="CE532" s="142"/>
      <c r="CF532" s="142"/>
      <c r="CG532" s="142"/>
      <c r="CH532" s="142"/>
      <c r="CI532" s="142"/>
      <c r="CJ532" s="142"/>
      <c r="CK532" s="145">
        <v>6300</v>
      </c>
    </row>
    <row r="533" spans="1:89" x14ac:dyDescent="0.15">
      <c r="A533" s="84">
        <v>2</v>
      </c>
      <c r="B533" s="85">
        <v>43510</v>
      </c>
      <c r="C533" s="85">
        <v>43515</v>
      </c>
      <c r="D533" s="85">
        <v>43521</v>
      </c>
      <c r="F533" s="85">
        <v>43522</v>
      </c>
      <c r="G533" s="85">
        <v>43515</v>
      </c>
      <c r="H533" s="85">
        <v>43518</v>
      </c>
      <c r="I533" s="84" t="s">
        <v>401</v>
      </c>
      <c r="J533" s="84">
        <v>2</v>
      </c>
      <c r="L533" s="84">
        <v>0</v>
      </c>
      <c r="M533" s="85">
        <v>43490</v>
      </c>
      <c r="N533" s="85" t="s">
        <v>265</v>
      </c>
      <c r="O533" s="86" t="s">
        <v>340</v>
      </c>
      <c r="P533" s="84" t="s">
        <v>26</v>
      </c>
      <c r="Q533" s="86" t="s">
        <v>40</v>
      </c>
      <c r="R533" s="86" t="s">
        <v>1767</v>
      </c>
      <c r="S533" s="87" t="s">
        <v>997</v>
      </c>
      <c r="T533" s="87" t="s">
        <v>455</v>
      </c>
      <c r="U533" s="88">
        <v>97800</v>
      </c>
      <c r="V533" s="88">
        <v>105624</v>
      </c>
      <c r="W533" s="88">
        <v>97800</v>
      </c>
      <c r="X533" s="88">
        <v>105624</v>
      </c>
      <c r="Z533" s="88">
        <v>0</v>
      </c>
      <c r="AA533" s="85">
        <v>43514</v>
      </c>
      <c r="AB533" s="85">
        <v>43515</v>
      </c>
      <c r="AC533" s="85">
        <v>43515</v>
      </c>
      <c r="AD533" s="84">
        <v>0</v>
      </c>
      <c r="AG533" s="84">
        <v>0</v>
      </c>
      <c r="AJ533" s="84">
        <v>0</v>
      </c>
      <c r="AM533" s="84" t="s">
        <v>290</v>
      </c>
      <c r="AN533" s="84" t="s">
        <v>1768</v>
      </c>
      <c r="AR533" s="85">
        <v>43504</v>
      </c>
      <c r="AS533" s="84">
        <v>6001645543</v>
      </c>
      <c r="AT533" s="85">
        <v>43509</v>
      </c>
      <c r="AU533" s="84" t="s">
        <v>1672</v>
      </c>
      <c r="AV533" s="85">
        <v>43515</v>
      </c>
      <c r="AW533" s="123">
        <v>43524</v>
      </c>
      <c r="AX533" s="123">
        <v>43544</v>
      </c>
      <c r="AY533" s="132">
        <v>93888</v>
      </c>
      <c r="AZ533" s="132">
        <f>ROUNDDOWN(AY533+(AY533*MASTER!$A$2/100),0)</f>
        <v>101399</v>
      </c>
      <c r="BA533" s="84" t="s">
        <v>286</v>
      </c>
      <c r="BB533" s="88">
        <v>41000</v>
      </c>
      <c r="BC533" s="88">
        <v>44280</v>
      </c>
      <c r="BD533" s="84" t="s">
        <v>1233</v>
      </c>
      <c r="BG533" s="88">
        <v>0</v>
      </c>
      <c r="BK533" s="88">
        <v>0</v>
      </c>
      <c r="BS533" s="88">
        <v>0</v>
      </c>
      <c r="BV533" s="89">
        <v>105624</v>
      </c>
      <c r="BW533" s="89">
        <v>44280</v>
      </c>
      <c r="BX533" s="89">
        <v>43490</v>
      </c>
      <c r="BY533" s="89">
        <v>61344</v>
      </c>
      <c r="BZ533" s="112">
        <v>58.077709611451944</v>
      </c>
      <c r="CK533" s="88">
        <v>6300</v>
      </c>
    </row>
    <row r="534" spans="1:89" x14ac:dyDescent="0.15">
      <c r="A534" s="84">
        <v>2</v>
      </c>
      <c r="B534" s="85">
        <v>43504</v>
      </c>
      <c r="C534" s="85">
        <v>43511</v>
      </c>
      <c r="D534" s="85">
        <v>43521</v>
      </c>
      <c r="F534" s="85">
        <v>43518</v>
      </c>
      <c r="G534" s="85">
        <v>43514</v>
      </c>
      <c r="H534" s="85">
        <v>43514</v>
      </c>
      <c r="I534" s="84" t="s">
        <v>401</v>
      </c>
      <c r="J534" s="84">
        <v>2</v>
      </c>
      <c r="L534" s="84">
        <v>0</v>
      </c>
      <c r="M534" s="85">
        <v>43490</v>
      </c>
      <c r="N534" s="85" t="s">
        <v>265</v>
      </c>
      <c r="O534" s="86" t="s">
        <v>340</v>
      </c>
      <c r="P534" s="84" t="s">
        <v>26</v>
      </c>
      <c r="Q534" s="86" t="s">
        <v>40</v>
      </c>
      <c r="R534" s="86" t="s">
        <v>1769</v>
      </c>
      <c r="S534" s="87" t="s">
        <v>1151</v>
      </c>
      <c r="T534" s="87" t="s">
        <v>455</v>
      </c>
      <c r="U534" s="88">
        <v>97800</v>
      </c>
      <c r="V534" s="88">
        <v>105624</v>
      </c>
      <c r="W534" s="88">
        <v>97800</v>
      </c>
      <c r="X534" s="88">
        <v>105624</v>
      </c>
      <c r="Z534" s="88">
        <v>0</v>
      </c>
      <c r="AA534" s="85">
        <v>43508</v>
      </c>
      <c r="AB534" s="85">
        <v>43511</v>
      </c>
      <c r="AC534" s="85">
        <v>43511</v>
      </c>
      <c r="AD534" s="84">
        <v>0</v>
      </c>
      <c r="AG534" s="84">
        <v>0</v>
      </c>
      <c r="AJ534" s="84">
        <v>0</v>
      </c>
      <c r="AM534" s="84" t="s">
        <v>290</v>
      </c>
      <c r="AN534" s="84" t="s">
        <v>1770</v>
      </c>
      <c r="AR534" s="85">
        <v>43503</v>
      </c>
      <c r="AS534" s="84">
        <v>6001644886</v>
      </c>
      <c r="AT534" s="85">
        <v>43503</v>
      </c>
      <c r="AU534" s="84" t="s">
        <v>1771</v>
      </c>
      <c r="AV534" s="85">
        <v>43511</v>
      </c>
      <c r="AW534" s="123">
        <v>43524</v>
      </c>
      <c r="AX534" s="123">
        <v>43544</v>
      </c>
      <c r="AY534" s="132">
        <v>93888</v>
      </c>
      <c r="AZ534" s="132">
        <f>ROUNDDOWN(AY534+(AY534*MASTER!$A$2/100),0)</f>
        <v>101399</v>
      </c>
      <c r="BA534" s="84" t="s">
        <v>286</v>
      </c>
      <c r="BB534" s="88">
        <v>24000</v>
      </c>
      <c r="BC534" s="88">
        <v>25920</v>
      </c>
      <c r="BD534" s="84" t="s">
        <v>1233</v>
      </c>
      <c r="BG534" s="88">
        <v>0</v>
      </c>
      <c r="BK534" s="88">
        <v>0</v>
      </c>
      <c r="BS534" s="88">
        <v>0</v>
      </c>
      <c r="BV534" s="89">
        <v>105624</v>
      </c>
      <c r="BW534" s="89">
        <v>25920</v>
      </c>
      <c r="BX534" s="89">
        <v>43490</v>
      </c>
      <c r="BY534" s="89">
        <v>79704</v>
      </c>
      <c r="BZ534" s="112">
        <v>75.460122699386503</v>
      </c>
      <c r="CK534" s="88">
        <v>6300</v>
      </c>
    </row>
    <row r="535" spans="1:89" x14ac:dyDescent="0.15">
      <c r="A535" s="84">
        <v>2</v>
      </c>
      <c r="B535" s="85">
        <v>43571</v>
      </c>
      <c r="C535" s="85">
        <v>43581</v>
      </c>
      <c r="D535" s="85" t="s">
        <v>374</v>
      </c>
      <c r="E535" s="85">
        <v>43593</v>
      </c>
      <c r="F535" s="85">
        <v>43588</v>
      </c>
      <c r="G535" s="85">
        <v>43593</v>
      </c>
      <c r="H535" s="85">
        <v>43584</v>
      </c>
      <c r="I535" s="84" t="s">
        <v>401</v>
      </c>
      <c r="J535" s="84">
        <v>1</v>
      </c>
      <c r="K535" s="85">
        <v>43552</v>
      </c>
      <c r="L535" s="84" t="s">
        <v>818</v>
      </c>
      <c r="M535" s="85">
        <v>43490</v>
      </c>
      <c r="N535" s="85" t="s">
        <v>265</v>
      </c>
      <c r="O535" s="86" t="s">
        <v>340</v>
      </c>
      <c r="P535" s="84" t="s">
        <v>26</v>
      </c>
      <c r="Q535" s="86" t="s">
        <v>40</v>
      </c>
      <c r="R535" s="86" t="s">
        <v>1772</v>
      </c>
      <c r="S535" s="87" t="s">
        <v>900</v>
      </c>
      <c r="T535" s="87" t="s">
        <v>1773</v>
      </c>
      <c r="U535" s="88">
        <v>23900</v>
      </c>
      <c r="V535" s="88">
        <v>25812</v>
      </c>
      <c r="W535" s="88">
        <v>14700</v>
      </c>
      <c r="X535" s="88">
        <v>15876</v>
      </c>
      <c r="Y535" s="88">
        <v>9200</v>
      </c>
      <c r="Z535" s="88">
        <v>9936</v>
      </c>
      <c r="AA535" s="85">
        <v>43579</v>
      </c>
      <c r="AB535" s="85">
        <v>43581</v>
      </c>
      <c r="AC535" s="85">
        <v>43581</v>
      </c>
      <c r="AD535" s="84">
        <v>0</v>
      </c>
      <c r="AG535" s="84">
        <v>0</v>
      </c>
      <c r="AJ535" s="84">
        <v>0</v>
      </c>
      <c r="AM535" s="84" t="s">
        <v>290</v>
      </c>
      <c r="AN535" s="84" t="s">
        <v>1774</v>
      </c>
      <c r="AR535" s="85">
        <v>43570</v>
      </c>
      <c r="AS535" s="84">
        <v>6001666615</v>
      </c>
      <c r="AT535" s="85">
        <v>43570</v>
      </c>
      <c r="AU535" s="84" t="s">
        <v>1775</v>
      </c>
      <c r="AV535" s="85">
        <v>43581</v>
      </c>
      <c r="AW535" s="123">
        <v>43585</v>
      </c>
      <c r="AX535" s="123">
        <v>43605</v>
      </c>
      <c r="AY535" s="132">
        <v>22944</v>
      </c>
      <c r="AZ535" s="132">
        <f>ROUNDDOWN(AY535+(AY535*MASTER!$A$2/100),0)</f>
        <v>24779</v>
      </c>
      <c r="BA535" s="84" t="s">
        <v>778</v>
      </c>
      <c r="BC535" s="88">
        <v>0</v>
      </c>
      <c r="BG535" s="88">
        <v>0</v>
      </c>
      <c r="BI535" s="84" t="s">
        <v>276</v>
      </c>
      <c r="BJ535" s="88">
        <v>5980</v>
      </c>
      <c r="BK535" s="88">
        <v>6458.4</v>
      </c>
      <c r="BL535" s="84" t="s">
        <v>1645</v>
      </c>
      <c r="BS535" s="88">
        <v>0</v>
      </c>
      <c r="BV535" s="89">
        <v>15876</v>
      </c>
      <c r="BW535" s="89">
        <v>6458.4</v>
      </c>
      <c r="BX535" s="89">
        <v>0</v>
      </c>
      <c r="BY535" s="89">
        <v>43552</v>
      </c>
      <c r="BZ535" s="112">
        <v>59.319727891156461</v>
      </c>
      <c r="CK535" s="88">
        <v>0</v>
      </c>
    </row>
    <row r="536" spans="1:89" x14ac:dyDescent="0.15">
      <c r="A536" s="84">
        <v>2</v>
      </c>
      <c r="B536" s="85">
        <v>43503</v>
      </c>
      <c r="C536" s="85">
        <v>43516</v>
      </c>
      <c r="D536" s="85">
        <v>43515</v>
      </c>
      <c r="E536" s="85">
        <v>43515</v>
      </c>
      <c r="F536" s="85" t="s">
        <v>338</v>
      </c>
      <c r="G536" s="85">
        <v>43515</v>
      </c>
      <c r="H536" s="85" t="s">
        <v>338</v>
      </c>
      <c r="I536" s="84" t="s">
        <v>380</v>
      </c>
      <c r="J536" s="84">
        <v>2</v>
      </c>
      <c r="L536" s="84">
        <v>0</v>
      </c>
      <c r="M536" s="85">
        <v>43490</v>
      </c>
      <c r="N536" s="85" t="s">
        <v>265</v>
      </c>
      <c r="O536" s="86" t="s">
        <v>340</v>
      </c>
      <c r="P536" s="84" t="s">
        <v>6</v>
      </c>
      <c r="Q536" s="86" t="s">
        <v>40</v>
      </c>
      <c r="R536" s="86" t="s">
        <v>1776</v>
      </c>
      <c r="S536" s="87" t="s">
        <v>747</v>
      </c>
      <c r="T536" s="87" t="s">
        <v>342</v>
      </c>
      <c r="U536" s="88">
        <v>35000</v>
      </c>
      <c r="V536" s="88">
        <v>37800</v>
      </c>
      <c r="W536" s="88">
        <v>35000</v>
      </c>
      <c r="X536" s="88">
        <v>37800</v>
      </c>
      <c r="Z536" s="88">
        <v>0</v>
      </c>
      <c r="AA536" s="85">
        <v>43504</v>
      </c>
      <c r="AB536" s="85">
        <v>43505</v>
      </c>
      <c r="AD536" s="84">
        <v>0</v>
      </c>
      <c r="AG536" s="84">
        <v>0</v>
      </c>
      <c r="AJ536" s="84">
        <v>0</v>
      </c>
      <c r="AN536" s="84" t="s">
        <v>338</v>
      </c>
      <c r="AR536" s="85">
        <v>43502</v>
      </c>
      <c r="AS536" s="84">
        <v>6001644375</v>
      </c>
      <c r="AT536" s="85">
        <v>43502</v>
      </c>
      <c r="AU536" s="84" t="s">
        <v>1777</v>
      </c>
      <c r="AV536" s="85">
        <v>43516</v>
      </c>
      <c r="AW536" s="123">
        <v>43524</v>
      </c>
      <c r="AX536" s="123">
        <v>43544</v>
      </c>
      <c r="AY536" s="132">
        <v>33600</v>
      </c>
      <c r="AZ536" s="132">
        <f>ROUNDDOWN(AY536+(AY536*MASTER!$A$2/100),0)</f>
        <v>36288</v>
      </c>
      <c r="BA536" s="84" t="s">
        <v>666</v>
      </c>
      <c r="BB536" s="88">
        <v>62000</v>
      </c>
      <c r="BC536" s="88">
        <v>66960</v>
      </c>
      <c r="BD536" s="84" t="s">
        <v>1233</v>
      </c>
      <c r="BG536" s="88">
        <v>0</v>
      </c>
      <c r="BK536" s="88">
        <v>0</v>
      </c>
      <c r="BS536" s="88">
        <v>0</v>
      </c>
      <c r="BV536" s="89">
        <v>37800</v>
      </c>
      <c r="BW536" s="89">
        <v>66960</v>
      </c>
      <c r="BX536" s="89">
        <v>43490</v>
      </c>
      <c r="BY536" s="89">
        <v>-29160</v>
      </c>
      <c r="BZ536" s="112">
        <v>-77.142857142857153</v>
      </c>
      <c r="CK536" s="88">
        <v>0</v>
      </c>
    </row>
    <row r="537" spans="1:89" s="151" customFormat="1" x14ac:dyDescent="0.15">
      <c r="A537" s="141">
        <v>3</v>
      </c>
      <c r="B537" s="142"/>
      <c r="C537" s="142" t="s">
        <v>338</v>
      </c>
      <c r="D537" s="142"/>
      <c r="E537" s="142"/>
      <c r="F537" s="142" t="s">
        <v>338</v>
      </c>
      <c r="G537" s="142"/>
      <c r="H537" s="142" t="s">
        <v>338</v>
      </c>
      <c r="I537" s="141"/>
      <c r="J537" s="141">
        <v>2</v>
      </c>
      <c r="K537" s="142"/>
      <c r="L537" s="141">
        <v>0</v>
      </c>
      <c r="M537" s="142">
        <v>43490</v>
      </c>
      <c r="N537" s="142" t="s">
        <v>265</v>
      </c>
      <c r="O537" s="143" t="s">
        <v>340</v>
      </c>
      <c r="P537" s="141" t="s">
        <v>6</v>
      </c>
      <c r="Q537" s="143" t="s">
        <v>40</v>
      </c>
      <c r="R537" s="143" t="s">
        <v>1778</v>
      </c>
      <c r="S537" s="144" t="s">
        <v>1779</v>
      </c>
      <c r="T537" s="144" t="s">
        <v>342</v>
      </c>
      <c r="U537" s="145">
        <v>35000</v>
      </c>
      <c r="V537" s="145">
        <v>37800</v>
      </c>
      <c r="W537" s="145">
        <v>35000</v>
      </c>
      <c r="X537" s="145">
        <v>37800</v>
      </c>
      <c r="Y537" s="145"/>
      <c r="Z537" s="145">
        <v>0</v>
      </c>
      <c r="AA537" s="142"/>
      <c r="AB537" s="142"/>
      <c r="AC537" s="142"/>
      <c r="AD537" s="141">
        <v>0</v>
      </c>
      <c r="AE537" s="141"/>
      <c r="AF537" s="141"/>
      <c r="AG537" s="141">
        <v>0</v>
      </c>
      <c r="AH537" s="141"/>
      <c r="AI537" s="141"/>
      <c r="AJ537" s="141">
        <v>0</v>
      </c>
      <c r="AK537" s="141"/>
      <c r="AL537" s="141"/>
      <c r="AM537" s="141"/>
      <c r="AN537" s="141"/>
      <c r="AO537" s="142"/>
      <c r="AP537" s="141"/>
      <c r="AQ537" s="141"/>
      <c r="AR537" s="142"/>
      <c r="AS537" s="141"/>
      <c r="AT537" s="142"/>
      <c r="AU537" s="141"/>
      <c r="AV537" s="142"/>
      <c r="AW537" s="146"/>
      <c r="AX537" s="146"/>
      <c r="AY537" s="147">
        <v>33600</v>
      </c>
      <c r="AZ537" s="132">
        <f>ROUNDDOWN(AY537+(AY537*MASTER!$A$2/100),0)</f>
        <v>36288</v>
      </c>
      <c r="BA537" s="141"/>
      <c r="BB537" s="145"/>
      <c r="BC537" s="145">
        <v>0</v>
      </c>
      <c r="BD537" s="141"/>
      <c r="BE537" s="141"/>
      <c r="BF537" s="145"/>
      <c r="BG537" s="145">
        <v>0</v>
      </c>
      <c r="BH537" s="141"/>
      <c r="BI537" s="141"/>
      <c r="BJ537" s="145"/>
      <c r="BK537" s="145">
        <v>0</v>
      </c>
      <c r="BL537" s="141"/>
      <c r="BM537" s="145"/>
      <c r="BN537" s="145"/>
      <c r="BO537" s="145"/>
      <c r="BP537" s="145"/>
      <c r="BQ537" s="145"/>
      <c r="BR537" s="145"/>
      <c r="BS537" s="145">
        <v>0</v>
      </c>
      <c r="BT537" s="148"/>
      <c r="BU537" s="148"/>
      <c r="BV537" s="149">
        <v>37800</v>
      </c>
      <c r="BW537" s="149">
        <v>0</v>
      </c>
      <c r="BX537" s="149">
        <v>43490</v>
      </c>
      <c r="BY537" s="149">
        <v>37800</v>
      </c>
      <c r="BZ537" s="150">
        <v>100</v>
      </c>
      <c r="CA537" s="141"/>
      <c r="CB537" s="141"/>
      <c r="CC537" s="141"/>
      <c r="CD537" s="144" t="s">
        <v>1780</v>
      </c>
      <c r="CE537" s="142"/>
      <c r="CF537" s="142"/>
      <c r="CG537" s="142"/>
      <c r="CH537" s="142"/>
      <c r="CI537" s="142"/>
      <c r="CJ537" s="142"/>
      <c r="CK537" s="145"/>
    </row>
    <row r="538" spans="1:89" x14ac:dyDescent="0.15">
      <c r="A538" s="84">
        <v>2</v>
      </c>
      <c r="B538" s="85">
        <v>43535</v>
      </c>
      <c r="C538" s="85">
        <v>43543</v>
      </c>
      <c r="D538" s="85">
        <v>43571</v>
      </c>
      <c r="E538" s="85">
        <v>43549</v>
      </c>
      <c r="F538" s="85">
        <v>43550</v>
      </c>
      <c r="G538" s="85">
        <v>43543</v>
      </c>
      <c r="H538" s="85">
        <v>43546</v>
      </c>
      <c r="I538" s="84" t="s">
        <v>1191</v>
      </c>
      <c r="J538" s="84">
        <v>1</v>
      </c>
      <c r="K538" s="85">
        <v>43509</v>
      </c>
      <c r="L538" s="84" t="s">
        <v>818</v>
      </c>
      <c r="M538" s="85">
        <v>43493</v>
      </c>
      <c r="N538" s="85" t="s">
        <v>265</v>
      </c>
      <c r="O538" s="86" t="s">
        <v>340</v>
      </c>
      <c r="P538" s="84" t="s">
        <v>26</v>
      </c>
      <c r="Q538" s="86" t="s">
        <v>40</v>
      </c>
      <c r="R538" s="86" t="s">
        <v>1781</v>
      </c>
      <c r="S538" s="87" t="s">
        <v>558</v>
      </c>
      <c r="T538" s="87" t="s">
        <v>1782</v>
      </c>
      <c r="U538" s="88">
        <v>191500</v>
      </c>
      <c r="V538" s="88">
        <v>206820</v>
      </c>
      <c r="W538" s="88">
        <v>165300</v>
      </c>
      <c r="X538" s="88">
        <v>178524</v>
      </c>
      <c r="Y538" s="88">
        <v>26200</v>
      </c>
      <c r="Z538" s="88">
        <v>28296</v>
      </c>
      <c r="AA538" s="85">
        <v>43541</v>
      </c>
      <c r="AB538" s="85">
        <v>43543</v>
      </c>
      <c r="AC538" s="85">
        <v>43543</v>
      </c>
      <c r="AD538" s="84">
        <v>0</v>
      </c>
      <c r="AG538" s="84">
        <v>0</v>
      </c>
      <c r="AJ538" s="84">
        <v>0</v>
      </c>
      <c r="AM538" s="84" t="s">
        <v>290</v>
      </c>
      <c r="AN538" s="84" t="s">
        <v>1783</v>
      </c>
      <c r="AR538" s="85">
        <v>43530</v>
      </c>
      <c r="AS538" s="84">
        <v>6001653823</v>
      </c>
      <c r="AT538" s="85">
        <v>43531</v>
      </c>
      <c r="AU538" s="84" t="s">
        <v>1784</v>
      </c>
      <c r="AV538" s="85">
        <v>43543</v>
      </c>
      <c r="AW538" s="123">
        <v>43555</v>
      </c>
      <c r="AX538" s="123">
        <v>43575</v>
      </c>
      <c r="AY538" s="132">
        <v>183840</v>
      </c>
      <c r="AZ538" s="132">
        <f>ROUNDDOWN(AY538+(AY538*MASTER!$A$2/100),0)</f>
        <v>198547</v>
      </c>
      <c r="BA538" s="84" t="s">
        <v>287</v>
      </c>
      <c r="BB538" s="88">
        <v>58990</v>
      </c>
      <c r="BC538" s="88">
        <v>63709.2</v>
      </c>
      <c r="BD538" s="84" t="s">
        <v>1268</v>
      </c>
      <c r="BG538" s="88">
        <v>0</v>
      </c>
      <c r="BI538" s="84" t="s">
        <v>434</v>
      </c>
      <c r="BJ538" s="88">
        <v>17030</v>
      </c>
      <c r="BK538" s="88">
        <v>18392.400000000001</v>
      </c>
      <c r="BL538" s="84" t="s">
        <v>1268</v>
      </c>
      <c r="BS538" s="88">
        <v>0</v>
      </c>
      <c r="BV538" s="89">
        <v>178524</v>
      </c>
      <c r="BW538" s="89">
        <v>82101.600000000006</v>
      </c>
      <c r="BX538" s="89">
        <v>0</v>
      </c>
      <c r="BY538" s="89">
        <v>43509</v>
      </c>
      <c r="BZ538" s="112">
        <v>54.010889292196005</v>
      </c>
      <c r="CK538" s="88">
        <v>6300</v>
      </c>
    </row>
    <row r="539" spans="1:89" x14ac:dyDescent="0.15">
      <c r="A539" s="84">
        <v>1</v>
      </c>
      <c r="B539" s="85">
        <v>43564</v>
      </c>
      <c r="C539" s="85">
        <v>43581</v>
      </c>
      <c r="F539" s="85" t="s">
        <v>338</v>
      </c>
      <c r="H539" s="85" t="s">
        <v>338</v>
      </c>
      <c r="J539" s="84">
        <v>2</v>
      </c>
      <c r="K539" s="85">
        <v>43558</v>
      </c>
      <c r="L539" s="84" t="s">
        <v>818</v>
      </c>
      <c r="M539" s="85">
        <v>43494</v>
      </c>
      <c r="N539" s="85" t="s">
        <v>265</v>
      </c>
      <c r="O539" s="86" t="s">
        <v>340</v>
      </c>
      <c r="P539" s="84" t="s">
        <v>272</v>
      </c>
      <c r="Q539" s="86" t="s">
        <v>40</v>
      </c>
      <c r="R539" s="86" t="s">
        <v>1785</v>
      </c>
      <c r="S539" s="87" t="s">
        <v>403</v>
      </c>
      <c r="T539" s="87" t="s">
        <v>1786</v>
      </c>
      <c r="U539" s="88">
        <v>3000</v>
      </c>
      <c r="V539" s="88">
        <v>3240</v>
      </c>
      <c r="W539" s="88">
        <v>3000</v>
      </c>
      <c r="X539" s="88">
        <v>3240</v>
      </c>
      <c r="Z539" s="88">
        <v>0</v>
      </c>
      <c r="AA539" s="85">
        <v>43490</v>
      </c>
      <c r="AD539" s="84">
        <v>0</v>
      </c>
      <c r="AG539" s="84">
        <v>0</v>
      </c>
      <c r="AJ539" s="84">
        <v>0</v>
      </c>
      <c r="AR539" s="85">
        <v>43563</v>
      </c>
      <c r="AS539" s="84">
        <v>6001664890</v>
      </c>
      <c r="AT539" s="85">
        <v>43563</v>
      </c>
      <c r="AU539" s="84" t="s">
        <v>1692</v>
      </c>
      <c r="AV539" s="85">
        <v>43581</v>
      </c>
      <c r="AW539" s="123">
        <v>43585</v>
      </c>
      <c r="AX539" s="123">
        <v>43605</v>
      </c>
      <c r="AY539" s="132">
        <v>2880</v>
      </c>
      <c r="AZ539" s="132">
        <f>ROUNDDOWN(AY539+(AY539*MASTER!$A$2/100),0)</f>
        <v>3110</v>
      </c>
      <c r="BC539" s="88">
        <v>0</v>
      </c>
      <c r="BG539" s="88">
        <v>0</v>
      </c>
      <c r="BK539" s="88">
        <v>0</v>
      </c>
      <c r="BS539" s="88">
        <v>0</v>
      </c>
      <c r="BV539" s="89">
        <v>3240</v>
      </c>
      <c r="BW539" s="89">
        <v>0</v>
      </c>
      <c r="BX539" s="89">
        <v>0</v>
      </c>
      <c r="BY539" s="89">
        <v>43558</v>
      </c>
      <c r="BZ539" s="112">
        <v>100</v>
      </c>
    </row>
    <row r="540" spans="1:89" x14ac:dyDescent="0.15">
      <c r="A540" s="84">
        <v>2</v>
      </c>
      <c r="B540" s="85">
        <v>43524</v>
      </c>
      <c r="C540" s="85">
        <v>43531</v>
      </c>
      <c r="D540" s="85">
        <v>43553</v>
      </c>
      <c r="F540" s="85">
        <v>43538</v>
      </c>
      <c r="G540" s="85">
        <v>43530</v>
      </c>
      <c r="H540" s="85">
        <v>43534</v>
      </c>
      <c r="I540" s="84" t="s">
        <v>401</v>
      </c>
      <c r="J540" s="84">
        <v>1</v>
      </c>
      <c r="L540" s="84">
        <v>0</v>
      </c>
      <c r="M540" s="85">
        <v>43494</v>
      </c>
      <c r="N540" s="85" t="s">
        <v>265</v>
      </c>
      <c r="O540" s="86" t="s">
        <v>340</v>
      </c>
      <c r="P540" s="84" t="s">
        <v>26</v>
      </c>
      <c r="Q540" s="86" t="s">
        <v>40</v>
      </c>
      <c r="R540" s="86" t="s">
        <v>1787</v>
      </c>
      <c r="S540" s="87" t="s">
        <v>877</v>
      </c>
      <c r="T540" s="87" t="s">
        <v>1788</v>
      </c>
      <c r="U540" s="88">
        <v>50000</v>
      </c>
      <c r="V540" s="88">
        <v>54000</v>
      </c>
      <c r="W540" s="88">
        <v>47000</v>
      </c>
      <c r="X540" s="88">
        <v>50760</v>
      </c>
      <c r="Y540" s="88">
        <v>3000</v>
      </c>
      <c r="Z540" s="88">
        <v>3240</v>
      </c>
      <c r="AA540" s="85">
        <v>43529</v>
      </c>
      <c r="AB540" s="85">
        <v>43531</v>
      </c>
      <c r="AC540" s="85">
        <v>43531</v>
      </c>
      <c r="AD540" s="84">
        <v>0</v>
      </c>
      <c r="AG540" s="84">
        <v>0</v>
      </c>
      <c r="AJ540" s="84">
        <v>0</v>
      </c>
      <c r="AM540" s="84" t="s">
        <v>290</v>
      </c>
      <c r="AN540" s="84" t="s">
        <v>1789</v>
      </c>
      <c r="AR540" s="85">
        <v>43510</v>
      </c>
      <c r="AS540" s="84">
        <v>6001646948</v>
      </c>
      <c r="AT540" s="85">
        <v>43510</v>
      </c>
      <c r="AU540" s="84" t="s">
        <v>1607</v>
      </c>
      <c r="AV540" s="85">
        <v>43531</v>
      </c>
      <c r="AW540" s="123">
        <v>43555</v>
      </c>
      <c r="AX540" s="123">
        <v>43575</v>
      </c>
      <c r="AY540" s="132">
        <v>48000</v>
      </c>
      <c r="AZ540" s="132">
        <f>ROUNDDOWN(AY540+(AY540*MASTER!$A$2/100),0)</f>
        <v>51840</v>
      </c>
      <c r="BA540" s="84" t="s">
        <v>543</v>
      </c>
      <c r="BB540" s="88">
        <v>33000</v>
      </c>
      <c r="BC540" s="88">
        <v>35640</v>
      </c>
      <c r="BD540" s="84" t="s">
        <v>1268</v>
      </c>
      <c r="BG540" s="88">
        <v>0</v>
      </c>
      <c r="BI540" s="84" t="s">
        <v>434</v>
      </c>
      <c r="BJ540" s="88">
        <v>1950</v>
      </c>
      <c r="BK540" s="88">
        <v>2106</v>
      </c>
      <c r="BL540" s="84" t="s">
        <v>1268</v>
      </c>
      <c r="BS540" s="88">
        <v>0</v>
      </c>
      <c r="BV540" s="89">
        <v>50760</v>
      </c>
      <c r="BW540" s="89">
        <v>37746</v>
      </c>
      <c r="BX540" s="89">
        <v>43494</v>
      </c>
      <c r="BY540" s="89">
        <v>13014</v>
      </c>
      <c r="BZ540" s="112">
        <v>25.638297872340427</v>
      </c>
      <c r="CK540" s="88">
        <v>0</v>
      </c>
    </row>
    <row r="541" spans="1:89" x14ac:dyDescent="0.15">
      <c r="A541" s="84">
        <v>2</v>
      </c>
      <c r="B541" s="85">
        <v>43501</v>
      </c>
      <c r="C541" s="85">
        <v>43509</v>
      </c>
      <c r="D541" s="85">
        <v>43497</v>
      </c>
      <c r="E541" s="85">
        <v>43497</v>
      </c>
      <c r="F541" s="85" t="s">
        <v>338</v>
      </c>
      <c r="G541" s="85">
        <v>43497</v>
      </c>
      <c r="H541" s="85" t="s">
        <v>338</v>
      </c>
      <c r="I541" s="84" t="s">
        <v>380</v>
      </c>
      <c r="J541" s="84">
        <v>2</v>
      </c>
      <c r="L541" s="84">
        <v>0</v>
      </c>
      <c r="M541" s="85">
        <v>43494</v>
      </c>
      <c r="N541" s="85" t="s">
        <v>265</v>
      </c>
      <c r="O541" s="86" t="s">
        <v>340</v>
      </c>
      <c r="P541" s="84" t="s">
        <v>6</v>
      </c>
      <c r="Q541" s="86" t="s">
        <v>40</v>
      </c>
      <c r="R541" s="86" t="s">
        <v>1790</v>
      </c>
      <c r="S541" s="87" t="s">
        <v>1307</v>
      </c>
      <c r="T541" s="87" t="s">
        <v>342</v>
      </c>
      <c r="U541" s="88">
        <v>35000</v>
      </c>
      <c r="V541" s="88">
        <v>37800</v>
      </c>
      <c r="W541" s="88">
        <v>35000</v>
      </c>
      <c r="X541" s="88">
        <v>37800</v>
      </c>
      <c r="Z541" s="88">
        <v>0</v>
      </c>
      <c r="AA541" s="85">
        <v>43496</v>
      </c>
      <c r="AB541" s="85">
        <v>43496</v>
      </c>
      <c r="AD541" s="84">
        <v>0</v>
      </c>
      <c r="AG541" s="84">
        <v>0</v>
      </c>
      <c r="AJ541" s="84">
        <v>0</v>
      </c>
      <c r="AN541" s="84" t="s">
        <v>338</v>
      </c>
      <c r="AR541" s="85">
        <v>43497</v>
      </c>
      <c r="AS541" s="84">
        <v>6001642926</v>
      </c>
      <c r="AT541" s="85">
        <v>43500</v>
      </c>
      <c r="AU541" s="84" t="s">
        <v>1702</v>
      </c>
      <c r="AV541" s="85">
        <v>43509</v>
      </c>
      <c r="AW541" s="123">
        <v>43524</v>
      </c>
      <c r="AX541" s="123">
        <v>43544</v>
      </c>
      <c r="AY541" s="132">
        <v>33600</v>
      </c>
      <c r="AZ541" s="132">
        <f>ROUNDDOWN(AY541+(AY541*MASTER!$A$2/100),0)</f>
        <v>36288</v>
      </c>
      <c r="BA541" s="84" t="s">
        <v>287</v>
      </c>
      <c r="BB541" s="88">
        <v>36000</v>
      </c>
      <c r="BC541" s="88">
        <v>38880</v>
      </c>
      <c r="BD541" s="84" t="s">
        <v>1233</v>
      </c>
      <c r="BG541" s="88">
        <v>0</v>
      </c>
      <c r="BK541" s="88">
        <v>0</v>
      </c>
      <c r="BS541" s="88">
        <v>0</v>
      </c>
      <c r="BV541" s="89">
        <v>37800</v>
      </c>
      <c r="BW541" s="89">
        <v>38880</v>
      </c>
      <c r="BX541" s="89">
        <v>43494</v>
      </c>
      <c r="BY541" s="89">
        <v>-1080</v>
      </c>
      <c r="BZ541" s="112">
        <v>-2.8571428571428572</v>
      </c>
      <c r="CK541" s="88">
        <v>0</v>
      </c>
    </row>
    <row r="542" spans="1:89" x14ac:dyDescent="0.15">
      <c r="A542" s="84">
        <v>1</v>
      </c>
      <c r="C542" s="85" t="s">
        <v>338</v>
      </c>
      <c r="F542" s="85" t="s">
        <v>338</v>
      </c>
      <c r="H542" s="85" t="s">
        <v>338</v>
      </c>
      <c r="J542" s="84">
        <v>4</v>
      </c>
      <c r="L542" s="84">
        <v>0</v>
      </c>
      <c r="M542" s="85">
        <v>43494</v>
      </c>
      <c r="N542" s="85" t="s">
        <v>265</v>
      </c>
      <c r="O542" s="86" t="s">
        <v>340</v>
      </c>
      <c r="P542" s="84" t="s">
        <v>26</v>
      </c>
      <c r="Q542" s="86" t="s">
        <v>40</v>
      </c>
      <c r="R542" s="86" t="s">
        <v>1791</v>
      </c>
      <c r="S542" s="87" t="s">
        <v>558</v>
      </c>
      <c r="T542" s="87" t="s">
        <v>1792</v>
      </c>
      <c r="U542" s="88">
        <v>0</v>
      </c>
      <c r="V542" s="88">
        <v>0</v>
      </c>
      <c r="W542" s="88">
        <v>0</v>
      </c>
      <c r="X542" s="88">
        <v>0</v>
      </c>
      <c r="Y542" s="88">
        <v>0</v>
      </c>
      <c r="Z542" s="88">
        <v>0</v>
      </c>
      <c r="AA542" s="85">
        <v>43445</v>
      </c>
      <c r="AD542" s="84">
        <v>0</v>
      </c>
      <c r="AG542" s="84">
        <v>0</v>
      </c>
      <c r="AJ542" s="84">
        <v>0</v>
      </c>
      <c r="AY542" s="132">
        <v>0</v>
      </c>
      <c r="AZ542" s="132">
        <f>ROUNDDOWN(AY542+(AY542*MASTER!$A$2/100),0)</f>
        <v>0</v>
      </c>
      <c r="BC542" s="88">
        <v>0</v>
      </c>
      <c r="BG542" s="88">
        <v>0</v>
      </c>
      <c r="BI542" s="84" t="s">
        <v>434</v>
      </c>
      <c r="BJ542" s="88">
        <v>7800</v>
      </c>
      <c r="BK542" s="88">
        <v>8424</v>
      </c>
      <c r="BL542" s="84" t="s">
        <v>1421</v>
      </c>
      <c r="BS542" s="88">
        <v>0</v>
      </c>
      <c r="BV542" s="89">
        <v>0</v>
      </c>
      <c r="BW542" s="89">
        <v>8424</v>
      </c>
      <c r="BX542" s="89">
        <v>43494</v>
      </c>
      <c r="BY542" s="89">
        <v>-8424</v>
      </c>
      <c r="BZ542" s="112" t="s">
        <v>338</v>
      </c>
      <c r="CD542" s="87" t="s">
        <v>1793</v>
      </c>
    </row>
    <row r="543" spans="1:89" x14ac:dyDescent="0.15">
      <c r="A543" s="84">
        <v>2</v>
      </c>
      <c r="B543" s="85">
        <v>43510</v>
      </c>
      <c r="C543" s="85">
        <v>43518</v>
      </c>
      <c r="D543" s="85" t="s">
        <v>374</v>
      </c>
      <c r="F543" s="85" t="s">
        <v>338</v>
      </c>
      <c r="G543" s="85">
        <v>43521</v>
      </c>
      <c r="H543" s="85" t="s">
        <v>338</v>
      </c>
      <c r="I543" s="84" t="s">
        <v>401</v>
      </c>
      <c r="J543" s="84">
        <v>1</v>
      </c>
      <c r="L543" s="84">
        <v>0</v>
      </c>
      <c r="M543" s="85">
        <v>43495</v>
      </c>
      <c r="N543" s="85" t="s">
        <v>265</v>
      </c>
      <c r="O543" s="86" t="s">
        <v>340</v>
      </c>
      <c r="P543" s="84" t="s">
        <v>26</v>
      </c>
      <c r="Q543" s="86" t="s">
        <v>40</v>
      </c>
      <c r="R543" s="86" t="s">
        <v>1794</v>
      </c>
      <c r="S543" s="87" t="s">
        <v>555</v>
      </c>
      <c r="T543" s="87" t="s">
        <v>1089</v>
      </c>
      <c r="U543" s="88">
        <v>23900</v>
      </c>
      <c r="V543" s="88">
        <v>25812</v>
      </c>
      <c r="W543" s="88">
        <v>14700</v>
      </c>
      <c r="X543" s="88">
        <v>15876</v>
      </c>
      <c r="Y543" s="88">
        <v>9200</v>
      </c>
      <c r="Z543" s="88">
        <v>9936</v>
      </c>
      <c r="AA543" s="85">
        <v>43517</v>
      </c>
      <c r="AB543" s="85">
        <v>43518</v>
      </c>
      <c r="AD543" s="84">
        <v>0</v>
      </c>
      <c r="AG543" s="84">
        <v>0</v>
      </c>
      <c r="AJ543" s="84">
        <v>0</v>
      </c>
      <c r="AM543" s="84" t="s">
        <v>290</v>
      </c>
      <c r="AN543" s="84" t="s">
        <v>1795</v>
      </c>
      <c r="AR543" s="85">
        <v>43508</v>
      </c>
      <c r="AS543" s="84">
        <v>6001645992</v>
      </c>
      <c r="AT543" s="85">
        <v>43509</v>
      </c>
      <c r="AU543" s="84" t="s">
        <v>1746</v>
      </c>
      <c r="AV543" s="85">
        <v>43518</v>
      </c>
      <c r="AW543" s="123">
        <v>43524</v>
      </c>
      <c r="AX543" s="123">
        <v>43544</v>
      </c>
      <c r="AY543" s="132">
        <v>22944</v>
      </c>
      <c r="AZ543" s="132">
        <f>ROUNDDOWN(AY543+(AY543*MASTER!$A$2/100),0)</f>
        <v>24779</v>
      </c>
      <c r="BA543" s="84" t="s">
        <v>778</v>
      </c>
      <c r="BC543" s="88">
        <v>0</v>
      </c>
      <c r="BG543" s="88">
        <v>0</v>
      </c>
      <c r="BI543" s="84" t="s">
        <v>276</v>
      </c>
      <c r="BJ543" s="88">
        <v>5980</v>
      </c>
      <c r="BK543" s="88">
        <v>6458.4</v>
      </c>
      <c r="BL543" s="84" t="s">
        <v>1567</v>
      </c>
      <c r="BS543" s="88">
        <v>0</v>
      </c>
      <c r="BV543" s="89">
        <v>15876</v>
      </c>
      <c r="BW543" s="89">
        <v>6458.4</v>
      </c>
      <c r="BX543" s="89">
        <v>43495</v>
      </c>
      <c r="BY543" s="89">
        <v>9417.6</v>
      </c>
      <c r="BZ543" s="112">
        <v>59.319727891156461</v>
      </c>
      <c r="CK543" s="88">
        <v>0</v>
      </c>
    </row>
    <row r="544" spans="1:89" x14ac:dyDescent="0.15">
      <c r="A544" s="84">
        <v>1</v>
      </c>
      <c r="B544" s="85">
        <v>43500</v>
      </c>
      <c r="C544" s="85">
        <v>43502</v>
      </c>
      <c r="F544" s="85" t="s">
        <v>338</v>
      </c>
      <c r="H544" s="85" t="s">
        <v>338</v>
      </c>
      <c r="J544" s="84">
        <v>2</v>
      </c>
      <c r="L544" s="84">
        <v>0</v>
      </c>
      <c r="M544" s="85">
        <v>43495</v>
      </c>
      <c r="N544" s="85" t="s">
        <v>265</v>
      </c>
      <c r="O544" s="86" t="s">
        <v>340</v>
      </c>
      <c r="P544" s="84" t="s">
        <v>272</v>
      </c>
      <c r="Q544" s="86" t="s">
        <v>40</v>
      </c>
      <c r="R544" s="86" t="s">
        <v>1796</v>
      </c>
      <c r="S544" s="87" t="s">
        <v>926</v>
      </c>
      <c r="T544" s="87" t="s">
        <v>854</v>
      </c>
      <c r="U544" s="88">
        <v>3500</v>
      </c>
      <c r="V544" s="88">
        <v>3780</v>
      </c>
      <c r="W544" s="88">
        <v>3500</v>
      </c>
      <c r="X544" s="88">
        <v>3780</v>
      </c>
      <c r="Z544" s="88">
        <v>0</v>
      </c>
      <c r="AD544" s="84">
        <v>0</v>
      </c>
      <c r="AG544" s="84">
        <v>0</v>
      </c>
      <c r="AJ544" s="84">
        <v>0</v>
      </c>
      <c r="AR544" s="85">
        <v>43496</v>
      </c>
      <c r="AS544" s="84">
        <v>6001642542</v>
      </c>
      <c r="AT544" s="85">
        <v>43497</v>
      </c>
      <c r="AU544" s="84" t="s">
        <v>1797</v>
      </c>
      <c r="AV544" s="85">
        <v>43502</v>
      </c>
      <c r="AW544" s="123">
        <v>43524</v>
      </c>
      <c r="AX544" s="123">
        <v>43544</v>
      </c>
      <c r="AY544" s="132">
        <v>3360</v>
      </c>
      <c r="AZ544" s="132">
        <f>ROUNDDOWN(AY544+(AY544*MASTER!$A$2/100),0)</f>
        <v>3628</v>
      </c>
      <c r="BC544" s="88">
        <v>0</v>
      </c>
      <c r="BG544" s="88">
        <v>0</v>
      </c>
      <c r="BK544" s="88">
        <v>0</v>
      </c>
      <c r="BS544" s="88">
        <v>0</v>
      </c>
      <c r="BV544" s="89">
        <v>3780</v>
      </c>
      <c r="BW544" s="89">
        <v>0</v>
      </c>
      <c r="BX544" s="89">
        <v>43495</v>
      </c>
      <c r="BY544" s="89">
        <v>3780</v>
      </c>
      <c r="BZ544" s="112">
        <v>100</v>
      </c>
    </row>
    <row r="545" spans="1:89" x14ac:dyDescent="0.15">
      <c r="A545" s="84">
        <v>2</v>
      </c>
      <c r="B545" s="85">
        <v>43542</v>
      </c>
      <c r="C545" s="85">
        <v>43553</v>
      </c>
      <c r="D545" s="85">
        <v>43561</v>
      </c>
      <c r="E545" s="85">
        <v>43557</v>
      </c>
      <c r="F545" s="85">
        <v>43560</v>
      </c>
      <c r="G545" s="85">
        <v>43552</v>
      </c>
      <c r="H545" s="85">
        <v>43556</v>
      </c>
      <c r="I545" s="84" t="s">
        <v>401</v>
      </c>
      <c r="J545" s="84">
        <v>1</v>
      </c>
      <c r="L545" s="84">
        <v>0</v>
      </c>
      <c r="M545" s="85">
        <v>43495</v>
      </c>
      <c r="N545" s="85" t="s">
        <v>265</v>
      </c>
      <c r="O545" s="86" t="s">
        <v>340</v>
      </c>
      <c r="P545" s="84" t="s">
        <v>26</v>
      </c>
      <c r="Q545" s="86" t="s">
        <v>40</v>
      </c>
      <c r="R545" s="86" t="s">
        <v>1798</v>
      </c>
      <c r="S545" s="87" t="s">
        <v>873</v>
      </c>
      <c r="T545" s="87" t="s">
        <v>1799</v>
      </c>
      <c r="U545" s="88">
        <v>50000</v>
      </c>
      <c r="V545" s="88">
        <v>54000</v>
      </c>
      <c r="W545" s="88">
        <v>47000</v>
      </c>
      <c r="X545" s="88">
        <v>50760</v>
      </c>
      <c r="Y545" s="88">
        <v>3000</v>
      </c>
      <c r="Z545" s="88">
        <v>3240</v>
      </c>
      <c r="AA545" s="85">
        <v>43551</v>
      </c>
      <c r="AB545" s="85">
        <v>43553</v>
      </c>
      <c r="AC545" s="85">
        <v>43553</v>
      </c>
      <c r="AD545" s="84">
        <v>0</v>
      </c>
      <c r="AG545" s="84">
        <v>0</v>
      </c>
      <c r="AJ545" s="84">
        <v>0</v>
      </c>
      <c r="AM545" s="84" t="s">
        <v>290</v>
      </c>
      <c r="AN545" s="84" t="s">
        <v>1800</v>
      </c>
      <c r="AR545" s="85">
        <v>43516</v>
      </c>
      <c r="AS545" s="84">
        <v>6001649046</v>
      </c>
      <c r="AT545" s="85">
        <v>43516</v>
      </c>
      <c r="AU545" s="84" t="s">
        <v>1801</v>
      </c>
      <c r="AV545" s="85">
        <v>43553</v>
      </c>
      <c r="AW545" s="123">
        <v>43555</v>
      </c>
      <c r="AX545" s="123">
        <v>43575</v>
      </c>
      <c r="AY545" s="132">
        <v>48000</v>
      </c>
      <c r="AZ545" s="132">
        <f>ROUNDDOWN(AY545+(AY545*MASTER!$A$2/100),0)</f>
        <v>51840</v>
      </c>
      <c r="BA545" s="84" t="s">
        <v>543</v>
      </c>
      <c r="BB545" s="88">
        <v>32000</v>
      </c>
      <c r="BC545" s="88">
        <v>34560</v>
      </c>
      <c r="BD545" s="84" t="s">
        <v>1579</v>
      </c>
      <c r="BG545" s="88">
        <v>0</v>
      </c>
      <c r="BI545" s="84" t="s">
        <v>276</v>
      </c>
      <c r="BJ545" s="88">
        <v>1950</v>
      </c>
      <c r="BK545" s="88">
        <v>2106</v>
      </c>
      <c r="BL545" s="84" t="s">
        <v>1659</v>
      </c>
      <c r="BS545" s="88">
        <v>0</v>
      </c>
      <c r="BV545" s="89">
        <v>50760</v>
      </c>
      <c r="BW545" s="89">
        <v>36666</v>
      </c>
      <c r="BX545" s="89">
        <v>43495</v>
      </c>
      <c r="BY545" s="89">
        <v>14094</v>
      </c>
      <c r="BZ545" s="112">
        <v>27.76595744680851</v>
      </c>
      <c r="CK545" s="88">
        <v>0</v>
      </c>
    </row>
    <row r="546" spans="1:89" s="151" customFormat="1" x14ac:dyDescent="0.15">
      <c r="A546" s="141">
        <v>3</v>
      </c>
      <c r="B546" s="142"/>
      <c r="C546" s="142" t="s">
        <v>338</v>
      </c>
      <c r="D546" s="142"/>
      <c r="E546" s="142"/>
      <c r="F546" s="142" t="s">
        <v>338</v>
      </c>
      <c r="G546" s="142"/>
      <c r="H546" s="142" t="s">
        <v>338</v>
      </c>
      <c r="I546" s="141"/>
      <c r="J546" s="141">
        <v>2</v>
      </c>
      <c r="K546" s="142"/>
      <c r="L546" s="141">
        <v>0</v>
      </c>
      <c r="M546" s="142">
        <v>43495</v>
      </c>
      <c r="N546" s="142" t="s">
        <v>265</v>
      </c>
      <c r="O546" s="143" t="s">
        <v>340</v>
      </c>
      <c r="P546" s="141" t="s">
        <v>26</v>
      </c>
      <c r="Q546" s="143" t="s">
        <v>40</v>
      </c>
      <c r="R546" s="143" t="s">
        <v>1802</v>
      </c>
      <c r="S546" s="144" t="s">
        <v>1329</v>
      </c>
      <c r="T546" s="144" t="s">
        <v>1803</v>
      </c>
      <c r="U546" s="145">
        <v>47000</v>
      </c>
      <c r="V546" s="145">
        <v>50760</v>
      </c>
      <c r="W546" s="145">
        <v>47000</v>
      </c>
      <c r="X546" s="145">
        <v>50760</v>
      </c>
      <c r="Y546" s="145"/>
      <c r="Z546" s="145">
        <v>0</v>
      </c>
      <c r="AA546" s="142"/>
      <c r="AB546" s="142"/>
      <c r="AC546" s="142"/>
      <c r="AD546" s="141">
        <v>0</v>
      </c>
      <c r="AE546" s="141"/>
      <c r="AF546" s="141"/>
      <c r="AG546" s="141">
        <v>0</v>
      </c>
      <c r="AH546" s="141"/>
      <c r="AI546" s="141"/>
      <c r="AJ546" s="141">
        <v>0</v>
      </c>
      <c r="AK546" s="141"/>
      <c r="AL546" s="141"/>
      <c r="AM546" s="141" t="s">
        <v>290</v>
      </c>
      <c r="AN546" s="141" t="s">
        <v>1804</v>
      </c>
      <c r="AO546" s="142"/>
      <c r="AP546" s="141"/>
      <c r="AQ546" s="141"/>
      <c r="AR546" s="142"/>
      <c r="AS546" s="141"/>
      <c r="AT546" s="142"/>
      <c r="AU546" s="141"/>
      <c r="AV546" s="142"/>
      <c r="AW546" s="146"/>
      <c r="AX546" s="146"/>
      <c r="AY546" s="147">
        <v>45120</v>
      </c>
      <c r="AZ546" s="132">
        <f>ROUNDDOWN(AY546+(AY546*MASTER!$A$2/100),0)</f>
        <v>48729</v>
      </c>
      <c r="BA546" s="141"/>
      <c r="BB546" s="145"/>
      <c r="BC546" s="145">
        <v>0</v>
      </c>
      <c r="BD546" s="141"/>
      <c r="BE546" s="141"/>
      <c r="BF546" s="145"/>
      <c r="BG546" s="145">
        <v>0</v>
      </c>
      <c r="BH546" s="141"/>
      <c r="BI546" s="141"/>
      <c r="BJ546" s="145"/>
      <c r="BK546" s="145">
        <v>0</v>
      </c>
      <c r="BL546" s="141"/>
      <c r="BM546" s="145"/>
      <c r="BN546" s="145"/>
      <c r="BO546" s="145"/>
      <c r="BP546" s="145"/>
      <c r="BQ546" s="145"/>
      <c r="BR546" s="145"/>
      <c r="BS546" s="145">
        <v>0</v>
      </c>
      <c r="BT546" s="148"/>
      <c r="BU546" s="148"/>
      <c r="BV546" s="149">
        <v>50760</v>
      </c>
      <c r="BW546" s="149">
        <v>0</v>
      </c>
      <c r="BX546" s="149">
        <v>43495</v>
      </c>
      <c r="BY546" s="149">
        <v>50760</v>
      </c>
      <c r="BZ546" s="150">
        <v>100</v>
      </c>
      <c r="CA546" s="141"/>
      <c r="CB546" s="141"/>
      <c r="CC546" s="141"/>
      <c r="CD546" s="144" t="s">
        <v>1805</v>
      </c>
      <c r="CE546" s="142"/>
      <c r="CF546" s="142"/>
      <c r="CG546" s="142"/>
      <c r="CH546" s="142"/>
      <c r="CI546" s="142"/>
      <c r="CJ546" s="142"/>
      <c r="CK546" s="145">
        <v>0</v>
      </c>
    </row>
    <row r="547" spans="1:89" s="151" customFormat="1" x14ac:dyDescent="0.15">
      <c r="A547" s="141">
        <v>3</v>
      </c>
      <c r="B547" s="142">
        <v>43531</v>
      </c>
      <c r="C547" s="142">
        <v>43539</v>
      </c>
      <c r="D547" s="142"/>
      <c r="E547" s="142"/>
      <c r="F547" s="142" t="s">
        <v>338</v>
      </c>
      <c r="G547" s="142"/>
      <c r="H547" s="142" t="s">
        <v>338</v>
      </c>
      <c r="I547" s="141"/>
      <c r="J547" s="141">
        <v>1</v>
      </c>
      <c r="K547" s="142"/>
      <c r="L547" s="141">
        <v>0</v>
      </c>
      <c r="M547" s="142">
        <v>43496</v>
      </c>
      <c r="N547" s="142" t="s">
        <v>265</v>
      </c>
      <c r="O547" s="143" t="s">
        <v>340</v>
      </c>
      <c r="P547" s="141" t="s">
        <v>26</v>
      </c>
      <c r="Q547" s="143" t="s">
        <v>40</v>
      </c>
      <c r="R547" s="143" t="s">
        <v>1806</v>
      </c>
      <c r="S547" s="144" t="s">
        <v>928</v>
      </c>
      <c r="T547" s="144" t="s">
        <v>1807</v>
      </c>
      <c r="U547" s="145">
        <v>2431500</v>
      </c>
      <c r="V547" s="145">
        <v>2626020</v>
      </c>
      <c r="W547" s="145">
        <v>2307800</v>
      </c>
      <c r="X547" s="145">
        <v>2492424</v>
      </c>
      <c r="Y547" s="145">
        <v>123700</v>
      </c>
      <c r="Z547" s="145">
        <v>133596</v>
      </c>
      <c r="AA547" s="142">
        <v>43535</v>
      </c>
      <c r="AB547" s="142">
        <v>43539</v>
      </c>
      <c r="AC547" s="142"/>
      <c r="AD547" s="141">
        <v>0</v>
      </c>
      <c r="AE547" s="141"/>
      <c r="AF547" s="141"/>
      <c r="AG547" s="141">
        <v>0</v>
      </c>
      <c r="AH547" s="141"/>
      <c r="AI547" s="141"/>
      <c r="AJ547" s="141">
        <v>0</v>
      </c>
      <c r="AK547" s="141"/>
      <c r="AL547" s="141"/>
      <c r="AM547" s="141" t="s">
        <v>290</v>
      </c>
      <c r="AN547" s="141" t="s">
        <v>1808</v>
      </c>
      <c r="AO547" s="142"/>
      <c r="AP547" s="141"/>
      <c r="AQ547" s="141"/>
      <c r="AR547" s="142">
        <v>43518</v>
      </c>
      <c r="AS547" s="141">
        <v>6001650221</v>
      </c>
      <c r="AT547" s="142">
        <v>43521</v>
      </c>
      <c r="AU547" s="141" t="s">
        <v>1809</v>
      </c>
      <c r="AV547" s="142"/>
      <c r="AW547" s="146"/>
      <c r="AX547" s="146"/>
      <c r="AY547" s="147">
        <v>2334240</v>
      </c>
      <c r="AZ547" s="132">
        <f>ROUNDDOWN(AY547+(AY547*MASTER!$A$2/100),0)</f>
        <v>2520979</v>
      </c>
      <c r="BA547" s="141"/>
      <c r="BB547" s="145"/>
      <c r="BC547" s="145">
        <v>0</v>
      </c>
      <c r="BD547" s="141"/>
      <c r="BE547" s="141"/>
      <c r="BF547" s="145"/>
      <c r="BG547" s="145">
        <v>0</v>
      </c>
      <c r="BH547" s="141"/>
      <c r="BI547" s="141"/>
      <c r="BJ547" s="145"/>
      <c r="BK547" s="145">
        <v>0</v>
      </c>
      <c r="BL547" s="141"/>
      <c r="BM547" s="145"/>
      <c r="BN547" s="145"/>
      <c r="BO547" s="145"/>
      <c r="BP547" s="145"/>
      <c r="BQ547" s="145"/>
      <c r="BR547" s="145"/>
      <c r="BS547" s="145">
        <v>0</v>
      </c>
      <c r="BT547" s="148"/>
      <c r="BU547" s="148"/>
      <c r="BV547" s="149">
        <v>2492424</v>
      </c>
      <c r="BW547" s="149">
        <v>0</v>
      </c>
      <c r="BX547" s="149">
        <v>43496</v>
      </c>
      <c r="BY547" s="149">
        <v>2492424</v>
      </c>
      <c r="BZ547" s="150">
        <v>100</v>
      </c>
      <c r="CA547" s="141"/>
      <c r="CB547" s="141"/>
      <c r="CC547" s="141"/>
      <c r="CD547" s="144" t="s">
        <v>1810</v>
      </c>
      <c r="CE547" s="142"/>
      <c r="CF547" s="142"/>
      <c r="CG547" s="142"/>
      <c r="CH547" s="142"/>
      <c r="CI547" s="142"/>
      <c r="CJ547" s="142"/>
      <c r="CK547" s="145">
        <v>105000</v>
      </c>
    </row>
    <row r="548" spans="1:89" x14ac:dyDescent="0.15">
      <c r="A548" s="84">
        <v>2</v>
      </c>
      <c r="B548" s="85">
        <v>43542</v>
      </c>
      <c r="C548" s="85">
        <v>43554</v>
      </c>
      <c r="D548" s="85">
        <v>43595</v>
      </c>
      <c r="E548" s="85">
        <v>43557</v>
      </c>
      <c r="F548" s="85">
        <v>43561</v>
      </c>
      <c r="G548" s="85">
        <v>43556</v>
      </c>
      <c r="H548" s="85">
        <v>43557</v>
      </c>
      <c r="I548" s="84" t="s">
        <v>401</v>
      </c>
      <c r="J548" s="84">
        <v>2</v>
      </c>
      <c r="L548" s="84">
        <v>0</v>
      </c>
      <c r="M548" s="85">
        <v>43496</v>
      </c>
      <c r="N548" s="85" t="s">
        <v>265</v>
      </c>
      <c r="O548" s="86" t="s">
        <v>340</v>
      </c>
      <c r="P548" s="84" t="s">
        <v>26</v>
      </c>
      <c r="Q548" s="86" t="s">
        <v>40</v>
      </c>
      <c r="R548" s="86" t="s">
        <v>1811</v>
      </c>
      <c r="S548" s="87" t="s">
        <v>853</v>
      </c>
      <c r="T548" s="87" t="s">
        <v>869</v>
      </c>
      <c r="U548" s="88">
        <v>1479400</v>
      </c>
      <c r="V548" s="88">
        <v>1597752</v>
      </c>
      <c r="W548" s="88">
        <v>1479400</v>
      </c>
      <c r="X548" s="88">
        <v>1597752</v>
      </c>
      <c r="Z548" s="88">
        <v>0</v>
      </c>
      <c r="AA548" s="85">
        <v>43551</v>
      </c>
      <c r="AB548" s="85">
        <v>43554</v>
      </c>
      <c r="AC548" s="85">
        <v>43554</v>
      </c>
      <c r="AD548" s="84">
        <v>0</v>
      </c>
      <c r="AG548" s="84">
        <v>0</v>
      </c>
      <c r="AJ548" s="84">
        <v>0</v>
      </c>
      <c r="AM548" s="84" t="s">
        <v>290</v>
      </c>
      <c r="AN548" s="84" t="s">
        <v>1812</v>
      </c>
      <c r="AR548" s="85">
        <v>43530</v>
      </c>
      <c r="AS548" s="84">
        <v>6001653823</v>
      </c>
      <c r="AT548" s="85">
        <v>43531</v>
      </c>
      <c r="AU548" s="84" t="s">
        <v>1784</v>
      </c>
      <c r="AV548" s="85">
        <v>43554</v>
      </c>
      <c r="AW548" s="123">
        <v>43555</v>
      </c>
      <c r="AX548" s="123">
        <v>43575</v>
      </c>
      <c r="AY548" s="132">
        <v>1420224</v>
      </c>
      <c r="AZ548" s="132">
        <f>ROUNDDOWN(AY548+(AY548*MASTER!$A$2/100),0)</f>
        <v>1533841</v>
      </c>
      <c r="BA548" s="84" t="s">
        <v>400</v>
      </c>
      <c r="BB548" s="88">
        <v>428000</v>
      </c>
      <c r="BC548" s="88">
        <v>462240</v>
      </c>
      <c r="BD548" s="84" t="s">
        <v>1579</v>
      </c>
      <c r="BG548" s="88">
        <v>0</v>
      </c>
      <c r="BK548" s="88">
        <v>0</v>
      </c>
      <c r="BS548" s="88">
        <v>0</v>
      </c>
      <c r="BV548" s="89">
        <v>1597752</v>
      </c>
      <c r="BW548" s="89">
        <v>462240</v>
      </c>
      <c r="BX548" s="89">
        <v>43496</v>
      </c>
      <c r="BY548" s="89">
        <v>1135512</v>
      </c>
      <c r="BZ548" s="112">
        <v>71.069352440178449</v>
      </c>
      <c r="CK548" s="88">
        <v>105000</v>
      </c>
    </row>
    <row r="549" spans="1:89" x14ac:dyDescent="0.15">
      <c r="A549" s="84">
        <v>2</v>
      </c>
      <c r="B549" s="85">
        <v>43542</v>
      </c>
      <c r="C549" s="85">
        <v>43544</v>
      </c>
      <c r="D549" s="85">
        <v>43557</v>
      </c>
      <c r="E549" s="85">
        <v>43551</v>
      </c>
      <c r="F549" s="85">
        <v>43551</v>
      </c>
      <c r="G549" s="85">
        <v>43546</v>
      </c>
      <c r="H549" s="85">
        <v>43547</v>
      </c>
      <c r="I549" s="84" t="s">
        <v>401</v>
      </c>
      <c r="J549" s="84">
        <v>1</v>
      </c>
      <c r="L549" s="84">
        <v>0</v>
      </c>
      <c r="M549" s="85">
        <v>43496</v>
      </c>
      <c r="N549" s="85" t="s">
        <v>265</v>
      </c>
      <c r="O549" s="86" t="s">
        <v>340</v>
      </c>
      <c r="P549" s="84" t="s">
        <v>26</v>
      </c>
      <c r="Q549" s="86" t="s">
        <v>40</v>
      </c>
      <c r="R549" s="86" t="s">
        <v>1813</v>
      </c>
      <c r="S549" s="87" t="s">
        <v>1448</v>
      </c>
      <c r="T549" s="87" t="s">
        <v>1814</v>
      </c>
      <c r="U549" s="88">
        <v>468000</v>
      </c>
      <c r="V549" s="88">
        <v>505440</v>
      </c>
      <c r="W549" s="88">
        <v>400500</v>
      </c>
      <c r="X549" s="88">
        <v>432540</v>
      </c>
      <c r="Y549" s="88">
        <v>67500</v>
      </c>
      <c r="Z549" s="88">
        <v>72900</v>
      </c>
      <c r="AA549" s="85">
        <v>43541</v>
      </c>
      <c r="AB549" s="85">
        <v>43544</v>
      </c>
      <c r="AC549" s="85">
        <v>43544</v>
      </c>
      <c r="AD549" s="84">
        <v>0</v>
      </c>
      <c r="AG549" s="84">
        <v>0</v>
      </c>
      <c r="AJ549" s="84">
        <v>0</v>
      </c>
      <c r="AM549" s="84" t="s">
        <v>290</v>
      </c>
      <c r="AN549" s="84" t="s">
        <v>1815</v>
      </c>
      <c r="AR549" s="85">
        <v>43530</v>
      </c>
      <c r="AS549" s="84">
        <v>6001653823</v>
      </c>
      <c r="AT549" s="85">
        <v>43531</v>
      </c>
      <c r="AU549" s="84" t="s">
        <v>1784</v>
      </c>
      <c r="AV549" s="85">
        <v>43544</v>
      </c>
      <c r="AW549" s="123">
        <v>43555</v>
      </c>
      <c r="AX549" s="123">
        <v>43575</v>
      </c>
      <c r="AY549" s="132">
        <v>449280</v>
      </c>
      <c r="AZ549" s="132">
        <f>ROUNDDOWN(AY549+(AY549*MASTER!$A$2/100),0)</f>
        <v>485222</v>
      </c>
      <c r="BA549" s="84" t="s">
        <v>666</v>
      </c>
      <c r="BB549" s="88">
        <v>218000</v>
      </c>
      <c r="BC549" s="88">
        <v>235440</v>
      </c>
      <c r="BD549" s="84" t="s">
        <v>1268</v>
      </c>
      <c r="BG549" s="88">
        <v>0</v>
      </c>
      <c r="BI549" s="84" t="s">
        <v>434</v>
      </c>
      <c r="BJ549" s="88">
        <v>43875</v>
      </c>
      <c r="BK549" s="88">
        <v>47385</v>
      </c>
      <c r="BL549" s="84" t="s">
        <v>1268</v>
      </c>
      <c r="BS549" s="88">
        <v>0</v>
      </c>
      <c r="BV549" s="89">
        <v>432540</v>
      </c>
      <c r="BW549" s="89">
        <v>282825</v>
      </c>
      <c r="BX549" s="89">
        <v>43496</v>
      </c>
      <c r="BY549" s="89">
        <v>149715</v>
      </c>
      <c r="BZ549" s="112">
        <v>34.612983770287144</v>
      </c>
      <c r="CK549" s="88">
        <v>31500</v>
      </c>
    </row>
    <row r="550" spans="1:89" x14ac:dyDescent="0.15">
      <c r="A550" s="84">
        <v>2</v>
      </c>
      <c r="C550" s="85" t="s">
        <v>338</v>
      </c>
      <c r="F550" s="85" t="s">
        <v>338</v>
      </c>
      <c r="H550" s="85" t="s">
        <v>338</v>
      </c>
      <c r="J550" s="84">
        <v>4</v>
      </c>
      <c r="L550" s="84">
        <v>0</v>
      </c>
      <c r="M550" s="85">
        <v>43496</v>
      </c>
      <c r="N550" s="85" t="s">
        <v>265</v>
      </c>
      <c r="O550" s="86" t="s">
        <v>340</v>
      </c>
      <c r="P550" s="84" t="s">
        <v>272</v>
      </c>
      <c r="Q550" s="86" t="s">
        <v>40</v>
      </c>
      <c r="R550" s="86" t="s">
        <v>1816</v>
      </c>
      <c r="S550" s="87" t="s">
        <v>351</v>
      </c>
      <c r="T550" s="87" t="s">
        <v>1817</v>
      </c>
      <c r="U550" s="88">
        <v>0</v>
      </c>
      <c r="V550" s="88">
        <v>0</v>
      </c>
      <c r="W550" s="88">
        <v>0</v>
      </c>
      <c r="X550" s="88">
        <v>0</v>
      </c>
      <c r="Y550" s="88">
        <v>0</v>
      </c>
      <c r="Z550" s="88">
        <v>0</v>
      </c>
      <c r="AA550" s="85">
        <v>43455</v>
      </c>
      <c r="AB550" s="85">
        <v>43485</v>
      </c>
      <c r="AD550" s="84">
        <v>0</v>
      </c>
      <c r="AG550" s="84">
        <v>0</v>
      </c>
      <c r="AJ550" s="84">
        <v>0</v>
      </c>
      <c r="AN550" s="84" t="s">
        <v>338</v>
      </c>
      <c r="AY550" s="132">
        <f>ROUNDDOWN((0.96*U550),0)</f>
        <v>0</v>
      </c>
      <c r="AZ550" s="132">
        <f>ROUNDDOWN(AY550+(AY550*MASTER!$A$2/100),0)</f>
        <v>0</v>
      </c>
      <c r="BA550" s="84" t="s">
        <v>275</v>
      </c>
      <c r="BB550" s="88">
        <v>385000</v>
      </c>
      <c r="BC550" s="88">
        <v>415800</v>
      </c>
      <c r="BD550" s="84" t="s">
        <v>1421</v>
      </c>
      <c r="BG550" s="88">
        <v>0</v>
      </c>
      <c r="BK550" s="88">
        <v>0</v>
      </c>
      <c r="BS550" s="88">
        <v>0</v>
      </c>
      <c r="BV550" s="89">
        <v>0</v>
      </c>
      <c r="BW550" s="89">
        <v>415800</v>
      </c>
      <c r="BX550" s="89">
        <v>43496</v>
      </c>
      <c r="BY550" s="89">
        <v>-415800</v>
      </c>
      <c r="BZ550" s="112" t="s">
        <v>338</v>
      </c>
    </row>
    <row r="551" spans="1:89" x14ac:dyDescent="0.15">
      <c r="A551" s="84">
        <v>2</v>
      </c>
      <c r="B551" s="85">
        <v>43510</v>
      </c>
      <c r="C551" s="85">
        <v>43511</v>
      </c>
      <c r="D551" s="85">
        <v>43510</v>
      </c>
      <c r="E551" s="85">
        <v>43510</v>
      </c>
      <c r="F551" s="85" t="s">
        <v>338</v>
      </c>
      <c r="G551" s="85">
        <v>43510</v>
      </c>
      <c r="H551" s="85" t="s">
        <v>338</v>
      </c>
      <c r="I551" s="84" t="s">
        <v>380</v>
      </c>
      <c r="J551" s="84">
        <v>2</v>
      </c>
      <c r="L551" s="84">
        <v>0</v>
      </c>
      <c r="M551" s="85">
        <v>43496</v>
      </c>
      <c r="N551" s="85" t="s">
        <v>265</v>
      </c>
      <c r="O551" s="86" t="s">
        <v>340</v>
      </c>
      <c r="P551" s="84" t="s">
        <v>6</v>
      </c>
      <c r="Q551" s="86" t="s">
        <v>40</v>
      </c>
      <c r="R551" s="86" t="s">
        <v>1818</v>
      </c>
      <c r="S551" s="87" t="s">
        <v>1819</v>
      </c>
      <c r="T551" s="87" t="s">
        <v>342</v>
      </c>
      <c r="U551" s="88">
        <v>35000</v>
      </c>
      <c r="V551" s="88">
        <v>37800</v>
      </c>
      <c r="W551" s="88">
        <v>35000</v>
      </c>
      <c r="X551" s="88">
        <v>37800</v>
      </c>
      <c r="Z551" s="88">
        <v>0</v>
      </c>
      <c r="AA551" s="85">
        <v>43509</v>
      </c>
      <c r="AB551" s="85">
        <v>43509</v>
      </c>
      <c r="AD551" s="84">
        <v>0</v>
      </c>
      <c r="AG551" s="84">
        <v>0</v>
      </c>
      <c r="AJ551" s="84">
        <v>0</v>
      </c>
      <c r="AN551" s="84" t="s">
        <v>338</v>
      </c>
      <c r="AR551" s="85">
        <v>43509</v>
      </c>
      <c r="AS551" s="84">
        <v>6001646490</v>
      </c>
      <c r="AT551" s="85">
        <v>43509</v>
      </c>
      <c r="AU551" s="84" t="s">
        <v>1820</v>
      </c>
      <c r="AV551" s="85">
        <v>43511</v>
      </c>
      <c r="AW551" s="123">
        <v>43524</v>
      </c>
      <c r="AX551" s="123">
        <v>43544</v>
      </c>
      <c r="AY551" s="132">
        <v>33600</v>
      </c>
      <c r="AZ551" s="132">
        <f>ROUNDDOWN(AY551+(AY551*MASTER!$A$2/100),0)</f>
        <v>36288</v>
      </c>
      <c r="BA551" s="84" t="s">
        <v>543</v>
      </c>
      <c r="BB551" s="88">
        <v>35000</v>
      </c>
      <c r="BC551" s="88">
        <v>37800</v>
      </c>
      <c r="BD551" s="84" t="s">
        <v>1233</v>
      </c>
      <c r="BG551" s="88">
        <v>0</v>
      </c>
      <c r="BK551" s="88">
        <v>0</v>
      </c>
      <c r="BS551" s="88">
        <v>0</v>
      </c>
      <c r="BV551" s="89">
        <v>37800</v>
      </c>
      <c r="BW551" s="89">
        <v>37800</v>
      </c>
      <c r="BX551" s="89">
        <v>43496</v>
      </c>
      <c r="BY551" s="89">
        <v>0</v>
      </c>
      <c r="BZ551" s="112">
        <v>0</v>
      </c>
      <c r="CK551" s="88">
        <v>0</v>
      </c>
    </row>
    <row r="552" spans="1:89" x14ac:dyDescent="0.15">
      <c r="A552" s="84">
        <v>2</v>
      </c>
      <c r="B552" s="85">
        <v>43531</v>
      </c>
      <c r="C552" s="85">
        <v>43542</v>
      </c>
      <c r="D552" s="85">
        <v>43571</v>
      </c>
      <c r="E552" s="85">
        <v>43559</v>
      </c>
      <c r="F552" s="85">
        <v>43549</v>
      </c>
      <c r="G552" s="85">
        <v>43549</v>
      </c>
      <c r="H552" s="85">
        <v>43545</v>
      </c>
      <c r="I552" s="84" t="s">
        <v>1191</v>
      </c>
      <c r="J552" s="84">
        <v>1</v>
      </c>
      <c r="L552" s="84">
        <v>0</v>
      </c>
      <c r="M552" s="85">
        <v>43496</v>
      </c>
      <c r="N552" s="85" t="s">
        <v>265</v>
      </c>
      <c r="O552" s="86" t="s">
        <v>340</v>
      </c>
      <c r="P552" s="84" t="s">
        <v>26</v>
      </c>
      <c r="Q552" s="86" t="s">
        <v>40</v>
      </c>
      <c r="R552" s="86" t="s">
        <v>1821</v>
      </c>
      <c r="S552" s="87" t="s">
        <v>1108</v>
      </c>
      <c r="T552" s="87" t="s">
        <v>1822</v>
      </c>
      <c r="U552" s="88">
        <v>59000</v>
      </c>
      <c r="V552" s="88">
        <v>63720</v>
      </c>
      <c r="W552" s="88">
        <v>47000</v>
      </c>
      <c r="X552" s="88">
        <v>50760</v>
      </c>
      <c r="Y552" s="88">
        <v>12000</v>
      </c>
      <c r="Z552" s="88">
        <v>12960</v>
      </c>
      <c r="AA552" s="85">
        <v>43541</v>
      </c>
      <c r="AB552" s="85">
        <v>43542</v>
      </c>
      <c r="AC552" s="85">
        <v>43542</v>
      </c>
      <c r="AD552" s="84">
        <v>0</v>
      </c>
      <c r="AG552" s="84">
        <v>0</v>
      </c>
      <c r="AJ552" s="84">
        <v>0</v>
      </c>
      <c r="AM552" s="84" t="s">
        <v>290</v>
      </c>
      <c r="AN552" s="84" t="s">
        <v>1823</v>
      </c>
      <c r="AR552" s="85">
        <v>43525</v>
      </c>
      <c r="AS552" s="84">
        <v>6001652292</v>
      </c>
      <c r="AT552" s="85">
        <v>43525</v>
      </c>
      <c r="AU552" s="84" t="s">
        <v>1756</v>
      </c>
      <c r="AV552" s="85">
        <v>43542</v>
      </c>
      <c r="AW552" s="123">
        <v>43555</v>
      </c>
      <c r="AX552" s="123">
        <v>43575</v>
      </c>
      <c r="AY552" s="132">
        <v>56640</v>
      </c>
      <c r="AZ552" s="132">
        <f>ROUNDDOWN(AY552+(AY552*MASTER!$A$2/100),0)</f>
        <v>61171</v>
      </c>
      <c r="BA552" s="84" t="s">
        <v>287</v>
      </c>
      <c r="BB552" s="88">
        <v>21000</v>
      </c>
      <c r="BC552" s="88">
        <v>22680</v>
      </c>
      <c r="BD552" s="84" t="s">
        <v>1268</v>
      </c>
      <c r="BG552" s="88">
        <v>0</v>
      </c>
      <c r="BI552" s="84" t="s">
        <v>434</v>
      </c>
      <c r="BJ552" s="88">
        <v>7800</v>
      </c>
      <c r="BK552" s="88">
        <v>8424</v>
      </c>
      <c r="BL552" s="84" t="s">
        <v>1268</v>
      </c>
      <c r="BS552" s="88">
        <v>0</v>
      </c>
      <c r="BV552" s="89">
        <v>50760</v>
      </c>
      <c r="BW552" s="89">
        <v>31104</v>
      </c>
      <c r="BX552" s="89">
        <v>43496</v>
      </c>
      <c r="BY552" s="89">
        <v>19656</v>
      </c>
      <c r="BZ552" s="112">
        <v>38.723404255319153</v>
      </c>
      <c r="CK552" s="88">
        <v>0</v>
      </c>
    </row>
    <row r="553" spans="1:89" x14ac:dyDescent="0.15">
      <c r="A553" s="84">
        <v>2</v>
      </c>
      <c r="B553" s="85">
        <v>43511</v>
      </c>
      <c r="C553" s="85">
        <v>43521</v>
      </c>
      <c r="D553" s="85">
        <v>43553</v>
      </c>
      <c r="F553" s="85">
        <v>43528</v>
      </c>
      <c r="G553" s="85">
        <v>43521</v>
      </c>
      <c r="H553" s="85">
        <v>43524</v>
      </c>
      <c r="I553" s="84" t="s">
        <v>401</v>
      </c>
      <c r="J553" s="84">
        <v>1</v>
      </c>
      <c r="L553" s="84">
        <v>0</v>
      </c>
      <c r="M553" s="85">
        <v>43496</v>
      </c>
      <c r="N553" s="85" t="s">
        <v>265</v>
      </c>
      <c r="O553" s="86" t="s">
        <v>340</v>
      </c>
      <c r="P553" s="84" t="s">
        <v>26</v>
      </c>
      <c r="Q553" s="86" t="s">
        <v>40</v>
      </c>
      <c r="R553" s="86" t="s">
        <v>1824</v>
      </c>
      <c r="S553" s="87" t="s">
        <v>546</v>
      </c>
      <c r="T553" s="87" t="s">
        <v>1825</v>
      </c>
      <c r="U553" s="88">
        <v>73200</v>
      </c>
      <c r="V553" s="88">
        <v>79056</v>
      </c>
      <c r="W553" s="88">
        <v>47000</v>
      </c>
      <c r="X553" s="88">
        <v>50760</v>
      </c>
      <c r="Y553" s="88">
        <v>26200</v>
      </c>
      <c r="Z553" s="88">
        <v>28296</v>
      </c>
      <c r="AA553" s="85">
        <v>43520</v>
      </c>
      <c r="AB553" s="85">
        <v>43521</v>
      </c>
      <c r="AC553" s="85">
        <v>43521</v>
      </c>
      <c r="AD553" s="84">
        <v>0</v>
      </c>
      <c r="AG553" s="84">
        <v>0</v>
      </c>
      <c r="AJ553" s="84">
        <v>0</v>
      </c>
      <c r="AM553" s="84" t="s">
        <v>290</v>
      </c>
      <c r="AN553" s="84" t="s">
        <v>1826</v>
      </c>
      <c r="AR553" s="85">
        <v>43510</v>
      </c>
      <c r="AS553" s="84">
        <v>6001646948</v>
      </c>
      <c r="AT553" s="85">
        <v>43510</v>
      </c>
      <c r="AU553" s="84" t="s">
        <v>1607</v>
      </c>
      <c r="AV553" s="85">
        <v>43521</v>
      </c>
      <c r="AW553" s="123">
        <v>43524</v>
      </c>
      <c r="AX553" s="123">
        <v>43544</v>
      </c>
      <c r="AY553" s="132">
        <v>70272</v>
      </c>
      <c r="AZ553" s="132">
        <f>ROUNDDOWN(AY553+(AY553*MASTER!$A$2/100),0)</f>
        <v>75893</v>
      </c>
      <c r="BA553" s="84" t="s">
        <v>543</v>
      </c>
      <c r="BB553" s="88">
        <v>23000</v>
      </c>
      <c r="BC553" s="88">
        <v>24840</v>
      </c>
      <c r="BD553" s="84" t="s">
        <v>1268</v>
      </c>
      <c r="BG553" s="88">
        <v>0</v>
      </c>
      <c r="BK553" s="88">
        <v>0</v>
      </c>
      <c r="BS553" s="88">
        <v>0</v>
      </c>
      <c r="BV553" s="89">
        <v>50760</v>
      </c>
      <c r="BW553" s="89">
        <v>24840</v>
      </c>
      <c r="BX553" s="89">
        <v>43496</v>
      </c>
      <c r="BY553" s="89">
        <v>25920</v>
      </c>
      <c r="BZ553" s="112">
        <v>51.063829787234042</v>
      </c>
      <c r="CK553" s="88">
        <v>0</v>
      </c>
    </row>
    <row r="554" spans="1:89" x14ac:dyDescent="0.15">
      <c r="A554" s="84">
        <v>2</v>
      </c>
      <c r="B554" s="85">
        <v>43542</v>
      </c>
      <c r="C554" s="85">
        <v>43547</v>
      </c>
      <c r="D554" s="85">
        <v>43593</v>
      </c>
      <c r="E554" s="85">
        <v>43549</v>
      </c>
      <c r="F554" s="85">
        <v>43554</v>
      </c>
      <c r="G554" s="85">
        <v>43549</v>
      </c>
      <c r="H554" s="85">
        <v>43550</v>
      </c>
      <c r="I554" s="84" t="s">
        <v>1191</v>
      </c>
      <c r="J554" s="84">
        <v>1</v>
      </c>
      <c r="K554" s="85">
        <v>43502</v>
      </c>
      <c r="L554" s="84" t="s">
        <v>818</v>
      </c>
      <c r="M554" s="85">
        <v>43496</v>
      </c>
      <c r="N554" s="85" t="s">
        <v>265</v>
      </c>
      <c r="O554" s="86" t="s">
        <v>340</v>
      </c>
      <c r="P554" s="84" t="s">
        <v>26</v>
      </c>
      <c r="Q554" s="86" t="s">
        <v>40</v>
      </c>
      <c r="R554" s="86" t="s">
        <v>1827</v>
      </c>
      <c r="S554" s="87" t="s">
        <v>1763</v>
      </c>
      <c r="T554" s="87" t="s">
        <v>1828</v>
      </c>
      <c r="U554" s="88">
        <v>110500</v>
      </c>
      <c r="V554" s="88">
        <v>119340</v>
      </c>
      <c r="W554" s="88">
        <v>84300</v>
      </c>
      <c r="X554" s="88">
        <v>91044</v>
      </c>
      <c r="Y554" s="88">
        <v>26200</v>
      </c>
      <c r="Z554" s="88">
        <v>28296</v>
      </c>
      <c r="AA554" s="85">
        <v>43545</v>
      </c>
      <c r="AB554" s="85">
        <v>43547</v>
      </c>
      <c r="AC554" s="85">
        <v>43547</v>
      </c>
      <c r="AD554" s="84">
        <v>0</v>
      </c>
      <c r="AG554" s="84">
        <v>0</v>
      </c>
      <c r="AJ554" s="84">
        <v>0</v>
      </c>
      <c r="AM554" s="84" t="s">
        <v>290</v>
      </c>
      <c r="AN554" s="84" t="s">
        <v>1829</v>
      </c>
      <c r="AR554" s="85">
        <v>43532</v>
      </c>
      <c r="AS554" s="84">
        <v>6001655449</v>
      </c>
      <c r="AT554" s="85">
        <v>43535</v>
      </c>
      <c r="AU554" s="84" t="s">
        <v>1623</v>
      </c>
      <c r="AV554" s="85">
        <v>43547</v>
      </c>
      <c r="AW554" s="123">
        <v>43555</v>
      </c>
      <c r="AX554" s="123">
        <v>43575</v>
      </c>
      <c r="AY554" s="132">
        <v>106080</v>
      </c>
      <c r="AZ554" s="132">
        <f>ROUNDDOWN(AY554+(AY554*MASTER!$A$2/100),0)</f>
        <v>114566</v>
      </c>
      <c r="BA554" s="84" t="s">
        <v>287</v>
      </c>
      <c r="BB554" s="88">
        <v>44380</v>
      </c>
      <c r="BC554" s="88">
        <v>47930.400000000001</v>
      </c>
      <c r="BD554" s="84" t="s">
        <v>1579</v>
      </c>
      <c r="BG554" s="88">
        <v>0</v>
      </c>
      <c r="BI554" s="84" t="s">
        <v>434</v>
      </c>
      <c r="BJ554" s="88">
        <v>17030</v>
      </c>
      <c r="BK554" s="88">
        <v>18392.400000000001</v>
      </c>
      <c r="BL554" s="84" t="s">
        <v>1579</v>
      </c>
      <c r="BS554" s="88">
        <v>0</v>
      </c>
      <c r="BV554" s="89">
        <v>91044</v>
      </c>
      <c r="BW554" s="89">
        <v>66322.8</v>
      </c>
      <c r="BX554" s="89">
        <v>0</v>
      </c>
      <c r="BY554" s="89">
        <v>43502</v>
      </c>
      <c r="BZ554" s="112">
        <v>27.153024911032027</v>
      </c>
      <c r="CK554" s="88">
        <v>6300</v>
      </c>
    </row>
    <row r="555" spans="1:89" x14ac:dyDescent="0.15">
      <c r="A555" s="84">
        <v>2</v>
      </c>
      <c r="B555" s="85">
        <v>43516</v>
      </c>
      <c r="C555" s="85">
        <v>43525</v>
      </c>
      <c r="D555" s="85">
        <v>43549</v>
      </c>
      <c r="F555" s="85">
        <v>43532</v>
      </c>
      <c r="G555" s="85">
        <v>43528</v>
      </c>
      <c r="H555" s="85">
        <v>43528</v>
      </c>
      <c r="I555" s="84" t="s">
        <v>401</v>
      </c>
      <c r="J555" s="84">
        <v>1</v>
      </c>
      <c r="L555" s="84">
        <v>0</v>
      </c>
      <c r="M555" s="85">
        <v>43496</v>
      </c>
      <c r="N555" s="85" t="s">
        <v>265</v>
      </c>
      <c r="O555" s="86" t="s">
        <v>340</v>
      </c>
      <c r="P555" s="84" t="s">
        <v>26</v>
      </c>
      <c r="Q555" s="86" t="s">
        <v>40</v>
      </c>
      <c r="R555" s="86" t="s">
        <v>1830</v>
      </c>
      <c r="S555" s="87" t="s">
        <v>1831</v>
      </c>
      <c r="T555" s="87" t="s">
        <v>1303</v>
      </c>
      <c r="U555" s="88">
        <v>59000</v>
      </c>
      <c r="V555" s="88">
        <v>63720</v>
      </c>
      <c r="W555" s="88">
        <v>47000</v>
      </c>
      <c r="X555" s="88">
        <v>50760</v>
      </c>
      <c r="Y555" s="88">
        <v>12000</v>
      </c>
      <c r="Z555" s="88">
        <v>12960</v>
      </c>
      <c r="AA555" s="85">
        <v>43523</v>
      </c>
      <c r="AB555" s="85">
        <v>43525</v>
      </c>
      <c r="AC555" s="85">
        <v>43525</v>
      </c>
      <c r="AD555" s="84">
        <v>0</v>
      </c>
      <c r="AG555" s="84">
        <v>0</v>
      </c>
      <c r="AJ555" s="84">
        <v>0</v>
      </c>
      <c r="AM555" s="84" t="s">
        <v>290</v>
      </c>
      <c r="AN555" s="84" t="s">
        <v>1832</v>
      </c>
      <c r="AR555" s="85">
        <v>43515</v>
      </c>
      <c r="AS555" s="84">
        <v>6001648328</v>
      </c>
      <c r="AT555" s="85">
        <v>43515</v>
      </c>
      <c r="AU555" s="84" t="s">
        <v>1637</v>
      </c>
      <c r="AV555" s="85">
        <v>43525</v>
      </c>
      <c r="AW555" s="123">
        <v>43555</v>
      </c>
      <c r="AX555" s="123">
        <v>43575</v>
      </c>
      <c r="AY555" s="132">
        <v>56640</v>
      </c>
      <c r="AZ555" s="132">
        <f>ROUNDDOWN(AY555+(AY555*MASTER!$A$2/100),0)</f>
        <v>61171</v>
      </c>
      <c r="BA555" s="84" t="s">
        <v>286</v>
      </c>
      <c r="BB555" s="88">
        <v>26000</v>
      </c>
      <c r="BC555" s="88">
        <v>28080</v>
      </c>
      <c r="BD555" s="84" t="s">
        <v>1268</v>
      </c>
      <c r="BG555" s="88">
        <v>0</v>
      </c>
      <c r="BI555" s="84" t="s">
        <v>434</v>
      </c>
      <c r="BJ555" s="88">
        <v>7800</v>
      </c>
      <c r="BK555" s="88">
        <v>8424</v>
      </c>
      <c r="BL555" s="84" t="s">
        <v>1268</v>
      </c>
      <c r="BS555" s="88">
        <v>0</v>
      </c>
      <c r="BV555" s="89">
        <v>50760</v>
      </c>
      <c r="BW555" s="89">
        <v>36504</v>
      </c>
      <c r="BX555" s="89">
        <v>43496</v>
      </c>
      <c r="BY555" s="89">
        <v>14256</v>
      </c>
      <c r="BZ555" s="112">
        <v>28.085106382978726</v>
      </c>
      <c r="CK555" s="88">
        <v>0</v>
      </c>
    </row>
    <row r="556" spans="1:89" x14ac:dyDescent="0.15">
      <c r="A556" s="84">
        <v>2</v>
      </c>
      <c r="B556" s="85">
        <v>43544</v>
      </c>
      <c r="C556" s="85">
        <v>43554</v>
      </c>
      <c r="D556" s="85" t="s">
        <v>374</v>
      </c>
      <c r="E556" s="85">
        <v>43557</v>
      </c>
      <c r="F556" s="85">
        <v>43561</v>
      </c>
      <c r="G556" s="85">
        <v>43558</v>
      </c>
      <c r="H556" s="85">
        <v>43557</v>
      </c>
      <c r="I556" s="84" t="s">
        <v>401</v>
      </c>
      <c r="J556" s="84">
        <v>1</v>
      </c>
      <c r="L556" s="84">
        <v>0</v>
      </c>
      <c r="M556" s="85">
        <v>43496</v>
      </c>
      <c r="N556" s="85" t="s">
        <v>265</v>
      </c>
      <c r="O556" s="86" t="s">
        <v>340</v>
      </c>
      <c r="P556" s="84" t="s">
        <v>26</v>
      </c>
      <c r="Q556" s="86" t="s">
        <v>40</v>
      </c>
      <c r="R556" s="86" t="s">
        <v>1833</v>
      </c>
      <c r="S556" s="87" t="s">
        <v>1834</v>
      </c>
      <c r="T556" s="87" t="s">
        <v>794</v>
      </c>
      <c r="U556" s="88">
        <v>23900</v>
      </c>
      <c r="V556" s="88">
        <v>25812</v>
      </c>
      <c r="W556" s="88">
        <v>14700</v>
      </c>
      <c r="X556" s="88">
        <v>15876</v>
      </c>
      <c r="Y556" s="88">
        <v>9200</v>
      </c>
      <c r="Z556" s="88">
        <v>9936</v>
      </c>
      <c r="AA556" s="85">
        <v>43553</v>
      </c>
      <c r="AB556" s="85">
        <v>43554</v>
      </c>
      <c r="AC556" s="85">
        <v>43554</v>
      </c>
      <c r="AD556" s="84">
        <v>0</v>
      </c>
      <c r="AG556" s="84">
        <v>0</v>
      </c>
      <c r="AJ556" s="84">
        <v>0</v>
      </c>
      <c r="AM556" s="84" t="s">
        <v>290</v>
      </c>
      <c r="AN556" s="84" t="s">
        <v>1835</v>
      </c>
      <c r="AR556" s="85">
        <v>43543</v>
      </c>
      <c r="AS556" s="84">
        <v>6001659067</v>
      </c>
      <c r="AT556" s="85">
        <v>43543</v>
      </c>
      <c r="AU556" s="84" t="s">
        <v>1836</v>
      </c>
      <c r="AV556" s="85">
        <v>43554</v>
      </c>
      <c r="AW556" s="123">
        <v>43555</v>
      </c>
      <c r="AX556" s="123">
        <v>43575</v>
      </c>
      <c r="AY556" s="132">
        <v>22944</v>
      </c>
      <c r="AZ556" s="132">
        <f>ROUNDDOWN(AY556+(AY556*MASTER!$A$2/100),0)</f>
        <v>24779</v>
      </c>
      <c r="BA556" s="84" t="s">
        <v>778</v>
      </c>
      <c r="BC556" s="88">
        <v>0</v>
      </c>
      <c r="BG556" s="88">
        <v>0</v>
      </c>
      <c r="BI556" s="84" t="s">
        <v>276</v>
      </c>
      <c r="BJ556" s="88">
        <v>5980</v>
      </c>
      <c r="BK556" s="88">
        <v>6458.4</v>
      </c>
      <c r="BL556" s="84" t="s">
        <v>1659</v>
      </c>
      <c r="BS556" s="88">
        <v>0</v>
      </c>
      <c r="BV556" s="89">
        <v>15876</v>
      </c>
      <c r="BW556" s="89">
        <v>6458.4</v>
      </c>
      <c r="BX556" s="89">
        <v>43496</v>
      </c>
      <c r="BY556" s="89">
        <v>9417.6</v>
      </c>
      <c r="BZ556" s="112">
        <v>59.319727891156461</v>
      </c>
      <c r="CK556" s="88">
        <v>0</v>
      </c>
    </row>
    <row r="557" spans="1:89" x14ac:dyDescent="0.15">
      <c r="A557" s="84">
        <v>2</v>
      </c>
      <c r="B557" s="85">
        <v>43535</v>
      </c>
      <c r="C557" s="85">
        <v>43544</v>
      </c>
      <c r="D557" s="85" t="s">
        <v>374</v>
      </c>
      <c r="E557" s="85">
        <v>43549</v>
      </c>
      <c r="F557" s="85">
        <v>43551</v>
      </c>
      <c r="G557" s="85">
        <v>43546</v>
      </c>
      <c r="H557" s="85">
        <v>43547</v>
      </c>
      <c r="I557" s="84" t="s">
        <v>1191</v>
      </c>
      <c r="J557" s="84">
        <v>1</v>
      </c>
      <c r="L557" s="84">
        <v>0</v>
      </c>
      <c r="M557" s="85">
        <v>43496</v>
      </c>
      <c r="N557" s="85" t="s">
        <v>265</v>
      </c>
      <c r="O557" s="86" t="s">
        <v>340</v>
      </c>
      <c r="P557" s="84" t="s">
        <v>26</v>
      </c>
      <c r="Q557" s="86" t="s">
        <v>40</v>
      </c>
      <c r="R557" s="86" t="s">
        <v>1837</v>
      </c>
      <c r="S557" s="87" t="s">
        <v>593</v>
      </c>
      <c r="T557" s="87" t="s">
        <v>794</v>
      </c>
      <c r="U557" s="88">
        <v>23900</v>
      </c>
      <c r="V557" s="88">
        <v>25812</v>
      </c>
      <c r="W557" s="88">
        <v>14700</v>
      </c>
      <c r="X557" s="88">
        <v>15876</v>
      </c>
      <c r="Y557" s="88">
        <v>9200</v>
      </c>
      <c r="Z557" s="88">
        <v>9936</v>
      </c>
      <c r="AA557" s="85">
        <v>43541</v>
      </c>
      <c r="AB557" s="85">
        <v>43544</v>
      </c>
      <c r="AC557" s="85">
        <v>43544</v>
      </c>
      <c r="AD557" s="84">
        <v>0</v>
      </c>
      <c r="AG557" s="84">
        <v>0</v>
      </c>
      <c r="AJ557" s="84">
        <v>0</v>
      </c>
      <c r="AM557" s="84" t="s">
        <v>290</v>
      </c>
      <c r="AN557" s="84" t="s">
        <v>1838</v>
      </c>
      <c r="AR557" s="85">
        <v>43516</v>
      </c>
      <c r="AS557" s="84">
        <v>6001649046</v>
      </c>
      <c r="AT557" s="85">
        <v>43516</v>
      </c>
      <c r="AU557" s="84" t="s">
        <v>1801</v>
      </c>
      <c r="AV557" s="85">
        <v>43544</v>
      </c>
      <c r="AW557" s="123">
        <v>43555</v>
      </c>
      <c r="AX557" s="123">
        <v>43575</v>
      </c>
      <c r="AY557" s="132">
        <v>22944</v>
      </c>
      <c r="AZ557" s="132">
        <f>ROUNDDOWN(AY557+(AY557*MASTER!$A$2/100),0)</f>
        <v>24779</v>
      </c>
      <c r="BA557" s="84" t="s">
        <v>778</v>
      </c>
      <c r="BC557" s="88">
        <v>0</v>
      </c>
      <c r="BG557" s="88">
        <v>0</v>
      </c>
      <c r="BI557" s="84" t="s">
        <v>434</v>
      </c>
      <c r="BJ557" s="88">
        <v>5980</v>
      </c>
      <c r="BK557" s="88">
        <v>6458.4</v>
      </c>
      <c r="BL557" s="84" t="s">
        <v>1268</v>
      </c>
      <c r="BS557" s="88">
        <v>0</v>
      </c>
      <c r="BV557" s="89">
        <v>15876</v>
      </c>
      <c r="BW557" s="89">
        <v>6458.4</v>
      </c>
      <c r="BX557" s="89">
        <v>43496</v>
      </c>
      <c r="BY557" s="89">
        <v>9417.6</v>
      </c>
      <c r="BZ557" s="112">
        <v>59.319727891156461</v>
      </c>
      <c r="CK557" s="88">
        <v>0</v>
      </c>
    </row>
    <row r="558" spans="1:89" x14ac:dyDescent="0.15">
      <c r="A558" s="84">
        <v>2</v>
      </c>
      <c r="B558" s="85">
        <v>43535</v>
      </c>
      <c r="C558" s="85">
        <v>43543</v>
      </c>
      <c r="D558" s="85" t="s">
        <v>374</v>
      </c>
      <c r="E558" s="85">
        <v>43579</v>
      </c>
      <c r="F558" s="85" t="s">
        <v>338</v>
      </c>
      <c r="G558" s="85">
        <v>43549</v>
      </c>
      <c r="H558" s="85" t="s">
        <v>338</v>
      </c>
      <c r="I558" s="84" t="s">
        <v>1191</v>
      </c>
      <c r="J558" s="84">
        <v>1</v>
      </c>
      <c r="L558" s="84">
        <v>0</v>
      </c>
      <c r="M558" s="85">
        <v>43496</v>
      </c>
      <c r="N558" s="85" t="s">
        <v>265</v>
      </c>
      <c r="O558" s="86" t="s">
        <v>340</v>
      </c>
      <c r="P558" s="84" t="s">
        <v>26</v>
      </c>
      <c r="Q558" s="86" t="s">
        <v>40</v>
      </c>
      <c r="R558" s="86" t="s">
        <v>1839</v>
      </c>
      <c r="S558" s="87" t="s">
        <v>1840</v>
      </c>
      <c r="T558" s="87" t="s">
        <v>794</v>
      </c>
      <c r="U558" s="88">
        <v>23900</v>
      </c>
      <c r="V558" s="88">
        <v>25812</v>
      </c>
      <c r="W558" s="88">
        <v>14700</v>
      </c>
      <c r="X558" s="88">
        <v>15876</v>
      </c>
      <c r="Y558" s="88">
        <v>9200</v>
      </c>
      <c r="Z558" s="88">
        <v>9936</v>
      </c>
      <c r="AA558" s="85">
        <v>43541</v>
      </c>
      <c r="AB558" s="85">
        <v>43543</v>
      </c>
      <c r="AD558" s="84">
        <v>0</v>
      </c>
      <c r="AG558" s="84">
        <v>0</v>
      </c>
      <c r="AJ558" s="84">
        <v>0</v>
      </c>
      <c r="AM558" s="84" t="s">
        <v>290</v>
      </c>
      <c r="AN558" s="84" t="s">
        <v>1841</v>
      </c>
      <c r="AR558" s="85">
        <v>43515</v>
      </c>
      <c r="AS558" s="84">
        <v>6001648328</v>
      </c>
      <c r="AT558" s="85">
        <v>43515</v>
      </c>
      <c r="AU558" s="84" t="s">
        <v>1637</v>
      </c>
      <c r="AV558" s="85">
        <v>43543</v>
      </c>
      <c r="AW558" s="123">
        <v>43555</v>
      </c>
      <c r="AX558" s="123">
        <v>43575</v>
      </c>
      <c r="AY558" s="132">
        <v>22944</v>
      </c>
      <c r="AZ558" s="132">
        <f>ROUNDDOWN(AY558+(AY558*MASTER!$A$2/100),0)</f>
        <v>24779</v>
      </c>
      <c r="BA558" s="84" t="s">
        <v>778</v>
      </c>
      <c r="BC558" s="88">
        <v>0</v>
      </c>
      <c r="BG558" s="88">
        <v>0</v>
      </c>
      <c r="BI558" s="84" t="s">
        <v>434</v>
      </c>
      <c r="BJ558" s="88">
        <v>5980</v>
      </c>
      <c r="BK558" s="88">
        <v>6458.4</v>
      </c>
      <c r="BL558" s="84" t="s">
        <v>1268</v>
      </c>
      <c r="BS558" s="88">
        <v>0</v>
      </c>
      <c r="BV558" s="89">
        <v>15876</v>
      </c>
      <c r="BW558" s="89">
        <v>6458.4</v>
      </c>
      <c r="BX558" s="89">
        <v>43496</v>
      </c>
      <c r="BY558" s="89">
        <v>9417.6</v>
      </c>
      <c r="BZ558" s="112">
        <v>59.319727891156461</v>
      </c>
      <c r="CK558" s="88">
        <v>0</v>
      </c>
    </row>
    <row r="559" spans="1:89" x14ac:dyDescent="0.15">
      <c r="A559" s="84">
        <v>2</v>
      </c>
      <c r="B559" s="85">
        <v>43535</v>
      </c>
      <c r="C559" s="85">
        <v>43545</v>
      </c>
      <c r="D559" s="85" t="s">
        <v>374</v>
      </c>
      <c r="E559" s="85">
        <v>43549</v>
      </c>
      <c r="F559" s="85">
        <v>43552</v>
      </c>
      <c r="G559" s="85">
        <v>43549</v>
      </c>
      <c r="H559" s="85">
        <v>43548</v>
      </c>
      <c r="I559" s="84" t="s">
        <v>1191</v>
      </c>
      <c r="J559" s="84">
        <v>1</v>
      </c>
      <c r="L559" s="84">
        <v>0</v>
      </c>
      <c r="M559" s="85">
        <v>43496</v>
      </c>
      <c r="N559" s="85" t="s">
        <v>265</v>
      </c>
      <c r="O559" s="86" t="s">
        <v>340</v>
      </c>
      <c r="P559" s="84" t="s">
        <v>26</v>
      </c>
      <c r="Q559" s="86" t="s">
        <v>40</v>
      </c>
      <c r="R559" s="86" t="s">
        <v>1842</v>
      </c>
      <c r="S559" s="87" t="s">
        <v>800</v>
      </c>
      <c r="T559" s="87" t="s">
        <v>794</v>
      </c>
      <c r="U559" s="88">
        <v>23900</v>
      </c>
      <c r="V559" s="88">
        <v>25812</v>
      </c>
      <c r="W559" s="88">
        <v>14700</v>
      </c>
      <c r="X559" s="88">
        <v>15876</v>
      </c>
      <c r="Y559" s="88">
        <v>9200</v>
      </c>
      <c r="Z559" s="88">
        <v>9936</v>
      </c>
      <c r="AA559" s="85">
        <v>43543</v>
      </c>
      <c r="AB559" s="85">
        <v>43545</v>
      </c>
      <c r="AC559" s="85">
        <v>43545</v>
      </c>
      <c r="AD559" s="84">
        <v>0</v>
      </c>
      <c r="AG559" s="84">
        <v>0</v>
      </c>
      <c r="AJ559" s="84">
        <v>0</v>
      </c>
      <c r="AM559" s="84" t="s">
        <v>290</v>
      </c>
      <c r="AN559" s="84" t="s">
        <v>1843</v>
      </c>
      <c r="AR559" s="85">
        <v>43522</v>
      </c>
      <c r="AS559" s="84">
        <v>6001651126</v>
      </c>
      <c r="AT559" s="85">
        <v>43522</v>
      </c>
      <c r="AU559" s="84" t="s">
        <v>1751</v>
      </c>
      <c r="AV559" s="85">
        <v>43545</v>
      </c>
      <c r="AW559" s="123">
        <v>43555</v>
      </c>
      <c r="AX559" s="123">
        <v>43575</v>
      </c>
      <c r="AY559" s="132">
        <v>22944</v>
      </c>
      <c r="AZ559" s="132">
        <f>ROUNDDOWN(AY559+(AY559*MASTER!$A$2/100),0)</f>
        <v>24779</v>
      </c>
      <c r="BA559" s="84" t="s">
        <v>778</v>
      </c>
      <c r="BC559" s="88">
        <v>0</v>
      </c>
      <c r="BG559" s="88">
        <v>0</v>
      </c>
      <c r="BI559" s="84" t="s">
        <v>276</v>
      </c>
      <c r="BJ559" s="88">
        <v>5980</v>
      </c>
      <c r="BK559" s="88">
        <v>6458.4</v>
      </c>
      <c r="BL559" s="84" t="s">
        <v>1659</v>
      </c>
      <c r="BS559" s="88">
        <v>0</v>
      </c>
      <c r="BV559" s="89">
        <v>15876</v>
      </c>
      <c r="BW559" s="89">
        <v>6458.4</v>
      </c>
      <c r="BX559" s="89">
        <v>43496</v>
      </c>
      <c r="BY559" s="89">
        <v>9417.6</v>
      </c>
      <c r="BZ559" s="112">
        <v>59.319727891156461</v>
      </c>
      <c r="CK559" s="88">
        <v>0</v>
      </c>
    </row>
    <row r="560" spans="1:89" x14ac:dyDescent="0.15">
      <c r="A560" s="84">
        <v>2</v>
      </c>
      <c r="B560" s="85">
        <v>43542</v>
      </c>
      <c r="C560" s="85">
        <v>43553</v>
      </c>
      <c r="D560" s="85">
        <v>43581</v>
      </c>
      <c r="E560" s="85">
        <v>43557</v>
      </c>
      <c r="F560" s="85">
        <v>43560</v>
      </c>
      <c r="G560" s="85">
        <v>43553</v>
      </c>
      <c r="H560" s="85">
        <v>43556</v>
      </c>
      <c r="I560" s="84" t="s">
        <v>401</v>
      </c>
      <c r="J560" s="84">
        <v>1</v>
      </c>
      <c r="L560" s="84">
        <v>0</v>
      </c>
      <c r="M560" s="85">
        <v>43497</v>
      </c>
      <c r="N560" s="85" t="s">
        <v>265</v>
      </c>
      <c r="O560" s="86" t="s">
        <v>340</v>
      </c>
      <c r="P560" s="84" t="s">
        <v>26</v>
      </c>
      <c r="Q560" s="86" t="s">
        <v>144</v>
      </c>
      <c r="R560" s="86" t="s">
        <v>1844</v>
      </c>
      <c r="S560" s="87" t="s">
        <v>1845</v>
      </c>
      <c r="T560" s="87" t="s">
        <v>1846</v>
      </c>
      <c r="U560" s="88">
        <v>59000</v>
      </c>
      <c r="V560" s="88">
        <v>63720</v>
      </c>
      <c r="W560" s="88">
        <v>47000</v>
      </c>
      <c r="X560" s="88">
        <v>50760</v>
      </c>
      <c r="Y560" s="88">
        <v>12000</v>
      </c>
      <c r="Z560" s="88">
        <v>12960</v>
      </c>
      <c r="AA560" s="85">
        <v>43551</v>
      </c>
      <c r="AB560" s="85">
        <v>43553</v>
      </c>
      <c r="AC560" s="85">
        <v>43553</v>
      </c>
      <c r="AD560" s="84">
        <v>0</v>
      </c>
      <c r="AG560" s="84">
        <v>0</v>
      </c>
      <c r="AJ560" s="84">
        <v>0</v>
      </c>
      <c r="AM560" s="84" t="s">
        <v>290</v>
      </c>
      <c r="AN560" s="84" t="s">
        <v>1847</v>
      </c>
      <c r="AR560" s="85">
        <v>43525</v>
      </c>
      <c r="AS560" s="84">
        <v>6001652292</v>
      </c>
      <c r="AT560" s="85">
        <v>43525</v>
      </c>
      <c r="AU560" s="84" t="s">
        <v>1756</v>
      </c>
      <c r="AV560" s="85">
        <v>43553</v>
      </c>
      <c r="AW560" s="123">
        <v>43555</v>
      </c>
      <c r="AX560" s="123">
        <v>43575</v>
      </c>
      <c r="AY560" s="132">
        <v>56640</v>
      </c>
      <c r="AZ560" s="132">
        <f>ROUNDDOWN(AY560+(AY560*MASTER!$A$2/100),0)</f>
        <v>61171</v>
      </c>
      <c r="BA560" s="84" t="s">
        <v>543</v>
      </c>
      <c r="BB560" s="88">
        <v>21000</v>
      </c>
      <c r="BC560" s="88">
        <v>22680</v>
      </c>
      <c r="BD560" s="84" t="s">
        <v>1579</v>
      </c>
      <c r="BG560" s="88">
        <v>0</v>
      </c>
      <c r="BI560" s="84" t="s">
        <v>434</v>
      </c>
      <c r="BJ560" s="88">
        <v>7800</v>
      </c>
      <c r="BK560" s="88">
        <v>8424</v>
      </c>
      <c r="BL560" s="84" t="s">
        <v>1579</v>
      </c>
      <c r="BS560" s="88">
        <v>0</v>
      </c>
      <c r="BV560" s="89">
        <v>50760</v>
      </c>
      <c r="BW560" s="89">
        <v>31104</v>
      </c>
      <c r="BX560" s="89">
        <v>43497</v>
      </c>
      <c r="BY560" s="89">
        <v>19656</v>
      </c>
      <c r="BZ560" s="112">
        <v>38.723404255319153</v>
      </c>
      <c r="CK560" s="88">
        <v>0</v>
      </c>
    </row>
    <row r="561" spans="1:89" x14ac:dyDescent="0.15">
      <c r="A561" s="84">
        <v>2</v>
      </c>
      <c r="B561" s="85">
        <v>43535</v>
      </c>
      <c r="C561" s="85">
        <v>43542</v>
      </c>
      <c r="D561" s="85" t="s">
        <v>374</v>
      </c>
      <c r="F561" s="85">
        <v>43549</v>
      </c>
      <c r="G561" s="85">
        <v>43543</v>
      </c>
      <c r="H561" s="85">
        <v>43545</v>
      </c>
      <c r="I561" s="84" t="s">
        <v>401</v>
      </c>
      <c r="J561" s="84">
        <v>1</v>
      </c>
      <c r="L561" s="84">
        <v>0</v>
      </c>
      <c r="M561" s="85">
        <v>43497</v>
      </c>
      <c r="N561" s="85" t="s">
        <v>265</v>
      </c>
      <c r="O561" s="86" t="s">
        <v>340</v>
      </c>
      <c r="P561" s="84" t="s">
        <v>26</v>
      </c>
      <c r="Q561" s="86" t="s">
        <v>144</v>
      </c>
      <c r="R561" s="86" t="s">
        <v>1848</v>
      </c>
      <c r="S561" s="87" t="s">
        <v>805</v>
      </c>
      <c r="T561" s="87" t="s">
        <v>1849</v>
      </c>
      <c r="U561" s="88">
        <v>23900</v>
      </c>
      <c r="V561" s="88">
        <v>25812</v>
      </c>
      <c r="W561" s="88">
        <v>14700</v>
      </c>
      <c r="X561" s="88">
        <v>15876</v>
      </c>
      <c r="Y561" s="88">
        <v>9200</v>
      </c>
      <c r="Z561" s="88">
        <v>9936</v>
      </c>
      <c r="AA561" s="85">
        <v>43541</v>
      </c>
      <c r="AB561" s="85">
        <v>43542</v>
      </c>
      <c r="AC561" s="85">
        <v>43542</v>
      </c>
      <c r="AD561" s="84">
        <v>0</v>
      </c>
      <c r="AG561" s="84">
        <v>0</v>
      </c>
      <c r="AJ561" s="84">
        <v>0</v>
      </c>
      <c r="AM561" s="84" t="s">
        <v>290</v>
      </c>
      <c r="AN561" s="84" t="s">
        <v>1850</v>
      </c>
      <c r="AR561" s="85">
        <v>43515</v>
      </c>
      <c r="AS561" s="84">
        <v>6001648328</v>
      </c>
      <c r="AT561" s="85">
        <v>43515</v>
      </c>
      <c r="AU561" s="84" t="s">
        <v>1637</v>
      </c>
      <c r="AV561" s="85">
        <v>43542</v>
      </c>
      <c r="AW561" s="123">
        <v>43555</v>
      </c>
      <c r="AX561" s="123">
        <v>43575</v>
      </c>
      <c r="AY561" s="132">
        <v>22944</v>
      </c>
      <c r="AZ561" s="132">
        <f>ROUNDDOWN(AY561+(AY561*MASTER!$A$2/100),0)</f>
        <v>24779</v>
      </c>
      <c r="BA561" s="84" t="s">
        <v>778</v>
      </c>
      <c r="BC561" s="88">
        <v>0</v>
      </c>
      <c r="BG561" s="88">
        <v>0</v>
      </c>
      <c r="BI561" s="84" t="s">
        <v>276</v>
      </c>
      <c r="BJ561" s="88">
        <v>5980</v>
      </c>
      <c r="BK561" s="88">
        <v>6458.4</v>
      </c>
      <c r="BL561" s="84" t="s">
        <v>1567</v>
      </c>
      <c r="BS561" s="88">
        <v>0</v>
      </c>
      <c r="BV561" s="89">
        <v>15876</v>
      </c>
      <c r="BW561" s="89">
        <v>6458.4</v>
      </c>
      <c r="BX561" s="89">
        <v>43497</v>
      </c>
      <c r="BY561" s="89">
        <v>9417.6</v>
      </c>
      <c r="BZ561" s="112">
        <v>59.319727891156461</v>
      </c>
      <c r="CK561" s="88">
        <v>0</v>
      </c>
    </row>
    <row r="562" spans="1:89" x14ac:dyDescent="0.15">
      <c r="A562" s="84">
        <v>1</v>
      </c>
      <c r="B562" s="85">
        <v>43510</v>
      </c>
      <c r="C562" s="85">
        <v>43517</v>
      </c>
      <c r="F562" s="85" t="s">
        <v>338</v>
      </c>
      <c r="H562" s="85" t="s">
        <v>338</v>
      </c>
      <c r="J562" s="84">
        <v>2</v>
      </c>
      <c r="L562" s="84">
        <v>0</v>
      </c>
      <c r="M562" s="85">
        <v>43497</v>
      </c>
      <c r="N562" s="85" t="s">
        <v>265</v>
      </c>
      <c r="O562" s="86" t="s">
        <v>340</v>
      </c>
      <c r="P562" s="84" t="s">
        <v>269</v>
      </c>
      <c r="Q562" s="86" t="s">
        <v>144</v>
      </c>
      <c r="R562" s="86" t="s">
        <v>1851</v>
      </c>
      <c r="S562" s="87" t="s">
        <v>377</v>
      </c>
      <c r="T562" s="87" t="s">
        <v>1852</v>
      </c>
      <c r="U562" s="88">
        <v>66000</v>
      </c>
      <c r="V562" s="88">
        <v>71280</v>
      </c>
      <c r="W562" s="88">
        <v>66000</v>
      </c>
      <c r="X562" s="88">
        <v>71280</v>
      </c>
      <c r="Z562" s="88">
        <v>0</v>
      </c>
      <c r="AD562" s="84">
        <v>0</v>
      </c>
      <c r="AG562" s="84">
        <v>0</v>
      </c>
      <c r="AJ562" s="84">
        <v>0</v>
      </c>
      <c r="AR562" s="85">
        <v>43504</v>
      </c>
      <c r="AS562" s="84">
        <v>6001645544</v>
      </c>
      <c r="AT562" s="85">
        <v>43509</v>
      </c>
      <c r="AU562" s="84" t="s">
        <v>1853</v>
      </c>
      <c r="AV562" s="85">
        <v>43517</v>
      </c>
      <c r="AW562" s="123">
        <v>43524</v>
      </c>
      <c r="AX562" s="123">
        <v>43544</v>
      </c>
      <c r="AY562" s="132">
        <v>63360</v>
      </c>
      <c r="AZ562" s="132">
        <f>ROUNDDOWN(AY562+(AY562*MASTER!$A$2/100),0)</f>
        <v>68428</v>
      </c>
      <c r="BC562" s="88">
        <v>0</v>
      </c>
      <c r="BG562" s="88">
        <v>0</v>
      </c>
      <c r="BK562" s="88">
        <v>0</v>
      </c>
      <c r="BS562" s="88">
        <v>0</v>
      </c>
      <c r="BV562" s="89">
        <v>71280</v>
      </c>
      <c r="BW562" s="89">
        <v>0</v>
      </c>
      <c r="BX562" s="89">
        <v>43497</v>
      </c>
      <c r="BY562" s="89">
        <v>71280</v>
      </c>
      <c r="BZ562" s="112">
        <v>100</v>
      </c>
      <c r="CK562" s="88">
        <v>0</v>
      </c>
    </row>
    <row r="563" spans="1:89" s="151" customFormat="1" x14ac:dyDescent="0.15">
      <c r="A563" s="141">
        <v>3</v>
      </c>
      <c r="B563" s="142"/>
      <c r="C563" s="142" t="s">
        <v>338</v>
      </c>
      <c r="D563" s="142"/>
      <c r="E563" s="142"/>
      <c r="F563" s="142" t="s">
        <v>338</v>
      </c>
      <c r="G563" s="142"/>
      <c r="H563" s="142" t="s">
        <v>338</v>
      </c>
      <c r="I563" s="141"/>
      <c r="J563" s="141">
        <v>1</v>
      </c>
      <c r="K563" s="142"/>
      <c r="L563" s="141">
        <v>0</v>
      </c>
      <c r="M563" s="142">
        <v>43497</v>
      </c>
      <c r="N563" s="142" t="s">
        <v>265</v>
      </c>
      <c r="O563" s="143" t="s">
        <v>340</v>
      </c>
      <c r="P563" s="141" t="s">
        <v>26</v>
      </c>
      <c r="Q563" s="143" t="s">
        <v>144</v>
      </c>
      <c r="R563" s="143" t="s">
        <v>1854</v>
      </c>
      <c r="S563" s="144" t="s">
        <v>1855</v>
      </c>
      <c r="T563" s="144" t="s">
        <v>1303</v>
      </c>
      <c r="U563" s="145">
        <v>59000</v>
      </c>
      <c r="V563" s="145">
        <v>63720</v>
      </c>
      <c r="W563" s="145">
        <v>47000</v>
      </c>
      <c r="X563" s="145">
        <v>50760</v>
      </c>
      <c r="Y563" s="145">
        <v>12000</v>
      </c>
      <c r="Z563" s="145">
        <v>12960</v>
      </c>
      <c r="AA563" s="142"/>
      <c r="AB563" s="142"/>
      <c r="AC563" s="142"/>
      <c r="AD563" s="141">
        <v>0</v>
      </c>
      <c r="AE563" s="141"/>
      <c r="AF563" s="141"/>
      <c r="AG563" s="141">
        <v>0</v>
      </c>
      <c r="AH563" s="141"/>
      <c r="AI563" s="141"/>
      <c r="AJ563" s="141">
        <v>0</v>
      </c>
      <c r="AK563" s="141"/>
      <c r="AL563" s="141"/>
      <c r="AM563" s="141" t="s">
        <v>290</v>
      </c>
      <c r="AN563" s="141" t="s">
        <v>1856</v>
      </c>
      <c r="AO563" s="142"/>
      <c r="AP563" s="141"/>
      <c r="AQ563" s="141"/>
      <c r="AR563" s="142"/>
      <c r="AS563" s="141"/>
      <c r="AT563" s="142"/>
      <c r="AU563" s="141"/>
      <c r="AV563" s="142"/>
      <c r="AW563" s="146"/>
      <c r="AX563" s="146"/>
      <c r="AY563" s="147">
        <v>56640</v>
      </c>
      <c r="AZ563" s="132">
        <f>ROUNDDOWN(AY563+(AY563*MASTER!$A$2/100),0)</f>
        <v>61171</v>
      </c>
      <c r="BA563" s="141"/>
      <c r="BB563" s="145"/>
      <c r="BC563" s="145">
        <v>0</v>
      </c>
      <c r="BD563" s="141"/>
      <c r="BE563" s="141"/>
      <c r="BF563" s="145"/>
      <c r="BG563" s="145">
        <v>0</v>
      </c>
      <c r="BH563" s="141"/>
      <c r="BI563" s="141"/>
      <c r="BJ563" s="145"/>
      <c r="BK563" s="145">
        <v>0</v>
      </c>
      <c r="BL563" s="141"/>
      <c r="BM563" s="145"/>
      <c r="BN563" s="145"/>
      <c r="BO563" s="145"/>
      <c r="BP563" s="145"/>
      <c r="BQ563" s="145"/>
      <c r="BR563" s="145"/>
      <c r="BS563" s="145">
        <v>0</v>
      </c>
      <c r="BT563" s="148"/>
      <c r="BU563" s="148"/>
      <c r="BV563" s="149">
        <v>50760</v>
      </c>
      <c r="BW563" s="149">
        <v>0</v>
      </c>
      <c r="BX563" s="149">
        <v>43497</v>
      </c>
      <c r="BY563" s="149">
        <v>50760</v>
      </c>
      <c r="BZ563" s="150">
        <v>100</v>
      </c>
      <c r="CA563" s="141"/>
      <c r="CB563" s="141"/>
      <c r="CC563" s="141"/>
      <c r="CD563" s="144" t="s">
        <v>1857</v>
      </c>
      <c r="CE563" s="142"/>
      <c r="CF563" s="142"/>
      <c r="CG563" s="142"/>
      <c r="CH563" s="142"/>
      <c r="CI563" s="142"/>
      <c r="CJ563" s="142"/>
      <c r="CK563" s="145"/>
    </row>
    <row r="564" spans="1:89" s="151" customFormat="1" x14ac:dyDescent="0.15">
      <c r="A564" s="141">
        <v>3</v>
      </c>
      <c r="B564" s="142"/>
      <c r="C564" s="142" t="s">
        <v>338</v>
      </c>
      <c r="D564" s="142"/>
      <c r="E564" s="142"/>
      <c r="F564" s="142" t="s">
        <v>338</v>
      </c>
      <c r="G564" s="142"/>
      <c r="H564" s="142" t="s">
        <v>338</v>
      </c>
      <c r="I564" s="141"/>
      <c r="J564" s="141">
        <v>1</v>
      </c>
      <c r="K564" s="142">
        <v>43501</v>
      </c>
      <c r="L564" s="141" t="s">
        <v>818</v>
      </c>
      <c r="M564" s="142">
        <v>43500</v>
      </c>
      <c r="N564" s="142" t="s">
        <v>265</v>
      </c>
      <c r="O564" s="143" t="s">
        <v>340</v>
      </c>
      <c r="P564" s="141" t="s">
        <v>26</v>
      </c>
      <c r="Q564" s="143" t="s">
        <v>144</v>
      </c>
      <c r="R564" s="143" t="s">
        <v>1858</v>
      </c>
      <c r="S564" s="144" t="s">
        <v>928</v>
      </c>
      <c r="T564" s="144" t="s">
        <v>1859</v>
      </c>
      <c r="U564" s="145">
        <v>6162700</v>
      </c>
      <c r="V564" s="145">
        <v>6655716</v>
      </c>
      <c r="W564" s="145">
        <v>5987000</v>
      </c>
      <c r="X564" s="145">
        <v>6465960</v>
      </c>
      <c r="Y564" s="145">
        <v>175700</v>
      </c>
      <c r="Z564" s="145">
        <v>189756</v>
      </c>
      <c r="AA564" s="142">
        <v>43535</v>
      </c>
      <c r="AB564" s="142">
        <v>43539</v>
      </c>
      <c r="AC564" s="142"/>
      <c r="AD564" s="141">
        <v>0</v>
      </c>
      <c r="AE564" s="141"/>
      <c r="AF564" s="141"/>
      <c r="AG564" s="141">
        <v>0</v>
      </c>
      <c r="AH564" s="141"/>
      <c r="AI564" s="141"/>
      <c r="AJ564" s="141">
        <v>0</v>
      </c>
      <c r="AK564" s="141"/>
      <c r="AL564" s="141"/>
      <c r="AM564" s="141" t="s">
        <v>290</v>
      </c>
      <c r="AN564" s="141" t="s">
        <v>1860</v>
      </c>
      <c r="AO564" s="142"/>
      <c r="AP564" s="141"/>
      <c r="AQ564" s="141"/>
      <c r="AR564" s="142"/>
      <c r="AS564" s="141"/>
      <c r="AT564" s="142"/>
      <c r="AU564" s="141"/>
      <c r="AV564" s="142"/>
      <c r="AW564" s="146"/>
      <c r="AX564" s="146"/>
      <c r="AY564" s="147">
        <v>5916192</v>
      </c>
      <c r="AZ564" s="132">
        <f>ROUNDDOWN(AY564+(AY564*MASTER!$A$2/100),0)</f>
        <v>6389487</v>
      </c>
      <c r="BA564" s="141"/>
      <c r="BB564" s="145"/>
      <c r="BC564" s="145">
        <v>0</v>
      </c>
      <c r="BD564" s="141"/>
      <c r="BE564" s="141"/>
      <c r="BF564" s="145"/>
      <c r="BG564" s="145">
        <v>0</v>
      </c>
      <c r="BH564" s="141"/>
      <c r="BI564" s="141"/>
      <c r="BJ564" s="145"/>
      <c r="BK564" s="145">
        <v>0</v>
      </c>
      <c r="BL564" s="141"/>
      <c r="BM564" s="145"/>
      <c r="BN564" s="145"/>
      <c r="BO564" s="145"/>
      <c r="BP564" s="145"/>
      <c r="BQ564" s="145"/>
      <c r="BR564" s="145"/>
      <c r="BS564" s="145">
        <v>0</v>
      </c>
      <c r="BT564" s="148"/>
      <c r="BU564" s="148"/>
      <c r="BV564" s="149">
        <v>6465960</v>
      </c>
      <c r="BW564" s="149">
        <v>0</v>
      </c>
      <c r="BX564" s="149">
        <v>0</v>
      </c>
      <c r="BY564" s="149">
        <v>43501</v>
      </c>
      <c r="BZ564" s="150">
        <v>100</v>
      </c>
      <c r="CA564" s="141"/>
      <c r="CB564" s="141"/>
      <c r="CC564" s="141"/>
      <c r="CD564" s="144" t="s">
        <v>1861</v>
      </c>
      <c r="CE564" s="142"/>
      <c r="CF564" s="142"/>
      <c r="CG564" s="142"/>
      <c r="CH564" s="142"/>
      <c r="CI564" s="142"/>
      <c r="CJ564" s="142"/>
      <c r="CK564" s="145">
        <v>300000</v>
      </c>
    </row>
    <row r="565" spans="1:89" x14ac:dyDescent="0.15">
      <c r="A565" s="84">
        <v>2</v>
      </c>
      <c r="B565" s="85">
        <v>43535</v>
      </c>
      <c r="C565" s="85">
        <v>43546</v>
      </c>
      <c r="D565" s="85">
        <v>43593</v>
      </c>
      <c r="E565" s="85">
        <v>43549</v>
      </c>
      <c r="F565" s="85">
        <v>43553</v>
      </c>
      <c r="G565" s="85">
        <v>43546</v>
      </c>
      <c r="H565" s="85">
        <v>43549</v>
      </c>
      <c r="I565" s="84" t="s">
        <v>1191</v>
      </c>
      <c r="J565" s="84">
        <v>1</v>
      </c>
      <c r="L565" s="84">
        <v>0</v>
      </c>
      <c r="M565" s="85">
        <v>43500</v>
      </c>
      <c r="N565" s="85" t="s">
        <v>265</v>
      </c>
      <c r="O565" s="86" t="s">
        <v>340</v>
      </c>
      <c r="P565" s="84" t="s">
        <v>26</v>
      </c>
      <c r="Q565" s="86" t="s">
        <v>144</v>
      </c>
      <c r="R565" s="86" t="s">
        <v>1862</v>
      </c>
      <c r="S565" s="87" t="s">
        <v>1855</v>
      </c>
      <c r="T565" s="87" t="s">
        <v>1303</v>
      </c>
      <c r="U565" s="88">
        <v>59000</v>
      </c>
      <c r="V565" s="88">
        <v>63720</v>
      </c>
      <c r="W565" s="88">
        <v>47000</v>
      </c>
      <c r="X565" s="88">
        <v>50760</v>
      </c>
      <c r="Y565" s="88">
        <v>12000</v>
      </c>
      <c r="Z565" s="88">
        <v>12960</v>
      </c>
      <c r="AA565" s="85">
        <v>43545</v>
      </c>
      <c r="AB565" s="85">
        <v>43546</v>
      </c>
      <c r="AC565" s="85">
        <v>43546</v>
      </c>
      <c r="AD565" s="84">
        <v>0</v>
      </c>
      <c r="AG565" s="84">
        <v>0</v>
      </c>
      <c r="AJ565" s="84">
        <v>0</v>
      </c>
      <c r="AM565" s="84" t="s">
        <v>290</v>
      </c>
      <c r="AN565" s="84" t="s">
        <v>1856</v>
      </c>
      <c r="AR565" s="85">
        <v>43529</v>
      </c>
      <c r="AS565" s="84">
        <v>6001653251</v>
      </c>
      <c r="AT565" s="85">
        <v>43531</v>
      </c>
      <c r="AU565" s="84" t="s">
        <v>1863</v>
      </c>
      <c r="AV565" s="85">
        <v>43546</v>
      </c>
      <c r="AW565" s="123">
        <v>43555</v>
      </c>
      <c r="AX565" s="123">
        <v>43575</v>
      </c>
      <c r="AY565" s="132">
        <v>56640</v>
      </c>
      <c r="AZ565" s="132">
        <f>ROUNDDOWN(AY565+(AY565*MASTER!$A$2/100),0)</f>
        <v>61171</v>
      </c>
      <c r="BA565" s="84" t="s">
        <v>287</v>
      </c>
      <c r="BB565" s="88">
        <v>32000</v>
      </c>
      <c r="BC565" s="88">
        <v>34560</v>
      </c>
      <c r="BD565" s="84" t="s">
        <v>1579</v>
      </c>
      <c r="BG565" s="88">
        <v>0</v>
      </c>
      <c r="BI565" s="84" t="s">
        <v>434</v>
      </c>
      <c r="BJ565" s="88">
        <v>7800</v>
      </c>
      <c r="BK565" s="88">
        <v>8424</v>
      </c>
      <c r="BL565" s="84" t="s">
        <v>1579</v>
      </c>
      <c r="BS565" s="88">
        <v>0</v>
      </c>
      <c r="BV565" s="89">
        <v>50760</v>
      </c>
      <c r="BW565" s="89">
        <v>42984</v>
      </c>
      <c r="BX565" s="89">
        <v>43500</v>
      </c>
      <c r="BY565" s="89">
        <v>7776</v>
      </c>
      <c r="BZ565" s="112">
        <v>15.319148936170212</v>
      </c>
      <c r="CK565" s="88">
        <v>0</v>
      </c>
    </row>
    <row r="566" spans="1:89" x14ac:dyDescent="0.15">
      <c r="A566" s="84">
        <v>2</v>
      </c>
      <c r="B566" s="85">
        <v>43503</v>
      </c>
      <c r="C566" s="85">
        <v>43516</v>
      </c>
      <c r="D566" s="85">
        <v>43501</v>
      </c>
      <c r="E566" s="85">
        <v>43501</v>
      </c>
      <c r="F566" s="85" t="s">
        <v>338</v>
      </c>
      <c r="G566" s="85">
        <v>43501</v>
      </c>
      <c r="H566" s="85" t="s">
        <v>338</v>
      </c>
      <c r="I566" s="84" t="s">
        <v>380</v>
      </c>
      <c r="J566" s="84">
        <v>2</v>
      </c>
      <c r="L566" s="84">
        <v>0</v>
      </c>
      <c r="M566" s="85">
        <v>43500</v>
      </c>
      <c r="N566" s="85" t="s">
        <v>265</v>
      </c>
      <c r="O566" s="86" t="s">
        <v>340</v>
      </c>
      <c r="P566" s="84" t="s">
        <v>6</v>
      </c>
      <c r="Q566" s="86" t="s">
        <v>144</v>
      </c>
      <c r="R566" s="86" t="s">
        <v>1864</v>
      </c>
      <c r="S566" s="87" t="s">
        <v>635</v>
      </c>
      <c r="T566" s="87" t="s">
        <v>342</v>
      </c>
      <c r="U566" s="88">
        <v>35000</v>
      </c>
      <c r="V566" s="88">
        <v>37800</v>
      </c>
      <c r="W566" s="88">
        <v>35000</v>
      </c>
      <c r="X566" s="88">
        <v>37800</v>
      </c>
      <c r="Z566" s="88">
        <v>0</v>
      </c>
      <c r="AA566" s="85">
        <v>43500</v>
      </c>
      <c r="AB566" s="85">
        <v>43500</v>
      </c>
      <c r="AD566" s="84">
        <v>0</v>
      </c>
      <c r="AG566" s="84">
        <v>0</v>
      </c>
      <c r="AJ566" s="84">
        <v>0</v>
      </c>
      <c r="AR566" s="85">
        <v>43502</v>
      </c>
      <c r="AS566" s="84">
        <v>6001644375</v>
      </c>
      <c r="AT566" s="85">
        <v>43502</v>
      </c>
      <c r="AU566" s="84" t="s">
        <v>1777</v>
      </c>
      <c r="AV566" s="85">
        <v>43516</v>
      </c>
      <c r="AW566" s="123">
        <v>43524</v>
      </c>
      <c r="AX566" s="123">
        <v>43544</v>
      </c>
      <c r="AY566" s="132">
        <v>33600</v>
      </c>
      <c r="AZ566" s="132">
        <f>ROUNDDOWN(AY566+(AY566*MASTER!$A$2/100),0)</f>
        <v>36288</v>
      </c>
      <c r="BA566" s="84" t="s">
        <v>400</v>
      </c>
      <c r="BB566" s="88">
        <v>23000</v>
      </c>
      <c r="BC566" s="88">
        <v>24840</v>
      </c>
      <c r="BD566" s="84" t="s">
        <v>1233</v>
      </c>
      <c r="BG566" s="88">
        <v>0</v>
      </c>
      <c r="BK566" s="88">
        <v>0</v>
      </c>
      <c r="BS566" s="88">
        <v>0</v>
      </c>
      <c r="BV566" s="89">
        <v>37800</v>
      </c>
      <c r="BW566" s="89">
        <v>24840</v>
      </c>
      <c r="BX566" s="89">
        <v>43500</v>
      </c>
      <c r="BY566" s="89">
        <v>12960</v>
      </c>
      <c r="BZ566" s="112">
        <v>34.285714285714285</v>
      </c>
    </row>
    <row r="567" spans="1:89" x14ac:dyDescent="0.15">
      <c r="A567" s="84">
        <v>2</v>
      </c>
      <c r="B567" s="85">
        <v>43535</v>
      </c>
      <c r="C567" s="85">
        <v>43545</v>
      </c>
      <c r="D567" s="85">
        <v>43549</v>
      </c>
      <c r="E567" s="85">
        <v>43551</v>
      </c>
      <c r="F567" s="85">
        <v>43552</v>
      </c>
      <c r="G567" s="85">
        <v>43546</v>
      </c>
      <c r="H567" s="85">
        <v>43548</v>
      </c>
      <c r="I567" s="84" t="s">
        <v>401</v>
      </c>
      <c r="J567" s="84">
        <v>1</v>
      </c>
      <c r="L567" s="84">
        <v>0</v>
      </c>
      <c r="M567" s="85">
        <v>43501</v>
      </c>
      <c r="N567" s="85" t="s">
        <v>265</v>
      </c>
      <c r="O567" s="86" t="s">
        <v>340</v>
      </c>
      <c r="P567" s="84" t="s">
        <v>26</v>
      </c>
      <c r="Q567" s="86" t="s">
        <v>144</v>
      </c>
      <c r="R567" s="86" t="s">
        <v>1865</v>
      </c>
      <c r="S567" s="87" t="s">
        <v>1329</v>
      </c>
      <c r="T567" s="87" t="s">
        <v>1866</v>
      </c>
      <c r="U567" s="88">
        <v>330000</v>
      </c>
      <c r="V567" s="88">
        <v>356400</v>
      </c>
      <c r="W567" s="88">
        <v>310000</v>
      </c>
      <c r="X567" s="88">
        <v>334800</v>
      </c>
      <c r="Y567" s="88">
        <v>20000</v>
      </c>
      <c r="Z567" s="88">
        <v>21600</v>
      </c>
      <c r="AA567" s="85">
        <v>43542</v>
      </c>
      <c r="AB567" s="85">
        <v>43545</v>
      </c>
      <c r="AC567" s="85">
        <v>43545</v>
      </c>
      <c r="AD567" s="84">
        <v>0</v>
      </c>
      <c r="AG567" s="84">
        <v>0</v>
      </c>
      <c r="AJ567" s="84">
        <v>0</v>
      </c>
      <c r="AM567" s="84" t="s">
        <v>290</v>
      </c>
      <c r="AN567" s="84" t="s">
        <v>1867</v>
      </c>
      <c r="AR567" s="85">
        <v>43529</v>
      </c>
      <c r="AS567" s="84">
        <v>6001653251</v>
      </c>
      <c r="AT567" s="85">
        <v>43531</v>
      </c>
      <c r="AU567" s="84" t="s">
        <v>1863</v>
      </c>
      <c r="AV567" s="85">
        <v>43545</v>
      </c>
      <c r="AW567" s="123">
        <v>43555</v>
      </c>
      <c r="AX567" s="123">
        <v>43575</v>
      </c>
      <c r="AY567" s="132">
        <v>316800</v>
      </c>
      <c r="AZ567" s="132">
        <f>ROUNDDOWN(AY567+(AY567*MASTER!$A$2/100),0)</f>
        <v>342144</v>
      </c>
      <c r="BA567" s="84" t="s">
        <v>286</v>
      </c>
      <c r="BB567" s="88">
        <v>117580</v>
      </c>
      <c r="BC567" s="88">
        <v>126986.4</v>
      </c>
      <c r="BD567" s="84" t="s">
        <v>1268</v>
      </c>
      <c r="BG567" s="88">
        <v>0</v>
      </c>
      <c r="BI567" s="84" t="s">
        <v>276</v>
      </c>
      <c r="BJ567" s="88">
        <v>13000</v>
      </c>
      <c r="BK567" s="88">
        <v>14040</v>
      </c>
      <c r="BL567" s="84" t="s">
        <v>1659</v>
      </c>
      <c r="BS567" s="88">
        <v>0</v>
      </c>
      <c r="BV567" s="89">
        <v>334800</v>
      </c>
      <c r="BW567" s="89">
        <v>141026.4</v>
      </c>
      <c r="BX567" s="89">
        <v>43501</v>
      </c>
      <c r="BY567" s="89">
        <v>193773.6</v>
      </c>
      <c r="BZ567" s="112">
        <v>57.877419354838707</v>
      </c>
      <c r="CK567" s="88">
        <v>31500</v>
      </c>
    </row>
    <row r="568" spans="1:89" x14ac:dyDescent="0.15">
      <c r="A568" s="84">
        <v>1</v>
      </c>
      <c r="B568" s="85">
        <v>43510</v>
      </c>
      <c r="C568" s="85">
        <v>43511</v>
      </c>
      <c r="F568" s="85" t="s">
        <v>338</v>
      </c>
      <c r="H568" s="85" t="s">
        <v>338</v>
      </c>
      <c r="J568" s="84">
        <v>2</v>
      </c>
      <c r="L568" s="84">
        <v>0</v>
      </c>
      <c r="M568" s="85">
        <v>43501</v>
      </c>
      <c r="N568" s="85" t="s">
        <v>265</v>
      </c>
      <c r="O568" s="86" t="s">
        <v>340</v>
      </c>
      <c r="P568" s="84" t="s">
        <v>26</v>
      </c>
      <c r="Q568" s="86" t="s">
        <v>144</v>
      </c>
      <c r="R568" s="86" t="s">
        <v>1868</v>
      </c>
      <c r="S568" s="87" t="s">
        <v>351</v>
      </c>
      <c r="T568" s="87" t="s">
        <v>379</v>
      </c>
      <c r="U568" s="88">
        <v>50000</v>
      </c>
      <c r="V568" s="88">
        <v>54000</v>
      </c>
      <c r="W568" s="88">
        <v>50000</v>
      </c>
      <c r="X568" s="88">
        <v>54000</v>
      </c>
      <c r="Z568" s="88">
        <v>0</v>
      </c>
      <c r="AA568" s="85" t="s">
        <v>1233</v>
      </c>
      <c r="AD568" s="84">
        <v>0</v>
      </c>
      <c r="AG568" s="84">
        <v>0</v>
      </c>
      <c r="AJ568" s="84">
        <v>0</v>
      </c>
      <c r="AR568" s="85">
        <v>43508</v>
      </c>
      <c r="AS568" s="84">
        <v>6001645993</v>
      </c>
      <c r="AT568" s="85">
        <v>43509</v>
      </c>
      <c r="AU568" s="84" t="s">
        <v>1869</v>
      </c>
      <c r="AV568" s="85">
        <v>43511</v>
      </c>
      <c r="AW568" s="123">
        <v>43524</v>
      </c>
      <c r="AX568" s="123">
        <v>43544</v>
      </c>
      <c r="AY568" s="132">
        <v>48000</v>
      </c>
      <c r="AZ568" s="132">
        <f>ROUNDDOWN(AY568+(AY568*MASTER!$A$2/100),0)</f>
        <v>51840</v>
      </c>
      <c r="BC568" s="88">
        <v>0</v>
      </c>
      <c r="BG568" s="88">
        <v>0</v>
      </c>
      <c r="BK568" s="88">
        <v>0</v>
      </c>
      <c r="BS568" s="88">
        <v>0</v>
      </c>
      <c r="BV568" s="89">
        <v>54000</v>
      </c>
      <c r="BW568" s="89">
        <v>0</v>
      </c>
      <c r="BX568" s="89">
        <v>43501</v>
      </c>
      <c r="BY568" s="89">
        <v>54000</v>
      </c>
      <c r="BZ568" s="112">
        <v>100</v>
      </c>
    </row>
    <row r="569" spans="1:89" s="151" customFormat="1" x14ac:dyDescent="0.15">
      <c r="A569" s="141">
        <v>3</v>
      </c>
      <c r="B569" s="142"/>
      <c r="C569" s="142" t="s">
        <v>338</v>
      </c>
      <c r="D569" s="142"/>
      <c r="E569" s="142"/>
      <c r="F569" s="142" t="s">
        <v>338</v>
      </c>
      <c r="G569" s="142"/>
      <c r="H569" s="142" t="s">
        <v>338</v>
      </c>
      <c r="I569" s="141"/>
      <c r="J569" s="141">
        <v>1</v>
      </c>
      <c r="K569" s="142"/>
      <c r="L569" s="141">
        <v>0</v>
      </c>
      <c r="M569" s="142">
        <v>43502</v>
      </c>
      <c r="N569" s="142" t="s">
        <v>265</v>
      </c>
      <c r="O569" s="143" t="s">
        <v>340</v>
      </c>
      <c r="P569" s="141" t="s">
        <v>26</v>
      </c>
      <c r="Q569" s="143" t="s">
        <v>144</v>
      </c>
      <c r="R569" s="143" t="s">
        <v>1870</v>
      </c>
      <c r="S569" s="144" t="s">
        <v>454</v>
      </c>
      <c r="T569" s="144" t="s">
        <v>1121</v>
      </c>
      <c r="U569" s="145">
        <v>142300</v>
      </c>
      <c r="V569" s="145">
        <v>153684</v>
      </c>
      <c r="W569" s="145">
        <v>89300</v>
      </c>
      <c r="X569" s="145">
        <v>96444</v>
      </c>
      <c r="Y569" s="145">
        <v>53000</v>
      </c>
      <c r="Z569" s="145">
        <v>57240</v>
      </c>
      <c r="AA569" s="142"/>
      <c r="AB569" s="142"/>
      <c r="AC569" s="142"/>
      <c r="AD569" s="141">
        <v>0</v>
      </c>
      <c r="AE569" s="141"/>
      <c r="AF569" s="141"/>
      <c r="AG569" s="141">
        <v>0</v>
      </c>
      <c r="AH569" s="141"/>
      <c r="AI569" s="141"/>
      <c r="AJ569" s="141">
        <v>0</v>
      </c>
      <c r="AK569" s="141"/>
      <c r="AL569" s="141"/>
      <c r="AM569" s="141"/>
      <c r="AN569" s="141"/>
      <c r="AO569" s="142"/>
      <c r="AP569" s="141"/>
      <c r="AQ569" s="141"/>
      <c r="AR569" s="142"/>
      <c r="AS569" s="141"/>
      <c r="AT569" s="142"/>
      <c r="AU569" s="141"/>
      <c r="AV569" s="142"/>
      <c r="AW569" s="146"/>
      <c r="AX569" s="146"/>
      <c r="AY569" s="147">
        <v>136608</v>
      </c>
      <c r="AZ569" s="132">
        <f>ROUNDDOWN(AY569+(AY569*MASTER!$A$2/100),0)</f>
        <v>147536</v>
      </c>
      <c r="BA569" s="141"/>
      <c r="BB569" s="145"/>
      <c r="BC569" s="145">
        <v>0</v>
      </c>
      <c r="BD569" s="141"/>
      <c r="BE569" s="141"/>
      <c r="BF569" s="145"/>
      <c r="BG569" s="145">
        <v>0</v>
      </c>
      <c r="BH569" s="141"/>
      <c r="BI569" s="141"/>
      <c r="BJ569" s="145"/>
      <c r="BK569" s="145">
        <v>0</v>
      </c>
      <c r="BL569" s="141"/>
      <c r="BM569" s="145"/>
      <c r="BN569" s="145"/>
      <c r="BO569" s="145"/>
      <c r="BP569" s="145"/>
      <c r="BQ569" s="145"/>
      <c r="BR569" s="145"/>
      <c r="BS569" s="145">
        <v>0</v>
      </c>
      <c r="BT569" s="148"/>
      <c r="BU569" s="148"/>
      <c r="BV569" s="149">
        <v>96444</v>
      </c>
      <c r="BW569" s="149">
        <v>0</v>
      </c>
      <c r="BX569" s="149">
        <v>43502</v>
      </c>
      <c r="BY569" s="149">
        <v>96444</v>
      </c>
      <c r="BZ569" s="150">
        <v>100</v>
      </c>
      <c r="CA569" s="141"/>
      <c r="CB569" s="141"/>
      <c r="CC569" s="141"/>
      <c r="CD569" s="144" t="s">
        <v>1585</v>
      </c>
      <c r="CE569" s="142"/>
      <c r="CF569" s="142"/>
      <c r="CG569" s="142"/>
      <c r="CH569" s="142"/>
      <c r="CI569" s="142"/>
      <c r="CJ569" s="142"/>
      <c r="CK569" s="145">
        <v>6300</v>
      </c>
    </row>
    <row r="570" spans="1:89" x14ac:dyDescent="0.15">
      <c r="A570" s="84">
        <v>2</v>
      </c>
      <c r="B570" s="85">
        <v>43159</v>
      </c>
      <c r="C570" s="85">
        <v>43533</v>
      </c>
      <c r="D570" s="85">
        <v>43553</v>
      </c>
      <c r="F570" s="85">
        <v>43540</v>
      </c>
      <c r="G570" s="85">
        <v>43535</v>
      </c>
      <c r="H570" s="85">
        <v>43536</v>
      </c>
      <c r="I570" s="84" t="s">
        <v>401</v>
      </c>
      <c r="J570" s="84">
        <v>1</v>
      </c>
      <c r="L570" s="84">
        <v>0</v>
      </c>
      <c r="M570" s="85">
        <v>43502</v>
      </c>
      <c r="N570" s="85" t="s">
        <v>265</v>
      </c>
      <c r="O570" s="86" t="s">
        <v>340</v>
      </c>
      <c r="P570" s="84" t="s">
        <v>26</v>
      </c>
      <c r="Q570" s="86" t="s">
        <v>144</v>
      </c>
      <c r="R570" s="86" t="s">
        <v>1871</v>
      </c>
      <c r="S570" s="87" t="s">
        <v>1872</v>
      </c>
      <c r="T570" s="87" t="s">
        <v>1873</v>
      </c>
      <c r="U570" s="88">
        <v>151300</v>
      </c>
      <c r="V570" s="88">
        <v>163404</v>
      </c>
      <c r="W570" s="88">
        <v>139300</v>
      </c>
      <c r="X570" s="88">
        <v>150444</v>
      </c>
      <c r="Y570" s="88">
        <v>12000</v>
      </c>
      <c r="Z570" s="88">
        <v>12960</v>
      </c>
      <c r="AA570" s="85">
        <v>43531</v>
      </c>
      <c r="AB570" s="85">
        <v>43533</v>
      </c>
      <c r="AC570" s="85">
        <v>43533</v>
      </c>
      <c r="AD570" s="84">
        <v>0</v>
      </c>
      <c r="AG570" s="84">
        <v>0</v>
      </c>
      <c r="AJ570" s="84">
        <v>0</v>
      </c>
      <c r="AM570" s="84" t="s">
        <v>290</v>
      </c>
      <c r="AN570" s="84" t="s">
        <v>1874</v>
      </c>
      <c r="AR570" s="85">
        <v>43522</v>
      </c>
      <c r="AS570" s="84">
        <v>6001651126</v>
      </c>
      <c r="AT570" s="85">
        <v>43522</v>
      </c>
      <c r="AU570" s="84" t="s">
        <v>1751</v>
      </c>
      <c r="AV570" s="85">
        <v>43533</v>
      </c>
      <c r="AW570" s="123">
        <v>43555</v>
      </c>
      <c r="AX570" s="123">
        <v>43575</v>
      </c>
      <c r="AY570" s="132">
        <v>145248</v>
      </c>
      <c r="AZ570" s="132">
        <f>ROUNDDOWN(AY570+(AY570*MASTER!$A$2/100),0)</f>
        <v>156867</v>
      </c>
      <c r="BA570" s="84" t="s">
        <v>543</v>
      </c>
      <c r="BB570" s="88">
        <v>21000</v>
      </c>
      <c r="BC570" s="88">
        <v>22680</v>
      </c>
      <c r="BD570" s="84" t="s">
        <v>1268</v>
      </c>
      <c r="BG570" s="88">
        <v>0</v>
      </c>
      <c r="BI570" s="84" t="s">
        <v>434</v>
      </c>
      <c r="BJ570" s="88">
        <v>7800</v>
      </c>
      <c r="BK570" s="88">
        <v>8424</v>
      </c>
      <c r="BL570" s="84" t="s">
        <v>1268</v>
      </c>
      <c r="BS570" s="88">
        <v>0</v>
      </c>
      <c r="BV570" s="89">
        <v>150444</v>
      </c>
      <c r="BW570" s="89">
        <v>31104</v>
      </c>
      <c r="BX570" s="89">
        <v>43502</v>
      </c>
      <c r="BY570" s="89">
        <v>119340</v>
      </c>
      <c r="BZ570" s="112">
        <v>79.325197415649669</v>
      </c>
      <c r="CK570" s="88">
        <v>6300</v>
      </c>
    </row>
    <row r="571" spans="1:89" x14ac:dyDescent="0.15">
      <c r="A571" s="84">
        <v>2</v>
      </c>
      <c r="B571" s="85">
        <v>43516</v>
      </c>
      <c r="C571" s="85">
        <v>43523</v>
      </c>
      <c r="D571" s="85">
        <v>43553</v>
      </c>
      <c r="F571" s="85">
        <v>43529</v>
      </c>
      <c r="G571" s="85">
        <v>43522</v>
      </c>
      <c r="H571" s="85">
        <v>43525</v>
      </c>
      <c r="I571" s="84" t="s">
        <v>401</v>
      </c>
      <c r="J571" s="84">
        <v>1</v>
      </c>
      <c r="L571" s="84">
        <v>0</v>
      </c>
      <c r="M571" s="85">
        <v>43502</v>
      </c>
      <c r="N571" s="85" t="s">
        <v>265</v>
      </c>
      <c r="O571" s="86" t="s">
        <v>340</v>
      </c>
      <c r="P571" s="84" t="s">
        <v>26</v>
      </c>
      <c r="Q571" s="86" t="s">
        <v>144</v>
      </c>
      <c r="R571" s="86" t="s">
        <v>1875</v>
      </c>
      <c r="S571" s="87" t="s">
        <v>1876</v>
      </c>
      <c r="T571" s="87" t="s">
        <v>797</v>
      </c>
      <c r="U571" s="88">
        <v>77500</v>
      </c>
      <c r="V571" s="88">
        <v>83700</v>
      </c>
      <c r="W571" s="88">
        <v>57500</v>
      </c>
      <c r="X571" s="88">
        <v>62100</v>
      </c>
      <c r="Y571" s="88">
        <v>20000</v>
      </c>
      <c r="Z571" s="88">
        <v>21600</v>
      </c>
      <c r="AA571" s="85">
        <v>43521</v>
      </c>
      <c r="AB571" s="85">
        <v>43522</v>
      </c>
      <c r="AC571" s="85">
        <v>43522</v>
      </c>
      <c r="AD571" s="84">
        <v>0</v>
      </c>
      <c r="AG571" s="84">
        <v>0</v>
      </c>
      <c r="AJ571" s="84">
        <v>0</v>
      </c>
      <c r="AM571" s="84" t="s">
        <v>290</v>
      </c>
      <c r="AN571" s="84" t="s">
        <v>1877</v>
      </c>
      <c r="AR571" s="85">
        <v>43515</v>
      </c>
      <c r="AS571" s="84">
        <v>6001648328</v>
      </c>
      <c r="AT571" s="85">
        <v>43515</v>
      </c>
      <c r="AU571" s="84" t="s">
        <v>1637</v>
      </c>
      <c r="AV571" s="85">
        <v>43523</v>
      </c>
      <c r="AW571" s="123">
        <v>43524</v>
      </c>
      <c r="AX571" s="123">
        <v>43544</v>
      </c>
      <c r="AY571" s="132">
        <v>74400</v>
      </c>
      <c r="AZ571" s="132">
        <f>ROUNDDOWN(AY571+(AY571*MASTER!$A$2/100),0)</f>
        <v>80352</v>
      </c>
      <c r="BA571" s="84" t="s">
        <v>543</v>
      </c>
      <c r="BB571" s="88">
        <v>26000</v>
      </c>
      <c r="BC571" s="88">
        <v>28080</v>
      </c>
      <c r="BD571" s="84" t="s">
        <v>1268</v>
      </c>
      <c r="BG571" s="88">
        <v>0</v>
      </c>
      <c r="BI571" s="84" t="s">
        <v>434</v>
      </c>
      <c r="BJ571" s="88">
        <v>13000</v>
      </c>
      <c r="BK571" s="88">
        <v>14040</v>
      </c>
      <c r="BL571" s="84" t="s">
        <v>1268</v>
      </c>
      <c r="BS571" s="88">
        <v>0</v>
      </c>
      <c r="BV571" s="89">
        <v>62100</v>
      </c>
      <c r="BW571" s="89">
        <v>42120</v>
      </c>
      <c r="BX571" s="89">
        <v>43502</v>
      </c>
      <c r="BY571" s="89">
        <v>19980</v>
      </c>
      <c r="BZ571" s="112">
        <v>32.173913043478258</v>
      </c>
    </row>
    <row r="572" spans="1:89" x14ac:dyDescent="0.15">
      <c r="A572" s="84">
        <v>2</v>
      </c>
      <c r="B572" s="85">
        <v>43514</v>
      </c>
      <c r="C572" s="85">
        <v>43523</v>
      </c>
      <c r="F572" s="85">
        <v>43530</v>
      </c>
      <c r="G572" s="85">
        <v>43523</v>
      </c>
      <c r="H572" s="85">
        <v>43526</v>
      </c>
      <c r="I572" s="84" t="s">
        <v>401</v>
      </c>
      <c r="J572" s="84">
        <v>1</v>
      </c>
      <c r="L572" s="84">
        <v>0</v>
      </c>
      <c r="M572" s="85">
        <v>43503</v>
      </c>
      <c r="N572" s="85" t="s">
        <v>265</v>
      </c>
      <c r="O572" s="86" t="s">
        <v>340</v>
      </c>
      <c r="P572" s="84" t="s">
        <v>26</v>
      </c>
      <c r="Q572" s="86" t="s">
        <v>144</v>
      </c>
      <c r="R572" s="86" t="s">
        <v>1878</v>
      </c>
      <c r="S572" s="87" t="s">
        <v>1758</v>
      </c>
      <c r="T572" s="87" t="s">
        <v>1879</v>
      </c>
      <c r="U572" s="88">
        <v>56000</v>
      </c>
      <c r="V572" s="88">
        <v>60480</v>
      </c>
      <c r="W572" s="88">
        <v>47000</v>
      </c>
      <c r="X572" s="88">
        <v>50760</v>
      </c>
      <c r="Y572" s="88">
        <v>9000</v>
      </c>
      <c r="Z572" s="88">
        <v>9720</v>
      </c>
      <c r="AA572" s="85">
        <v>43520</v>
      </c>
      <c r="AB572" s="85">
        <v>43523</v>
      </c>
      <c r="AC572" s="85">
        <v>43523</v>
      </c>
      <c r="AD572" s="84">
        <v>0</v>
      </c>
      <c r="AG572" s="84">
        <v>0</v>
      </c>
      <c r="AJ572" s="84">
        <v>0</v>
      </c>
      <c r="AM572" s="84" t="s">
        <v>290</v>
      </c>
      <c r="AN572" s="84" t="s">
        <v>1880</v>
      </c>
      <c r="AR572" s="85">
        <v>43511</v>
      </c>
      <c r="AS572" s="84">
        <v>6001647343</v>
      </c>
      <c r="AT572" s="85">
        <v>43511</v>
      </c>
      <c r="AU572" s="84" t="s">
        <v>1761</v>
      </c>
      <c r="AV572" s="85">
        <v>43523</v>
      </c>
      <c r="AW572" s="123">
        <v>43524</v>
      </c>
      <c r="AX572" s="123">
        <v>43544</v>
      </c>
      <c r="AY572" s="132">
        <v>53760</v>
      </c>
      <c r="AZ572" s="132">
        <f>ROUNDDOWN(AY572+(AY572*MASTER!$A$2/100),0)</f>
        <v>58060</v>
      </c>
      <c r="BA572" s="84" t="s">
        <v>778</v>
      </c>
      <c r="BC572" s="88">
        <v>0</v>
      </c>
      <c r="BG572" s="88">
        <v>0</v>
      </c>
      <c r="BI572" s="84" t="s">
        <v>276</v>
      </c>
      <c r="BJ572" s="88">
        <v>5850</v>
      </c>
      <c r="BK572" s="88">
        <v>6318</v>
      </c>
      <c r="BL572" s="84" t="s">
        <v>1567</v>
      </c>
      <c r="BS572" s="88">
        <v>0</v>
      </c>
      <c r="BV572" s="89">
        <v>50760</v>
      </c>
      <c r="BW572" s="89">
        <v>6318</v>
      </c>
      <c r="BX572" s="89">
        <v>43503</v>
      </c>
      <c r="BY572" s="89">
        <v>44442</v>
      </c>
      <c r="BZ572" s="112">
        <v>87.553191489361708</v>
      </c>
      <c r="CK572" s="88">
        <v>0</v>
      </c>
    </row>
    <row r="573" spans="1:89" x14ac:dyDescent="0.15">
      <c r="A573" s="84">
        <v>2</v>
      </c>
      <c r="B573" s="85">
        <v>43524</v>
      </c>
      <c r="C573" s="85">
        <v>43532</v>
      </c>
      <c r="D573" s="85">
        <v>43553</v>
      </c>
      <c r="F573" s="85">
        <v>43539</v>
      </c>
      <c r="G573" s="85">
        <v>43532</v>
      </c>
      <c r="H573" s="85">
        <v>43535</v>
      </c>
      <c r="I573" s="84" t="s">
        <v>401</v>
      </c>
      <c r="J573" s="84">
        <v>1</v>
      </c>
      <c r="L573" s="84">
        <v>0</v>
      </c>
      <c r="M573" s="85">
        <v>43503</v>
      </c>
      <c r="N573" s="85" t="s">
        <v>265</v>
      </c>
      <c r="O573" s="86" t="s">
        <v>340</v>
      </c>
      <c r="P573" s="84" t="s">
        <v>26</v>
      </c>
      <c r="Q573" s="86" t="s">
        <v>144</v>
      </c>
      <c r="R573" s="86" t="s">
        <v>1881</v>
      </c>
      <c r="S573" s="87" t="s">
        <v>990</v>
      </c>
      <c r="T573" s="87" t="s">
        <v>1882</v>
      </c>
      <c r="U573" s="88">
        <v>83700</v>
      </c>
      <c r="V573" s="88">
        <v>90396</v>
      </c>
      <c r="W573" s="88">
        <v>57500</v>
      </c>
      <c r="X573" s="88">
        <v>62100</v>
      </c>
      <c r="Y573" s="88">
        <v>26200</v>
      </c>
      <c r="Z573" s="88">
        <v>28296</v>
      </c>
      <c r="AA573" s="85">
        <v>43531</v>
      </c>
      <c r="AB573" s="85">
        <v>43532</v>
      </c>
      <c r="AC573" s="85">
        <v>43532</v>
      </c>
      <c r="AD573" s="84">
        <v>0</v>
      </c>
      <c r="AG573" s="84">
        <v>0</v>
      </c>
      <c r="AJ573" s="84">
        <v>0</v>
      </c>
      <c r="AM573" s="84" t="s">
        <v>290</v>
      </c>
      <c r="AN573" s="84" t="s">
        <v>1883</v>
      </c>
      <c r="AR573" s="85">
        <v>43515</v>
      </c>
      <c r="AS573" s="84">
        <v>6001648328</v>
      </c>
      <c r="AT573" s="85">
        <v>43515</v>
      </c>
      <c r="AU573" s="84" t="s">
        <v>1637</v>
      </c>
      <c r="AV573" s="85">
        <v>43532</v>
      </c>
      <c r="AW573" s="123">
        <v>43555</v>
      </c>
      <c r="AX573" s="123">
        <v>43575</v>
      </c>
      <c r="AY573" s="132">
        <v>80352</v>
      </c>
      <c r="AZ573" s="132">
        <f>ROUNDDOWN(AY573+(AY573*MASTER!$A$2/100),0)</f>
        <v>86780</v>
      </c>
      <c r="BA573" s="84" t="s">
        <v>543</v>
      </c>
      <c r="BB573" s="88">
        <v>26000</v>
      </c>
      <c r="BC573" s="88">
        <v>28080</v>
      </c>
      <c r="BD573" s="84" t="s">
        <v>1268</v>
      </c>
      <c r="BG573" s="88">
        <v>0</v>
      </c>
      <c r="BI573" s="84" t="s">
        <v>434</v>
      </c>
      <c r="BJ573" s="88">
        <v>17030</v>
      </c>
      <c r="BK573" s="88">
        <v>18392.400000000001</v>
      </c>
      <c r="BL573" s="84" t="s">
        <v>1268</v>
      </c>
      <c r="BS573" s="88">
        <v>0</v>
      </c>
      <c r="BV573" s="89">
        <v>62100</v>
      </c>
      <c r="BW573" s="89">
        <v>46472.4</v>
      </c>
      <c r="BX573" s="89">
        <v>43503</v>
      </c>
      <c r="BY573" s="89">
        <v>15627.6</v>
      </c>
      <c r="BZ573" s="112">
        <v>25.165217391304346</v>
      </c>
      <c r="CK573" s="88">
        <v>0</v>
      </c>
    </row>
    <row r="574" spans="1:89" x14ac:dyDescent="0.15">
      <c r="A574" s="84">
        <v>2</v>
      </c>
      <c r="C574" s="85" t="s">
        <v>338</v>
      </c>
      <c r="D574" s="85">
        <v>43503</v>
      </c>
      <c r="E574" s="85">
        <v>43503</v>
      </c>
      <c r="F574" s="85" t="s">
        <v>338</v>
      </c>
      <c r="G574" s="85">
        <v>43503</v>
      </c>
      <c r="H574" s="85" t="s">
        <v>338</v>
      </c>
      <c r="I574" s="84" t="s">
        <v>380</v>
      </c>
      <c r="J574" s="84">
        <v>4</v>
      </c>
      <c r="L574" s="84">
        <v>0</v>
      </c>
      <c r="M574" s="85">
        <v>43502</v>
      </c>
      <c r="N574" s="85" t="s">
        <v>265</v>
      </c>
      <c r="O574" s="86" t="s">
        <v>340</v>
      </c>
      <c r="P574" s="84" t="s">
        <v>6</v>
      </c>
      <c r="Q574" s="86" t="s">
        <v>144</v>
      </c>
      <c r="R574" s="86" t="s">
        <v>1884</v>
      </c>
      <c r="S574" s="87" t="s">
        <v>635</v>
      </c>
      <c r="T574" s="87" t="s">
        <v>342</v>
      </c>
      <c r="U574" s="88">
        <v>0</v>
      </c>
      <c r="V574" s="88">
        <v>0</v>
      </c>
      <c r="W574" s="88">
        <v>0</v>
      </c>
      <c r="X574" s="88">
        <v>0</v>
      </c>
      <c r="Z574" s="88">
        <v>0</v>
      </c>
      <c r="AA574" s="85">
        <v>43502</v>
      </c>
      <c r="AB574" s="85">
        <v>43502</v>
      </c>
      <c r="AD574" s="84">
        <v>0</v>
      </c>
      <c r="AG574" s="84">
        <v>0</v>
      </c>
      <c r="AJ574" s="84">
        <v>0</v>
      </c>
      <c r="AZ574" s="132">
        <f>ROUNDDOWN(AY574+(AY574*MASTER!$A$2/100),0)</f>
        <v>0</v>
      </c>
      <c r="BA574" s="84" t="s">
        <v>400</v>
      </c>
      <c r="BB574" s="88">
        <v>23000</v>
      </c>
      <c r="BC574" s="88">
        <v>24840</v>
      </c>
      <c r="BD574" s="84" t="s">
        <v>1233</v>
      </c>
      <c r="BG574" s="88">
        <v>0</v>
      </c>
      <c r="BK574" s="88">
        <v>0</v>
      </c>
      <c r="BS574" s="88">
        <v>0</v>
      </c>
      <c r="BV574" s="89">
        <v>0</v>
      </c>
      <c r="BW574" s="89">
        <v>24840</v>
      </c>
      <c r="BX574" s="89">
        <v>43502</v>
      </c>
      <c r="BY574" s="89">
        <v>-24840</v>
      </c>
      <c r="BZ574" s="112" t="s">
        <v>338</v>
      </c>
    </row>
    <row r="575" spans="1:89" x14ac:dyDescent="0.15">
      <c r="A575" s="84">
        <v>2</v>
      </c>
      <c r="B575" s="85">
        <v>43510</v>
      </c>
      <c r="C575" s="85">
        <v>43511</v>
      </c>
      <c r="D575" s="85">
        <v>43508</v>
      </c>
      <c r="E575" s="85">
        <v>43508</v>
      </c>
      <c r="F575" s="85" t="s">
        <v>338</v>
      </c>
      <c r="G575" s="85">
        <v>43508</v>
      </c>
      <c r="H575" s="85" t="s">
        <v>338</v>
      </c>
      <c r="I575" s="84" t="s">
        <v>380</v>
      </c>
      <c r="J575" s="84">
        <v>2</v>
      </c>
      <c r="L575" s="84">
        <v>0</v>
      </c>
      <c r="M575" s="85">
        <v>43503</v>
      </c>
      <c r="N575" s="85" t="s">
        <v>265</v>
      </c>
      <c r="O575" s="86" t="s">
        <v>340</v>
      </c>
      <c r="P575" s="84" t="s">
        <v>6</v>
      </c>
      <c r="Q575" s="86" t="s">
        <v>144</v>
      </c>
      <c r="R575" s="86" t="s">
        <v>1885</v>
      </c>
      <c r="S575" s="87" t="s">
        <v>1569</v>
      </c>
      <c r="T575" s="87" t="s">
        <v>342</v>
      </c>
      <c r="U575" s="88">
        <v>35000</v>
      </c>
      <c r="V575" s="88">
        <v>37800</v>
      </c>
      <c r="W575" s="88">
        <v>35000</v>
      </c>
      <c r="X575" s="88">
        <v>37800</v>
      </c>
      <c r="Z575" s="88">
        <v>0</v>
      </c>
      <c r="AA575" s="85">
        <v>43503</v>
      </c>
      <c r="AB575" s="85">
        <v>43503</v>
      </c>
      <c r="AD575" s="84">
        <v>0</v>
      </c>
      <c r="AG575" s="84">
        <v>0</v>
      </c>
      <c r="AJ575" s="84">
        <v>0</v>
      </c>
      <c r="AN575" s="84" t="s">
        <v>338</v>
      </c>
      <c r="AR575" s="85">
        <v>43509</v>
      </c>
      <c r="AS575" s="84">
        <v>6001646490</v>
      </c>
      <c r="AT575" s="85">
        <v>43509</v>
      </c>
      <c r="AU575" s="84" t="s">
        <v>1820</v>
      </c>
      <c r="AV575" s="85">
        <v>43511</v>
      </c>
      <c r="AW575" s="123">
        <v>43524</v>
      </c>
      <c r="AX575" s="123">
        <v>43544</v>
      </c>
      <c r="AY575" s="132">
        <v>33600</v>
      </c>
      <c r="AZ575" s="132">
        <f>ROUNDDOWN(AY575+(AY575*MASTER!$A$2/100),0)</f>
        <v>36288</v>
      </c>
      <c r="BA575" s="84" t="s">
        <v>745</v>
      </c>
      <c r="BB575" s="88">
        <v>32000</v>
      </c>
      <c r="BC575" s="88">
        <v>34560</v>
      </c>
      <c r="BD575" s="84" t="s">
        <v>1233</v>
      </c>
      <c r="BG575" s="88">
        <v>0</v>
      </c>
      <c r="BK575" s="88">
        <v>0</v>
      </c>
      <c r="BS575" s="88">
        <v>0</v>
      </c>
      <c r="BV575" s="89">
        <v>37800</v>
      </c>
      <c r="BW575" s="89">
        <v>34560</v>
      </c>
      <c r="BX575" s="89">
        <v>43503</v>
      </c>
      <c r="BY575" s="89">
        <v>3240</v>
      </c>
      <c r="BZ575" s="112">
        <v>8.5714285714285712</v>
      </c>
      <c r="CK575" s="88">
        <v>0</v>
      </c>
    </row>
    <row r="576" spans="1:89" s="151" customFormat="1" x14ac:dyDescent="0.15">
      <c r="A576" s="141">
        <v>3</v>
      </c>
      <c r="B576" s="142"/>
      <c r="C576" s="142" t="s">
        <v>338</v>
      </c>
      <c r="D576" s="142"/>
      <c r="E576" s="142"/>
      <c r="F576" s="142" t="s">
        <v>338</v>
      </c>
      <c r="G576" s="142"/>
      <c r="H576" s="142" t="s">
        <v>338</v>
      </c>
      <c r="I576" s="141"/>
      <c r="J576" s="141">
        <v>2</v>
      </c>
      <c r="K576" s="142"/>
      <c r="L576" s="141">
        <v>0</v>
      </c>
      <c r="M576" s="142">
        <v>43503</v>
      </c>
      <c r="N576" s="142" t="s">
        <v>264</v>
      </c>
      <c r="O576" s="143" t="s">
        <v>340</v>
      </c>
      <c r="P576" s="141" t="s">
        <v>272</v>
      </c>
      <c r="Q576" s="143" t="s">
        <v>144</v>
      </c>
      <c r="R576" s="143" t="s">
        <v>1886</v>
      </c>
      <c r="S576" s="144" t="s">
        <v>387</v>
      </c>
      <c r="T576" s="144" t="s">
        <v>1887</v>
      </c>
      <c r="U576" s="145">
        <v>1280000</v>
      </c>
      <c r="V576" s="145">
        <v>1382400</v>
      </c>
      <c r="W576" s="145">
        <v>1280000</v>
      </c>
      <c r="X576" s="145">
        <v>1382400</v>
      </c>
      <c r="Y576" s="145"/>
      <c r="Z576" s="145">
        <v>0</v>
      </c>
      <c r="AA576" s="142"/>
      <c r="AB576" s="142"/>
      <c r="AC576" s="142"/>
      <c r="AD576" s="141">
        <v>0</v>
      </c>
      <c r="AE576" s="141"/>
      <c r="AF576" s="141"/>
      <c r="AG576" s="141">
        <v>0</v>
      </c>
      <c r="AH576" s="141"/>
      <c r="AI576" s="141"/>
      <c r="AJ576" s="141">
        <v>0</v>
      </c>
      <c r="AK576" s="141"/>
      <c r="AL576" s="141"/>
      <c r="AM576" s="141"/>
      <c r="AN576" s="141"/>
      <c r="AO576" s="142"/>
      <c r="AP576" s="141"/>
      <c r="AQ576" s="141"/>
      <c r="AR576" s="142"/>
      <c r="AS576" s="141"/>
      <c r="AT576" s="142"/>
      <c r="AU576" s="141"/>
      <c r="AV576" s="142"/>
      <c r="AW576" s="146"/>
      <c r="AX576" s="146"/>
      <c r="AY576" s="147">
        <v>1280000</v>
      </c>
      <c r="AZ576" s="132">
        <f>ROUNDDOWN(AY576+(AY576*MASTER!$A$2/100),0)</f>
        <v>1382400</v>
      </c>
      <c r="BA576" s="141"/>
      <c r="BB576" s="145"/>
      <c r="BC576" s="145">
        <v>0</v>
      </c>
      <c r="BD576" s="141"/>
      <c r="BE576" s="141"/>
      <c r="BF576" s="145"/>
      <c r="BG576" s="145">
        <v>0</v>
      </c>
      <c r="BH576" s="141"/>
      <c r="BI576" s="141"/>
      <c r="BJ576" s="145"/>
      <c r="BK576" s="145">
        <v>0</v>
      </c>
      <c r="BL576" s="141"/>
      <c r="BM576" s="145"/>
      <c r="BN576" s="145"/>
      <c r="BO576" s="145"/>
      <c r="BP576" s="145"/>
      <c r="BQ576" s="145"/>
      <c r="BR576" s="145"/>
      <c r="BS576" s="145">
        <v>0</v>
      </c>
      <c r="BT576" s="148"/>
      <c r="BU576" s="148"/>
      <c r="BV576" s="149">
        <v>1382400</v>
      </c>
      <c r="BW576" s="149">
        <v>0</v>
      </c>
      <c r="BX576" s="149">
        <v>43503</v>
      </c>
      <c r="BY576" s="149">
        <v>1382400</v>
      </c>
      <c r="BZ576" s="150">
        <v>100</v>
      </c>
      <c r="CA576" s="141"/>
      <c r="CB576" s="141"/>
      <c r="CC576" s="141"/>
      <c r="CD576" s="144"/>
      <c r="CE576" s="142"/>
      <c r="CF576" s="142"/>
      <c r="CG576" s="142"/>
      <c r="CH576" s="142"/>
      <c r="CI576" s="142"/>
      <c r="CJ576" s="142"/>
      <c r="CK576" s="145"/>
    </row>
    <row r="577" spans="1:89" x14ac:dyDescent="0.15">
      <c r="A577" s="84">
        <v>1</v>
      </c>
      <c r="B577" s="85">
        <v>43510</v>
      </c>
      <c r="C577" s="85">
        <v>43518</v>
      </c>
      <c r="F577" s="85" t="s">
        <v>338</v>
      </c>
      <c r="H577" s="85" t="s">
        <v>338</v>
      </c>
      <c r="J577" s="84">
        <v>2</v>
      </c>
      <c r="L577" s="84">
        <v>0</v>
      </c>
      <c r="M577" s="85">
        <v>43504</v>
      </c>
      <c r="N577" s="85" t="s">
        <v>265</v>
      </c>
      <c r="O577" s="86" t="s">
        <v>340</v>
      </c>
      <c r="P577" s="84" t="s">
        <v>26</v>
      </c>
      <c r="Q577" s="86" t="s">
        <v>144</v>
      </c>
      <c r="R577" s="86" t="s">
        <v>1888</v>
      </c>
      <c r="S577" s="87" t="s">
        <v>351</v>
      </c>
      <c r="T577" s="87" t="s">
        <v>1889</v>
      </c>
      <c r="U577" s="88">
        <v>120000</v>
      </c>
      <c r="V577" s="88">
        <v>129600</v>
      </c>
      <c r="W577" s="88">
        <v>120000</v>
      </c>
      <c r="X577" s="88">
        <v>129600</v>
      </c>
      <c r="Z577" s="88">
        <v>0</v>
      </c>
      <c r="AD577" s="84">
        <v>0</v>
      </c>
      <c r="AG577" s="84">
        <v>0</v>
      </c>
      <c r="AJ577" s="84">
        <v>0</v>
      </c>
      <c r="AN577" s="84" t="s">
        <v>338</v>
      </c>
      <c r="AR577" s="85">
        <v>43508</v>
      </c>
      <c r="AS577" s="84">
        <v>6001645993</v>
      </c>
      <c r="AT577" s="85">
        <v>43509</v>
      </c>
      <c r="AU577" s="84" t="s">
        <v>1869</v>
      </c>
      <c r="AV577" s="85">
        <v>43518</v>
      </c>
      <c r="AW577" s="123">
        <v>43524</v>
      </c>
      <c r="AX577" s="123">
        <v>43544</v>
      </c>
      <c r="AY577" s="132">
        <v>115200</v>
      </c>
      <c r="AZ577" s="132">
        <f>ROUNDDOWN(AY577+(AY577*MASTER!$A$2/100),0)</f>
        <v>124416</v>
      </c>
      <c r="BC577" s="88">
        <v>0</v>
      </c>
      <c r="BG577" s="88">
        <v>0</v>
      </c>
      <c r="BK577" s="88">
        <v>0</v>
      </c>
      <c r="BS577" s="88">
        <v>0</v>
      </c>
      <c r="BV577" s="89">
        <v>129600</v>
      </c>
      <c r="BW577" s="89">
        <v>0</v>
      </c>
      <c r="BX577" s="89">
        <v>43504</v>
      </c>
      <c r="BY577" s="89">
        <v>129600</v>
      </c>
      <c r="BZ577" s="112">
        <v>100</v>
      </c>
      <c r="CK577" s="88">
        <v>0</v>
      </c>
    </row>
    <row r="578" spans="1:89" x14ac:dyDescent="0.15">
      <c r="A578" s="84">
        <v>2</v>
      </c>
      <c r="B578" s="85">
        <v>43510</v>
      </c>
      <c r="C578" s="85">
        <v>43511</v>
      </c>
      <c r="D578" s="85">
        <v>43508</v>
      </c>
      <c r="E578" s="85">
        <v>43508</v>
      </c>
      <c r="F578" s="85" t="s">
        <v>338</v>
      </c>
      <c r="G578" s="85">
        <v>43508</v>
      </c>
      <c r="H578" s="85" t="s">
        <v>338</v>
      </c>
      <c r="I578" s="84" t="s">
        <v>380</v>
      </c>
      <c r="J578" s="84">
        <v>2</v>
      </c>
      <c r="L578" s="84">
        <v>0</v>
      </c>
      <c r="M578" s="85">
        <v>43504</v>
      </c>
      <c r="N578" s="85" t="s">
        <v>265</v>
      </c>
      <c r="O578" s="86" t="s">
        <v>340</v>
      </c>
      <c r="P578" s="84" t="s">
        <v>6</v>
      </c>
      <c r="Q578" s="86" t="s">
        <v>144</v>
      </c>
      <c r="R578" s="86" t="s">
        <v>1890</v>
      </c>
      <c r="S578" s="87" t="s">
        <v>1891</v>
      </c>
      <c r="T578" s="87" t="s">
        <v>342</v>
      </c>
      <c r="U578" s="88">
        <v>35000</v>
      </c>
      <c r="V578" s="88">
        <v>37800</v>
      </c>
      <c r="W578" s="88">
        <v>35000</v>
      </c>
      <c r="X578" s="88">
        <v>37800</v>
      </c>
      <c r="Z578" s="88">
        <v>0</v>
      </c>
      <c r="AA578" s="85">
        <v>43504</v>
      </c>
      <c r="AB578" s="85">
        <v>43504</v>
      </c>
      <c r="AD578" s="84">
        <v>0</v>
      </c>
      <c r="AG578" s="84">
        <v>0</v>
      </c>
      <c r="AJ578" s="84">
        <v>0</v>
      </c>
      <c r="AR578" s="85">
        <v>43509</v>
      </c>
      <c r="AS578" s="84">
        <v>6001646490</v>
      </c>
      <c r="AT578" s="85">
        <v>43509</v>
      </c>
      <c r="AU578" s="84" t="s">
        <v>1820</v>
      </c>
      <c r="AV578" s="85">
        <v>43511</v>
      </c>
      <c r="AW578" s="123">
        <v>43524</v>
      </c>
      <c r="AX578" s="123">
        <v>43544</v>
      </c>
      <c r="AY578" s="132">
        <v>33600</v>
      </c>
      <c r="AZ578" s="132">
        <f>ROUNDDOWN(AY578+(AY578*MASTER!$A$2/100),0)</f>
        <v>36288</v>
      </c>
      <c r="BA578" s="84" t="s">
        <v>543</v>
      </c>
      <c r="BB578" s="88">
        <v>33000</v>
      </c>
      <c r="BC578" s="88">
        <v>35640</v>
      </c>
      <c r="BD578" s="84" t="s">
        <v>1233</v>
      </c>
      <c r="BG578" s="88">
        <v>0</v>
      </c>
      <c r="BK578" s="88">
        <v>0</v>
      </c>
      <c r="BS578" s="88">
        <v>0</v>
      </c>
      <c r="BV578" s="89">
        <v>37800</v>
      </c>
      <c r="BW578" s="89">
        <v>35640</v>
      </c>
      <c r="BX578" s="89">
        <v>43504</v>
      </c>
      <c r="BY578" s="89">
        <v>2160</v>
      </c>
      <c r="BZ578" s="112">
        <v>5.7142857142857144</v>
      </c>
    </row>
    <row r="579" spans="1:89" s="151" customFormat="1" x14ac:dyDescent="0.15">
      <c r="A579" s="141">
        <v>3</v>
      </c>
      <c r="B579" s="142"/>
      <c r="C579" s="142" t="s">
        <v>338</v>
      </c>
      <c r="D579" s="142"/>
      <c r="E579" s="142"/>
      <c r="F579" s="142" t="s">
        <v>338</v>
      </c>
      <c r="G579" s="142"/>
      <c r="H579" s="142" t="s">
        <v>338</v>
      </c>
      <c r="I579" s="141"/>
      <c r="J579" s="141">
        <v>2</v>
      </c>
      <c r="K579" s="142"/>
      <c r="L579" s="141">
        <v>0</v>
      </c>
      <c r="M579" s="142">
        <v>43504</v>
      </c>
      <c r="N579" s="142" t="s">
        <v>265</v>
      </c>
      <c r="O579" s="143" t="s">
        <v>340</v>
      </c>
      <c r="P579" s="141" t="s">
        <v>26</v>
      </c>
      <c r="Q579" s="143" t="s">
        <v>144</v>
      </c>
      <c r="R579" s="143" t="s">
        <v>1892</v>
      </c>
      <c r="S579" s="144" t="s">
        <v>351</v>
      </c>
      <c r="T579" s="144" t="s">
        <v>1893</v>
      </c>
      <c r="U579" s="145">
        <v>35000</v>
      </c>
      <c r="V579" s="145">
        <v>37800</v>
      </c>
      <c r="W579" s="145">
        <v>35000</v>
      </c>
      <c r="X579" s="145">
        <v>37800</v>
      </c>
      <c r="Y579" s="145"/>
      <c r="Z579" s="145">
        <v>0</v>
      </c>
      <c r="AA579" s="142"/>
      <c r="AB579" s="142"/>
      <c r="AC579" s="142"/>
      <c r="AD579" s="141">
        <v>0</v>
      </c>
      <c r="AE579" s="141"/>
      <c r="AF579" s="141"/>
      <c r="AG579" s="141">
        <v>0</v>
      </c>
      <c r="AH579" s="141"/>
      <c r="AI579" s="141"/>
      <c r="AJ579" s="141">
        <v>0</v>
      </c>
      <c r="AK579" s="141"/>
      <c r="AL579" s="141"/>
      <c r="AM579" s="141"/>
      <c r="AN579" s="141"/>
      <c r="AO579" s="142"/>
      <c r="AP579" s="141"/>
      <c r="AQ579" s="141"/>
      <c r="AR579" s="142"/>
      <c r="AS579" s="141"/>
      <c r="AT579" s="142"/>
      <c r="AU579" s="141"/>
      <c r="AV579" s="142"/>
      <c r="AW579" s="146"/>
      <c r="AX579" s="146"/>
      <c r="AY579" s="147">
        <v>33600</v>
      </c>
      <c r="AZ579" s="132">
        <f>ROUNDDOWN(AY579+(AY579*MASTER!$A$2/100),0)</f>
        <v>36288</v>
      </c>
      <c r="BA579" s="141"/>
      <c r="BB579" s="145"/>
      <c r="BC579" s="145">
        <v>0</v>
      </c>
      <c r="BD579" s="141"/>
      <c r="BE579" s="141"/>
      <c r="BF579" s="145"/>
      <c r="BG579" s="145">
        <v>0</v>
      </c>
      <c r="BH579" s="141"/>
      <c r="BI579" s="141"/>
      <c r="BJ579" s="145"/>
      <c r="BK579" s="145">
        <v>0</v>
      </c>
      <c r="BL579" s="141"/>
      <c r="BM579" s="145"/>
      <c r="BN579" s="145"/>
      <c r="BO579" s="145"/>
      <c r="BP579" s="145"/>
      <c r="BQ579" s="145"/>
      <c r="BR579" s="145"/>
      <c r="BS579" s="145">
        <v>0</v>
      </c>
      <c r="BT579" s="148"/>
      <c r="BU579" s="148"/>
      <c r="BV579" s="149">
        <v>37800</v>
      </c>
      <c r="BW579" s="149">
        <v>0</v>
      </c>
      <c r="BX579" s="149">
        <v>43504</v>
      </c>
      <c r="BY579" s="149">
        <v>37800</v>
      </c>
      <c r="BZ579" s="150">
        <v>100</v>
      </c>
      <c r="CA579" s="141"/>
      <c r="CB579" s="141"/>
      <c r="CC579" s="141"/>
      <c r="CD579" s="144" t="s">
        <v>1894</v>
      </c>
      <c r="CE579" s="142"/>
      <c r="CF579" s="142"/>
      <c r="CG579" s="142"/>
      <c r="CH579" s="142"/>
      <c r="CI579" s="142"/>
      <c r="CJ579" s="142"/>
      <c r="CK579" s="145"/>
    </row>
    <row r="580" spans="1:89" x14ac:dyDescent="0.15">
      <c r="A580" s="84">
        <v>2</v>
      </c>
      <c r="B580" s="85">
        <v>43516</v>
      </c>
      <c r="C580" s="85">
        <v>43516</v>
      </c>
      <c r="D580" s="85">
        <v>43522</v>
      </c>
      <c r="F580" s="85">
        <v>43523</v>
      </c>
      <c r="G580" s="85">
        <v>43515</v>
      </c>
      <c r="H580" s="85">
        <v>43519</v>
      </c>
      <c r="I580" s="84" t="s">
        <v>401</v>
      </c>
      <c r="J580" s="84">
        <v>2</v>
      </c>
      <c r="L580" s="84">
        <v>0</v>
      </c>
      <c r="M580" s="85">
        <v>43508</v>
      </c>
      <c r="N580" s="85" t="s">
        <v>265</v>
      </c>
      <c r="O580" s="86" t="s">
        <v>340</v>
      </c>
      <c r="P580" s="84" t="s">
        <v>26</v>
      </c>
      <c r="Q580" s="86" t="s">
        <v>144</v>
      </c>
      <c r="R580" s="86" t="s">
        <v>1895</v>
      </c>
      <c r="S580" s="87" t="s">
        <v>1896</v>
      </c>
      <c r="T580" s="87" t="s">
        <v>1897</v>
      </c>
      <c r="U580" s="88">
        <v>270000</v>
      </c>
      <c r="V580" s="88">
        <v>291600</v>
      </c>
      <c r="W580" s="88">
        <v>270000</v>
      </c>
      <c r="X580" s="88">
        <v>291600</v>
      </c>
      <c r="Z580" s="88">
        <v>0</v>
      </c>
      <c r="AA580" s="85">
        <v>43513</v>
      </c>
      <c r="AB580" s="85">
        <v>43516</v>
      </c>
      <c r="AC580" s="85">
        <v>43516</v>
      </c>
      <c r="AD580" s="84">
        <v>0</v>
      </c>
      <c r="AG580" s="84">
        <v>0</v>
      </c>
      <c r="AJ580" s="84">
        <v>0</v>
      </c>
      <c r="AM580" s="84" t="s">
        <v>290</v>
      </c>
      <c r="AN580" s="84" t="s">
        <v>1898</v>
      </c>
      <c r="AR580" s="85">
        <v>43515</v>
      </c>
      <c r="AS580" s="84">
        <v>6001648328</v>
      </c>
      <c r="AT580" s="85">
        <v>43515</v>
      </c>
      <c r="AU580" s="84" t="s">
        <v>1637</v>
      </c>
      <c r="AV580" s="85">
        <v>43516</v>
      </c>
      <c r="AW580" s="123">
        <v>43524</v>
      </c>
      <c r="AX580" s="123">
        <v>43544</v>
      </c>
      <c r="AY580" s="132">
        <v>259200</v>
      </c>
      <c r="AZ580" s="132">
        <f>ROUNDDOWN(AY580+(AY580*MASTER!$A$2/100),0)</f>
        <v>279936</v>
      </c>
      <c r="BA580" s="84" t="s">
        <v>543</v>
      </c>
      <c r="BB580" s="88">
        <v>87440</v>
      </c>
      <c r="BC580" s="88">
        <v>94435.199999999997</v>
      </c>
      <c r="BD580" s="84" t="s">
        <v>1233</v>
      </c>
      <c r="BG580" s="88">
        <v>0</v>
      </c>
      <c r="BK580" s="88">
        <v>0</v>
      </c>
      <c r="BS580" s="88">
        <v>0</v>
      </c>
      <c r="BV580" s="89">
        <v>291600</v>
      </c>
      <c r="BW580" s="89">
        <v>94435.199999999997</v>
      </c>
      <c r="BX580" s="89">
        <v>43508</v>
      </c>
      <c r="BY580" s="89">
        <v>197164.79999999999</v>
      </c>
      <c r="BZ580" s="112">
        <v>67.614814814814807</v>
      </c>
      <c r="CK580" s="88">
        <v>31500</v>
      </c>
    </row>
    <row r="581" spans="1:89" x14ac:dyDescent="0.15">
      <c r="A581" s="84">
        <v>2</v>
      </c>
      <c r="B581" s="85">
        <v>43516</v>
      </c>
      <c r="C581" s="85">
        <v>43516</v>
      </c>
      <c r="D581" s="85">
        <v>43522</v>
      </c>
      <c r="F581" s="85">
        <v>43523</v>
      </c>
      <c r="G581" s="85">
        <v>43515</v>
      </c>
      <c r="H581" s="85">
        <v>43519</v>
      </c>
      <c r="I581" s="84" t="s">
        <v>401</v>
      </c>
      <c r="J581" s="84">
        <v>2</v>
      </c>
      <c r="L581" s="84">
        <v>0</v>
      </c>
      <c r="M581" s="85">
        <v>43508</v>
      </c>
      <c r="N581" s="85" t="s">
        <v>265</v>
      </c>
      <c r="O581" s="86" t="s">
        <v>340</v>
      </c>
      <c r="P581" s="84" t="s">
        <v>26</v>
      </c>
      <c r="Q581" s="86" t="s">
        <v>144</v>
      </c>
      <c r="R581" s="86" t="s">
        <v>1899</v>
      </c>
      <c r="S581" s="87" t="s">
        <v>1900</v>
      </c>
      <c r="T581" s="87" t="s">
        <v>1901</v>
      </c>
      <c r="U581" s="88">
        <v>206000</v>
      </c>
      <c r="V581" s="88">
        <v>222480</v>
      </c>
      <c r="W581" s="88">
        <v>206000</v>
      </c>
      <c r="X581" s="88">
        <v>222480</v>
      </c>
      <c r="Z581" s="88">
        <v>0</v>
      </c>
      <c r="AA581" s="85">
        <v>43514</v>
      </c>
      <c r="AB581" s="85">
        <v>43516</v>
      </c>
      <c r="AC581" s="85">
        <v>43516</v>
      </c>
      <c r="AD581" s="84">
        <v>0</v>
      </c>
      <c r="AG581" s="84">
        <v>0</v>
      </c>
      <c r="AJ581" s="84">
        <v>0</v>
      </c>
      <c r="AM581" s="84" t="s">
        <v>290</v>
      </c>
      <c r="AN581" s="84" t="s">
        <v>1902</v>
      </c>
      <c r="AR581" s="85">
        <v>43515</v>
      </c>
      <c r="AS581" s="84">
        <v>6001648328</v>
      </c>
      <c r="AT581" s="85">
        <v>43515</v>
      </c>
      <c r="AU581" s="84" t="s">
        <v>1637</v>
      </c>
      <c r="AV581" s="85">
        <v>43516</v>
      </c>
      <c r="AW581" s="123">
        <v>43524</v>
      </c>
      <c r="AX581" s="123">
        <v>43544</v>
      </c>
      <c r="AY581" s="132">
        <v>197760</v>
      </c>
      <c r="AZ581" s="132">
        <f>ROUNDDOWN(AY581+(AY581*MASTER!$A$2/100),0)</f>
        <v>213580</v>
      </c>
      <c r="BA581" s="84" t="s">
        <v>543</v>
      </c>
      <c r="BB581" s="88">
        <v>26400</v>
      </c>
      <c r="BC581" s="88">
        <v>28512</v>
      </c>
      <c r="BD581" s="84" t="s">
        <v>1233</v>
      </c>
      <c r="BG581" s="88">
        <v>0</v>
      </c>
      <c r="BK581" s="88">
        <v>0</v>
      </c>
      <c r="BS581" s="88">
        <v>0</v>
      </c>
      <c r="BV581" s="89">
        <v>222480</v>
      </c>
      <c r="BW581" s="89">
        <v>28512</v>
      </c>
      <c r="BX581" s="89">
        <v>43508</v>
      </c>
      <c r="BY581" s="89">
        <v>193968</v>
      </c>
      <c r="BZ581" s="112">
        <v>87.184466019417471</v>
      </c>
      <c r="CK581" s="88">
        <v>31500</v>
      </c>
    </row>
    <row r="582" spans="1:89" x14ac:dyDescent="0.15">
      <c r="A582" s="84">
        <v>2</v>
      </c>
      <c r="B582" s="85">
        <v>43523</v>
      </c>
      <c r="C582" s="85">
        <v>43525</v>
      </c>
      <c r="D582" s="85">
        <v>43553</v>
      </c>
      <c r="F582" s="85">
        <v>43532</v>
      </c>
      <c r="G582" s="85">
        <v>43525</v>
      </c>
      <c r="H582" s="85">
        <v>43528</v>
      </c>
      <c r="I582" s="84" t="s">
        <v>401</v>
      </c>
      <c r="J582" s="84">
        <v>2</v>
      </c>
      <c r="L582" s="84">
        <v>0</v>
      </c>
      <c r="M582" s="85">
        <v>43508</v>
      </c>
      <c r="N582" s="85" t="s">
        <v>265</v>
      </c>
      <c r="O582" s="86" t="s">
        <v>340</v>
      </c>
      <c r="P582" s="84" t="s">
        <v>26</v>
      </c>
      <c r="Q582" s="86" t="s">
        <v>144</v>
      </c>
      <c r="R582" s="86" t="s">
        <v>1903</v>
      </c>
      <c r="S582" s="87" t="s">
        <v>1151</v>
      </c>
      <c r="T582" s="87" t="s">
        <v>1904</v>
      </c>
      <c r="U582" s="88">
        <v>222000</v>
      </c>
      <c r="V582" s="88">
        <v>239760</v>
      </c>
      <c r="W582" s="88">
        <v>222000</v>
      </c>
      <c r="X582" s="88">
        <v>239760</v>
      </c>
      <c r="Z582" s="88">
        <v>0</v>
      </c>
      <c r="AA582" s="85">
        <v>43523</v>
      </c>
      <c r="AB582" s="85">
        <v>43525</v>
      </c>
      <c r="AC582" s="85">
        <v>43525</v>
      </c>
      <c r="AD582" s="84">
        <v>0</v>
      </c>
      <c r="AG582" s="84">
        <v>0</v>
      </c>
      <c r="AJ582" s="84">
        <v>0</v>
      </c>
      <c r="AM582" s="84" t="s">
        <v>290</v>
      </c>
      <c r="AN582" s="84" t="s">
        <v>1905</v>
      </c>
      <c r="AR582" s="85">
        <v>43518</v>
      </c>
      <c r="AS582" s="84">
        <v>6001650218</v>
      </c>
      <c r="AT582" s="85">
        <v>43521</v>
      </c>
      <c r="AU582" s="84" t="s">
        <v>1906</v>
      </c>
      <c r="AV582" s="85">
        <v>43525</v>
      </c>
      <c r="AW582" s="123">
        <v>43555</v>
      </c>
      <c r="AX582" s="123">
        <v>43575</v>
      </c>
      <c r="AY582" s="132">
        <v>213120</v>
      </c>
      <c r="AZ582" s="132">
        <f>ROUNDDOWN(AY582+(AY582*MASTER!$A$2/100),0)</f>
        <v>230169</v>
      </c>
      <c r="BA582" s="84" t="s">
        <v>543</v>
      </c>
      <c r="BB582" s="88">
        <v>54120</v>
      </c>
      <c r="BC582" s="88">
        <v>58449.599999999999</v>
      </c>
      <c r="BD582" s="84" t="s">
        <v>1268</v>
      </c>
      <c r="BG582" s="88">
        <v>0</v>
      </c>
      <c r="BK582" s="88">
        <v>0</v>
      </c>
      <c r="BS582" s="88">
        <v>0</v>
      </c>
      <c r="BV582" s="89">
        <v>239760</v>
      </c>
      <c r="BW582" s="89">
        <v>58449.599999999999</v>
      </c>
      <c r="BX582" s="89">
        <v>43508</v>
      </c>
      <c r="BY582" s="89">
        <v>181310.4</v>
      </c>
      <c r="BZ582" s="112">
        <v>75.621621621621614</v>
      </c>
      <c r="CK582" s="88">
        <v>31500</v>
      </c>
    </row>
    <row r="583" spans="1:89" x14ac:dyDescent="0.15">
      <c r="A583" s="84">
        <v>1</v>
      </c>
      <c r="B583" s="85">
        <v>43523</v>
      </c>
      <c r="C583" s="85">
        <v>43526</v>
      </c>
      <c r="D583" s="85">
        <v>43549</v>
      </c>
      <c r="F583" s="85">
        <v>43533</v>
      </c>
      <c r="G583" s="85">
        <v>43531</v>
      </c>
      <c r="H583" s="85">
        <v>43529</v>
      </c>
      <c r="I583" s="84" t="s">
        <v>401</v>
      </c>
      <c r="J583" s="84">
        <v>2</v>
      </c>
      <c r="L583" s="84">
        <v>0</v>
      </c>
      <c r="M583" s="85">
        <v>43508</v>
      </c>
      <c r="N583" s="85" t="s">
        <v>265</v>
      </c>
      <c r="O583" s="86" t="s">
        <v>340</v>
      </c>
      <c r="P583" s="84" t="s">
        <v>26</v>
      </c>
      <c r="Q583" s="86" t="s">
        <v>144</v>
      </c>
      <c r="R583" s="86" t="s">
        <v>1907</v>
      </c>
      <c r="S583" s="87" t="s">
        <v>1908</v>
      </c>
      <c r="T583" s="87" t="s">
        <v>1010</v>
      </c>
      <c r="U583" s="88">
        <v>231000</v>
      </c>
      <c r="V583" s="88">
        <v>249480</v>
      </c>
      <c r="W583" s="88">
        <v>231000</v>
      </c>
      <c r="X583" s="88">
        <v>249480</v>
      </c>
      <c r="Z583" s="88">
        <v>0</v>
      </c>
      <c r="AA583" s="85">
        <v>43524</v>
      </c>
      <c r="AB583" s="85">
        <v>43526</v>
      </c>
      <c r="AC583" s="85">
        <v>43526</v>
      </c>
      <c r="AD583" s="84">
        <v>0</v>
      </c>
      <c r="AG583" s="84">
        <v>0</v>
      </c>
      <c r="AJ583" s="84">
        <v>0</v>
      </c>
      <c r="AM583" s="84" t="s">
        <v>290</v>
      </c>
      <c r="AN583" s="84" t="s">
        <v>1909</v>
      </c>
      <c r="AR583" s="85">
        <v>43518</v>
      </c>
      <c r="AS583" s="84">
        <v>6001650218</v>
      </c>
      <c r="AT583" s="85">
        <v>43521</v>
      </c>
      <c r="AU583" s="84" t="s">
        <v>1906</v>
      </c>
      <c r="AV583" s="85">
        <v>43526</v>
      </c>
      <c r="AW583" s="123">
        <v>43555</v>
      </c>
      <c r="AX583" s="123">
        <v>43575</v>
      </c>
      <c r="AY583" s="132">
        <v>221760</v>
      </c>
      <c r="AZ583" s="132">
        <f>ROUNDDOWN(AY583+(AY583*MASTER!$A$2/100),0)</f>
        <v>239500</v>
      </c>
      <c r="BA583" s="84" t="s">
        <v>286</v>
      </c>
      <c r="BB583" s="88">
        <v>41000</v>
      </c>
      <c r="BC583" s="88">
        <v>44280</v>
      </c>
      <c r="BD583" s="84" t="s">
        <v>1268</v>
      </c>
      <c r="BG583" s="88">
        <v>0</v>
      </c>
      <c r="BK583" s="88">
        <v>0</v>
      </c>
      <c r="BS583" s="88">
        <v>0</v>
      </c>
      <c r="BV583" s="89">
        <v>249480</v>
      </c>
      <c r="BW583" s="89">
        <v>44280</v>
      </c>
      <c r="BX583" s="89">
        <v>43508</v>
      </c>
      <c r="BY583" s="89">
        <v>205200</v>
      </c>
      <c r="BZ583" s="112">
        <v>82.251082251082252</v>
      </c>
      <c r="CK583" s="88">
        <v>31500</v>
      </c>
    </row>
    <row r="584" spans="1:89" x14ac:dyDescent="0.15">
      <c r="A584" s="84">
        <v>1</v>
      </c>
      <c r="B584" s="85">
        <v>43528</v>
      </c>
      <c r="C584" s="85">
        <v>43526</v>
      </c>
      <c r="F584" s="85" t="s">
        <v>338</v>
      </c>
      <c r="G584" s="85">
        <v>43531</v>
      </c>
      <c r="H584" s="85" t="s">
        <v>338</v>
      </c>
      <c r="J584" s="84">
        <v>1</v>
      </c>
      <c r="L584" s="84">
        <v>0</v>
      </c>
      <c r="M584" s="85">
        <v>43508</v>
      </c>
      <c r="N584" s="85" t="s">
        <v>265</v>
      </c>
      <c r="O584" s="86" t="s">
        <v>340</v>
      </c>
      <c r="P584" s="84" t="s">
        <v>26</v>
      </c>
      <c r="Q584" s="86" t="s">
        <v>144</v>
      </c>
      <c r="R584" s="86" t="s">
        <v>1910</v>
      </c>
      <c r="S584" s="87" t="s">
        <v>1908</v>
      </c>
      <c r="T584" s="87" t="s">
        <v>1911</v>
      </c>
      <c r="U584" s="88">
        <v>120000</v>
      </c>
      <c r="V584" s="88">
        <v>129600</v>
      </c>
      <c r="W584" s="88">
        <v>108000</v>
      </c>
      <c r="X584" s="88">
        <v>116640</v>
      </c>
      <c r="Y584" s="88">
        <v>12000</v>
      </c>
      <c r="Z584" s="88">
        <v>12960</v>
      </c>
      <c r="AD584" s="84">
        <v>0</v>
      </c>
      <c r="AG584" s="84">
        <v>0</v>
      </c>
      <c r="AJ584" s="84">
        <v>0</v>
      </c>
      <c r="AM584" s="84" t="s">
        <v>290</v>
      </c>
      <c r="AN584" s="84" t="s">
        <v>1912</v>
      </c>
      <c r="AR584" s="85">
        <v>43525</v>
      </c>
      <c r="AS584" s="84">
        <v>6001652292</v>
      </c>
      <c r="AT584" s="85">
        <v>43525</v>
      </c>
      <c r="AU584" s="84" t="s">
        <v>1756</v>
      </c>
      <c r="AV584" s="85">
        <v>43526</v>
      </c>
      <c r="AW584" s="123">
        <v>43555</v>
      </c>
      <c r="AX584" s="123">
        <v>43575</v>
      </c>
      <c r="AY584" s="132">
        <v>115200</v>
      </c>
      <c r="AZ584" s="132">
        <f>ROUNDDOWN(AY584+(AY584*MASTER!$A$2/100),0)</f>
        <v>124416</v>
      </c>
      <c r="BC584" s="88">
        <v>0</v>
      </c>
      <c r="BG584" s="88">
        <v>0</v>
      </c>
      <c r="BI584" s="84" t="s">
        <v>276</v>
      </c>
      <c r="BJ584" s="88">
        <v>7800</v>
      </c>
      <c r="BK584" s="88">
        <v>8424</v>
      </c>
      <c r="BL584" s="84" t="s">
        <v>1567</v>
      </c>
      <c r="BS584" s="88">
        <v>0</v>
      </c>
      <c r="BV584" s="89">
        <v>116640</v>
      </c>
      <c r="BW584" s="89">
        <v>8424</v>
      </c>
      <c r="BX584" s="89">
        <v>43508</v>
      </c>
      <c r="BY584" s="89">
        <v>108216</v>
      </c>
      <c r="BZ584" s="112">
        <v>92.777777777777786</v>
      </c>
      <c r="CK584" s="88">
        <v>31500</v>
      </c>
    </row>
    <row r="585" spans="1:89" x14ac:dyDescent="0.15">
      <c r="A585" s="84">
        <v>2</v>
      </c>
      <c r="B585" s="85">
        <v>43523</v>
      </c>
      <c r="C585" s="85">
        <v>43523</v>
      </c>
      <c r="D585" s="85">
        <v>43549</v>
      </c>
      <c r="F585" s="85">
        <v>43530</v>
      </c>
      <c r="G585" s="85">
        <v>43523</v>
      </c>
      <c r="H585" s="85">
        <v>43526</v>
      </c>
      <c r="I585" s="84" t="s">
        <v>401</v>
      </c>
      <c r="J585" s="84">
        <v>1</v>
      </c>
      <c r="L585" s="84">
        <v>0</v>
      </c>
      <c r="M585" s="85">
        <v>43508</v>
      </c>
      <c r="N585" s="85" t="s">
        <v>265</v>
      </c>
      <c r="O585" s="86" t="s">
        <v>340</v>
      </c>
      <c r="P585" s="84" t="s">
        <v>26</v>
      </c>
      <c r="Q585" s="86" t="s">
        <v>144</v>
      </c>
      <c r="R585" s="86" t="s">
        <v>1913</v>
      </c>
      <c r="S585" s="87" t="s">
        <v>1914</v>
      </c>
      <c r="T585" s="87" t="s">
        <v>1915</v>
      </c>
      <c r="U585" s="88">
        <v>306000</v>
      </c>
      <c r="V585" s="88">
        <v>330480</v>
      </c>
      <c r="W585" s="88">
        <v>286000</v>
      </c>
      <c r="X585" s="88">
        <v>308880</v>
      </c>
      <c r="Y585" s="88">
        <v>20000</v>
      </c>
      <c r="Z585" s="88">
        <v>21600</v>
      </c>
      <c r="AA585" s="85">
        <v>43520</v>
      </c>
      <c r="AB585" s="85">
        <v>43523</v>
      </c>
      <c r="AC585" s="85">
        <v>43523</v>
      </c>
      <c r="AD585" s="84">
        <v>0</v>
      </c>
      <c r="AG585" s="84">
        <v>0</v>
      </c>
      <c r="AJ585" s="84">
        <v>0</v>
      </c>
      <c r="AM585" s="84" t="s">
        <v>290</v>
      </c>
      <c r="AN585" s="84" t="s">
        <v>1916</v>
      </c>
      <c r="AR585" s="85">
        <v>43518</v>
      </c>
      <c r="AS585" s="84">
        <v>6001650218</v>
      </c>
      <c r="AT585" s="85">
        <v>43521</v>
      </c>
      <c r="AU585" s="84" t="s">
        <v>1906</v>
      </c>
      <c r="AV585" s="85">
        <v>43523</v>
      </c>
      <c r="AW585" s="123">
        <v>43524</v>
      </c>
      <c r="AX585" s="123">
        <v>43544</v>
      </c>
      <c r="AY585" s="132">
        <v>293760</v>
      </c>
      <c r="AZ585" s="132">
        <f>ROUNDDOWN(AY585+(AY585*MASTER!$A$2/100),0)</f>
        <v>317260</v>
      </c>
      <c r="BA585" s="84" t="s">
        <v>286</v>
      </c>
      <c r="BB585" s="88">
        <v>113200</v>
      </c>
      <c r="BC585" s="88">
        <v>122256</v>
      </c>
      <c r="BD585" s="84" t="s">
        <v>1268</v>
      </c>
      <c r="BG585" s="88">
        <v>0</v>
      </c>
      <c r="BI585" s="84" t="s">
        <v>434</v>
      </c>
      <c r="BJ585" s="88">
        <v>13000</v>
      </c>
      <c r="BK585" s="88">
        <v>14040</v>
      </c>
      <c r="BL585" s="84" t="s">
        <v>1268</v>
      </c>
      <c r="BS585" s="88">
        <v>0</v>
      </c>
      <c r="BV585" s="89">
        <v>308880</v>
      </c>
      <c r="BW585" s="89">
        <v>136296</v>
      </c>
      <c r="BX585" s="89">
        <v>43508</v>
      </c>
      <c r="BY585" s="89">
        <v>172584</v>
      </c>
      <c r="BZ585" s="112">
        <v>55.87412587412588</v>
      </c>
      <c r="CK585" s="88">
        <v>31500</v>
      </c>
    </row>
    <row r="586" spans="1:89" x14ac:dyDescent="0.15">
      <c r="A586" s="84">
        <v>2</v>
      </c>
      <c r="B586" s="85">
        <v>43523</v>
      </c>
      <c r="C586" s="85">
        <v>43523</v>
      </c>
      <c r="D586" s="85">
        <v>43549</v>
      </c>
      <c r="F586" s="85">
        <v>43530</v>
      </c>
      <c r="G586" s="85">
        <v>43523</v>
      </c>
      <c r="H586" s="85">
        <v>43526</v>
      </c>
      <c r="I586" s="84" t="s">
        <v>401</v>
      </c>
      <c r="J586" s="84">
        <v>1</v>
      </c>
      <c r="L586" s="84">
        <v>0</v>
      </c>
      <c r="M586" s="85">
        <v>43508</v>
      </c>
      <c r="N586" s="85" t="s">
        <v>265</v>
      </c>
      <c r="O586" s="86" t="s">
        <v>340</v>
      </c>
      <c r="P586" s="84" t="s">
        <v>26</v>
      </c>
      <c r="Q586" s="86" t="s">
        <v>144</v>
      </c>
      <c r="R586" s="86" t="s">
        <v>1917</v>
      </c>
      <c r="S586" s="87" t="s">
        <v>1758</v>
      </c>
      <c r="T586" s="87" t="s">
        <v>1918</v>
      </c>
      <c r="U586" s="88">
        <v>274000</v>
      </c>
      <c r="V586" s="88">
        <v>295920</v>
      </c>
      <c r="W586" s="88">
        <v>254000</v>
      </c>
      <c r="X586" s="88">
        <v>274320</v>
      </c>
      <c r="Y586" s="88">
        <v>20000</v>
      </c>
      <c r="Z586" s="88">
        <v>21600</v>
      </c>
      <c r="AA586" s="85">
        <v>43520</v>
      </c>
      <c r="AB586" s="85">
        <v>43523</v>
      </c>
      <c r="AC586" s="85">
        <v>43523</v>
      </c>
      <c r="AD586" s="84">
        <v>0</v>
      </c>
      <c r="AG586" s="84">
        <v>0</v>
      </c>
      <c r="AJ586" s="84">
        <v>0</v>
      </c>
      <c r="AM586" s="84" t="s">
        <v>290</v>
      </c>
      <c r="AN586" s="84" t="s">
        <v>1919</v>
      </c>
      <c r="AR586" s="85">
        <v>43518</v>
      </c>
      <c r="AS586" s="84">
        <v>6001650218</v>
      </c>
      <c r="AT586" s="85">
        <v>43521</v>
      </c>
      <c r="AU586" s="84" t="s">
        <v>1906</v>
      </c>
      <c r="AV586" s="85">
        <v>43523</v>
      </c>
      <c r="AW586" s="123">
        <v>43524</v>
      </c>
      <c r="AX586" s="123">
        <v>43544</v>
      </c>
      <c r="AY586" s="132">
        <v>263040</v>
      </c>
      <c r="AZ586" s="132">
        <f>ROUNDDOWN(AY586+(AY586*MASTER!$A$2/100),0)</f>
        <v>284083</v>
      </c>
      <c r="BA586" s="84" t="s">
        <v>286</v>
      </c>
      <c r="BB586" s="88">
        <v>112800</v>
      </c>
      <c r="BC586" s="88">
        <v>121824</v>
      </c>
      <c r="BD586" s="84" t="s">
        <v>1268</v>
      </c>
      <c r="BG586" s="88">
        <v>0</v>
      </c>
      <c r="BI586" s="84" t="s">
        <v>434</v>
      </c>
      <c r="BJ586" s="88">
        <v>13000</v>
      </c>
      <c r="BK586" s="88">
        <v>14040</v>
      </c>
      <c r="BL586" s="84" t="s">
        <v>1268</v>
      </c>
      <c r="BS586" s="88">
        <v>0</v>
      </c>
      <c r="BV586" s="89">
        <v>274320</v>
      </c>
      <c r="BW586" s="89">
        <v>135864</v>
      </c>
      <c r="BX586" s="89">
        <v>43508</v>
      </c>
      <c r="BY586" s="89">
        <v>138456</v>
      </c>
      <c r="BZ586" s="112">
        <v>50.472440944881889</v>
      </c>
      <c r="CK586" s="88">
        <v>31500</v>
      </c>
    </row>
    <row r="587" spans="1:89" x14ac:dyDescent="0.15">
      <c r="A587" s="84">
        <v>2</v>
      </c>
      <c r="B587" s="85">
        <v>43516</v>
      </c>
      <c r="C587" s="85">
        <v>43517</v>
      </c>
      <c r="D587" s="85">
        <v>43508</v>
      </c>
      <c r="E587" s="85">
        <v>43508</v>
      </c>
      <c r="F587" s="85" t="s">
        <v>338</v>
      </c>
      <c r="G587" s="85">
        <v>43508</v>
      </c>
      <c r="H587" s="85" t="s">
        <v>338</v>
      </c>
      <c r="I587" s="84" t="s">
        <v>380</v>
      </c>
      <c r="J587" s="84">
        <v>2</v>
      </c>
      <c r="L587" s="84">
        <v>0</v>
      </c>
      <c r="M587" s="85">
        <v>43508</v>
      </c>
      <c r="N587" s="85" t="s">
        <v>265</v>
      </c>
      <c r="O587" s="86" t="s">
        <v>340</v>
      </c>
      <c r="P587" s="84" t="s">
        <v>6</v>
      </c>
      <c r="Q587" s="86" t="s">
        <v>144</v>
      </c>
      <c r="R587" s="86" t="s">
        <v>1920</v>
      </c>
      <c r="S587" s="87" t="s">
        <v>1921</v>
      </c>
      <c r="T587" s="87" t="s">
        <v>342</v>
      </c>
      <c r="U587" s="88">
        <v>35000</v>
      </c>
      <c r="V587" s="88">
        <v>37800</v>
      </c>
      <c r="W587" s="88">
        <v>35000</v>
      </c>
      <c r="X587" s="88">
        <v>37800</v>
      </c>
      <c r="Z587" s="88">
        <v>0</v>
      </c>
      <c r="AA587" s="85">
        <v>43506</v>
      </c>
      <c r="AB587" s="85">
        <v>43507</v>
      </c>
      <c r="AD587" s="84">
        <v>0</v>
      </c>
      <c r="AG587" s="84">
        <v>0</v>
      </c>
      <c r="AJ587" s="84">
        <v>0</v>
      </c>
      <c r="AR587" s="85">
        <v>43515</v>
      </c>
      <c r="AS587" s="84">
        <v>6001648328</v>
      </c>
      <c r="AT587" s="85">
        <v>43515</v>
      </c>
      <c r="AU587" s="84" t="s">
        <v>1637</v>
      </c>
      <c r="AV587" s="85">
        <v>43517</v>
      </c>
      <c r="AW587" s="123">
        <v>43524</v>
      </c>
      <c r="AX587" s="123">
        <v>43544</v>
      </c>
      <c r="AY587" s="132">
        <v>33600</v>
      </c>
      <c r="AZ587" s="132">
        <f>ROUNDDOWN(AY587+(AY587*MASTER!$A$2/100),0)</f>
        <v>36288</v>
      </c>
      <c r="BA587" s="84" t="s">
        <v>287</v>
      </c>
      <c r="BB587" s="88">
        <v>22000</v>
      </c>
      <c r="BC587" s="88">
        <v>23760</v>
      </c>
      <c r="BD587" s="84" t="s">
        <v>1233</v>
      </c>
      <c r="BG587" s="88">
        <v>0</v>
      </c>
      <c r="BK587" s="88">
        <v>0</v>
      </c>
      <c r="BS587" s="88">
        <v>0</v>
      </c>
      <c r="BV587" s="89">
        <v>37800</v>
      </c>
      <c r="BW587" s="89">
        <v>23760</v>
      </c>
      <c r="BX587" s="89">
        <v>43508</v>
      </c>
      <c r="BY587" s="89">
        <v>14040</v>
      </c>
      <c r="BZ587" s="112">
        <v>37.142857142857146</v>
      </c>
    </row>
    <row r="588" spans="1:89" x14ac:dyDescent="0.15">
      <c r="A588" s="84">
        <v>2</v>
      </c>
      <c r="B588" s="85">
        <v>43514</v>
      </c>
      <c r="C588" s="85">
        <v>43521</v>
      </c>
      <c r="D588" s="85">
        <v>43515</v>
      </c>
      <c r="E588" s="85">
        <v>43515</v>
      </c>
      <c r="F588" s="85" t="s">
        <v>338</v>
      </c>
      <c r="G588" s="85">
        <v>43515</v>
      </c>
      <c r="H588" s="85" t="s">
        <v>338</v>
      </c>
      <c r="I588" s="84" t="s">
        <v>380</v>
      </c>
      <c r="J588" s="84">
        <v>2</v>
      </c>
      <c r="L588" s="84">
        <v>0</v>
      </c>
      <c r="M588" s="85">
        <v>43508</v>
      </c>
      <c r="N588" s="85" t="s">
        <v>265</v>
      </c>
      <c r="O588" s="86" t="s">
        <v>340</v>
      </c>
      <c r="P588" s="84" t="s">
        <v>6</v>
      </c>
      <c r="Q588" s="86" t="s">
        <v>144</v>
      </c>
      <c r="R588" s="86" t="s">
        <v>1922</v>
      </c>
      <c r="S588" s="87" t="s">
        <v>1923</v>
      </c>
      <c r="T588" s="87" t="s">
        <v>342</v>
      </c>
      <c r="U588" s="88">
        <v>35000</v>
      </c>
      <c r="V588" s="88">
        <v>37800</v>
      </c>
      <c r="W588" s="88">
        <v>35000</v>
      </c>
      <c r="X588" s="88">
        <v>37800</v>
      </c>
      <c r="Z588" s="88">
        <v>0</v>
      </c>
      <c r="AA588" s="85">
        <v>43511</v>
      </c>
      <c r="AB588" s="85">
        <v>43511</v>
      </c>
      <c r="AD588" s="84">
        <v>0</v>
      </c>
      <c r="AG588" s="84">
        <v>0</v>
      </c>
      <c r="AJ588" s="84">
        <v>0</v>
      </c>
      <c r="AR588" s="85">
        <v>43511</v>
      </c>
      <c r="AS588" s="84">
        <v>6001647343</v>
      </c>
      <c r="AT588" s="85">
        <v>43511</v>
      </c>
      <c r="AU588" s="84" t="s">
        <v>1761</v>
      </c>
      <c r="AV588" s="85">
        <v>43521</v>
      </c>
      <c r="AW588" s="123">
        <v>43524</v>
      </c>
      <c r="AX588" s="123">
        <v>43544</v>
      </c>
      <c r="AY588" s="132">
        <v>33600</v>
      </c>
      <c r="AZ588" s="132">
        <f>ROUNDDOWN(AY588+(AY588*MASTER!$A$2/100),0)</f>
        <v>36288</v>
      </c>
      <c r="BA588" s="84" t="s">
        <v>400</v>
      </c>
      <c r="BB588" s="88">
        <v>26000</v>
      </c>
      <c r="BC588" s="88">
        <v>28080</v>
      </c>
      <c r="BD588" s="84" t="s">
        <v>1233</v>
      </c>
      <c r="BG588" s="88">
        <v>0</v>
      </c>
      <c r="BK588" s="88">
        <v>0</v>
      </c>
      <c r="BS588" s="88">
        <v>0</v>
      </c>
      <c r="BV588" s="89">
        <v>37800</v>
      </c>
      <c r="BW588" s="89">
        <v>28080</v>
      </c>
      <c r="BX588" s="89">
        <v>43508</v>
      </c>
      <c r="BY588" s="89">
        <v>9720</v>
      </c>
      <c r="BZ588" s="112">
        <v>25.714285714285712</v>
      </c>
    </row>
    <row r="589" spans="1:89" s="151" customFormat="1" x14ac:dyDescent="0.15">
      <c r="A589" s="141">
        <v>3</v>
      </c>
      <c r="B589" s="142"/>
      <c r="C589" s="142" t="s">
        <v>338</v>
      </c>
      <c r="D589" s="142"/>
      <c r="E589" s="142"/>
      <c r="F589" s="142" t="s">
        <v>338</v>
      </c>
      <c r="G589" s="142"/>
      <c r="H589" s="142" t="s">
        <v>338</v>
      </c>
      <c r="I589" s="141"/>
      <c r="J589" s="141">
        <v>2</v>
      </c>
      <c r="K589" s="142"/>
      <c r="L589" s="141">
        <v>0</v>
      </c>
      <c r="M589" s="142">
        <v>43509</v>
      </c>
      <c r="N589" s="142" t="s">
        <v>265</v>
      </c>
      <c r="O589" s="143" t="s">
        <v>340</v>
      </c>
      <c r="P589" s="141" t="s">
        <v>6</v>
      </c>
      <c r="Q589" s="143" t="s">
        <v>144</v>
      </c>
      <c r="R589" s="143" t="s">
        <v>1924</v>
      </c>
      <c r="S589" s="144" t="s">
        <v>1001</v>
      </c>
      <c r="T589" s="144" t="s">
        <v>1925</v>
      </c>
      <c r="U589" s="145">
        <v>35000</v>
      </c>
      <c r="V589" s="145">
        <v>37800</v>
      </c>
      <c r="W589" s="145">
        <v>35000</v>
      </c>
      <c r="X589" s="145">
        <v>37800</v>
      </c>
      <c r="Y589" s="145"/>
      <c r="Z589" s="145">
        <v>0</v>
      </c>
      <c r="AA589" s="142"/>
      <c r="AB589" s="142"/>
      <c r="AC589" s="142"/>
      <c r="AD589" s="141">
        <v>0</v>
      </c>
      <c r="AE589" s="141"/>
      <c r="AF589" s="141"/>
      <c r="AG589" s="141">
        <v>0</v>
      </c>
      <c r="AH589" s="141"/>
      <c r="AI589" s="141"/>
      <c r="AJ589" s="141">
        <v>0</v>
      </c>
      <c r="AK589" s="141"/>
      <c r="AL589" s="141"/>
      <c r="AM589" s="141"/>
      <c r="AN589" s="141" t="s">
        <v>338</v>
      </c>
      <c r="AO589" s="142"/>
      <c r="AP589" s="141"/>
      <c r="AQ589" s="141"/>
      <c r="AR589" s="142"/>
      <c r="AS589" s="141"/>
      <c r="AT589" s="142"/>
      <c r="AU589" s="141"/>
      <c r="AV589" s="142"/>
      <c r="AW589" s="146"/>
      <c r="AX589" s="146"/>
      <c r="AY589" s="147">
        <v>33600</v>
      </c>
      <c r="AZ589" s="132">
        <f>ROUNDDOWN(AY589+(AY589*MASTER!$A$2/100),0)</f>
        <v>36288</v>
      </c>
      <c r="BA589" s="141"/>
      <c r="BB589" s="145"/>
      <c r="BC589" s="145">
        <v>0</v>
      </c>
      <c r="BD589" s="141"/>
      <c r="BE589" s="141"/>
      <c r="BF589" s="145"/>
      <c r="BG589" s="145">
        <v>0</v>
      </c>
      <c r="BH589" s="141"/>
      <c r="BI589" s="141"/>
      <c r="BJ589" s="145"/>
      <c r="BK589" s="145">
        <v>0</v>
      </c>
      <c r="BL589" s="141"/>
      <c r="BM589" s="145"/>
      <c r="BN589" s="145"/>
      <c r="BO589" s="145"/>
      <c r="BP589" s="145"/>
      <c r="BQ589" s="145"/>
      <c r="BR589" s="145"/>
      <c r="BS589" s="145">
        <v>0</v>
      </c>
      <c r="BT589" s="148"/>
      <c r="BU589" s="148"/>
      <c r="BV589" s="149">
        <v>37800</v>
      </c>
      <c r="BW589" s="149">
        <v>0</v>
      </c>
      <c r="BX589" s="149">
        <v>43509</v>
      </c>
      <c r="BY589" s="149">
        <v>37800</v>
      </c>
      <c r="BZ589" s="150">
        <v>100</v>
      </c>
      <c r="CA589" s="141"/>
      <c r="CB589" s="141"/>
      <c r="CC589" s="141"/>
      <c r="CD589" s="144" t="s">
        <v>1926</v>
      </c>
      <c r="CE589" s="142"/>
      <c r="CF589" s="142"/>
      <c r="CG589" s="142"/>
      <c r="CH589" s="142"/>
      <c r="CI589" s="142"/>
      <c r="CJ589" s="142"/>
      <c r="CK589" s="145">
        <v>0</v>
      </c>
    </row>
    <row r="590" spans="1:89" x14ac:dyDescent="0.15">
      <c r="A590" s="84">
        <v>2</v>
      </c>
      <c r="B590" s="85">
        <v>43537</v>
      </c>
      <c r="C590" s="85">
        <v>43543</v>
      </c>
      <c r="D590" s="85">
        <v>43549</v>
      </c>
      <c r="E590" s="85">
        <v>43551</v>
      </c>
      <c r="F590" s="85">
        <v>43550</v>
      </c>
      <c r="G590" s="85">
        <v>43546</v>
      </c>
      <c r="H590" s="85">
        <v>43546</v>
      </c>
      <c r="I590" s="84" t="s">
        <v>401</v>
      </c>
      <c r="J590" s="84">
        <v>1</v>
      </c>
      <c r="L590" s="84">
        <v>0</v>
      </c>
      <c r="M590" s="85">
        <v>43509</v>
      </c>
      <c r="N590" s="85" t="s">
        <v>265</v>
      </c>
      <c r="O590" s="86" t="s">
        <v>340</v>
      </c>
      <c r="P590" s="84" t="s">
        <v>26</v>
      </c>
      <c r="Q590" s="86" t="s">
        <v>144</v>
      </c>
      <c r="R590" s="86" t="s">
        <v>1927</v>
      </c>
      <c r="S590" s="87" t="s">
        <v>1928</v>
      </c>
      <c r="T590" s="87" t="s">
        <v>1573</v>
      </c>
      <c r="U590" s="88">
        <v>231200</v>
      </c>
      <c r="V590" s="88">
        <v>249696</v>
      </c>
      <c r="W590" s="88">
        <v>222000</v>
      </c>
      <c r="X590" s="88">
        <v>239760</v>
      </c>
      <c r="Y590" s="88">
        <v>9200</v>
      </c>
      <c r="Z590" s="88">
        <v>9936</v>
      </c>
      <c r="AA590" s="85">
        <v>43541</v>
      </c>
      <c r="AB590" s="85">
        <v>43543</v>
      </c>
      <c r="AC590" s="85">
        <v>43543</v>
      </c>
      <c r="AD590" s="84">
        <v>0</v>
      </c>
      <c r="AG590" s="84">
        <v>0</v>
      </c>
      <c r="AJ590" s="84">
        <v>0</v>
      </c>
      <c r="AM590" s="84" t="s">
        <v>290</v>
      </c>
      <c r="AN590" s="84" t="s">
        <v>1929</v>
      </c>
      <c r="AR590" s="85">
        <v>43535</v>
      </c>
      <c r="AS590" s="84">
        <v>6001655856</v>
      </c>
      <c r="AT590" s="85">
        <v>43536</v>
      </c>
      <c r="AU590" s="84" t="s">
        <v>1930</v>
      </c>
      <c r="AV590" s="85">
        <v>43543</v>
      </c>
      <c r="AW590" s="123">
        <v>43555</v>
      </c>
      <c r="AX590" s="123">
        <v>43575</v>
      </c>
      <c r="AY590" s="132">
        <v>221952</v>
      </c>
      <c r="AZ590" s="132">
        <f>ROUNDDOWN(AY590+(AY590*MASTER!$A$2/100),0)</f>
        <v>239708</v>
      </c>
      <c r="BA590" s="84" t="s">
        <v>286</v>
      </c>
      <c r="BB590" s="88">
        <v>44400</v>
      </c>
      <c r="BC590" s="88">
        <v>47952</v>
      </c>
      <c r="BD590" s="84" t="s">
        <v>1268</v>
      </c>
      <c r="BG590" s="88">
        <v>0</v>
      </c>
      <c r="BI590" s="84" t="s">
        <v>434</v>
      </c>
      <c r="BJ590" s="88">
        <v>5980</v>
      </c>
      <c r="BK590" s="88">
        <v>6458.4</v>
      </c>
      <c r="BL590" s="84" t="s">
        <v>1268</v>
      </c>
      <c r="BS590" s="88">
        <v>0</v>
      </c>
      <c r="BV590" s="89">
        <v>239760</v>
      </c>
      <c r="BW590" s="89">
        <v>54410.400000000001</v>
      </c>
      <c r="BX590" s="89">
        <v>43509</v>
      </c>
      <c r="BY590" s="89">
        <v>185349.6</v>
      </c>
      <c r="BZ590" s="112">
        <v>77.306306306306311</v>
      </c>
      <c r="CK590" s="88">
        <v>31500</v>
      </c>
    </row>
    <row r="591" spans="1:89" x14ac:dyDescent="0.15">
      <c r="A591" s="84">
        <v>1</v>
      </c>
      <c r="B591" s="85">
        <v>43542</v>
      </c>
      <c r="C591" s="85">
        <v>43554</v>
      </c>
      <c r="D591" s="85">
        <v>43581</v>
      </c>
      <c r="E591" s="85">
        <v>43557</v>
      </c>
      <c r="F591" s="85">
        <v>43561</v>
      </c>
      <c r="G591" s="85">
        <v>43553</v>
      </c>
      <c r="H591" s="85">
        <v>43557</v>
      </c>
      <c r="I591" s="84" t="s">
        <v>401</v>
      </c>
      <c r="J591" s="84">
        <v>1</v>
      </c>
      <c r="L591" s="84">
        <v>0</v>
      </c>
      <c r="M591" s="85">
        <v>43509</v>
      </c>
      <c r="N591" s="85" t="s">
        <v>265</v>
      </c>
      <c r="O591" s="86" t="s">
        <v>340</v>
      </c>
      <c r="P591" s="84" t="s">
        <v>26</v>
      </c>
      <c r="Q591" s="86" t="s">
        <v>144</v>
      </c>
      <c r="R591" s="86" t="s">
        <v>1931</v>
      </c>
      <c r="S591" s="87" t="s">
        <v>646</v>
      </c>
      <c r="T591" s="87" t="s">
        <v>1932</v>
      </c>
      <c r="U591" s="88">
        <v>67000</v>
      </c>
      <c r="V591" s="88">
        <v>72360</v>
      </c>
      <c r="W591" s="88">
        <v>47000</v>
      </c>
      <c r="X591" s="88">
        <v>50760</v>
      </c>
      <c r="Y591" s="88">
        <v>20000</v>
      </c>
      <c r="Z591" s="88">
        <v>21600</v>
      </c>
      <c r="AA591" s="85">
        <v>43552</v>
      </c>
      <c r="AB591" s="85">
        <v>43554</v>
      </c>
      <c r="AC591" s="85">
        <v>43554</v>
      </c>
      <c r="AD591" s="84">
        <v>0</v>
      </c>
      <c r="AG591" s="84">
        <v>0</v>
      </c>
      <c r="AJ591" s="84">
        <v>0</v>
      </c>
      <c r="AM591" s="84" t="s">
        <v>290</v>
      </c>
      <c r="AN591" s="84" t="s">
        <v>1933</v>
      </c>
      <c r="AR591" s="85">
        <v>43525</v>
      </c>
      <c r="AS591" s="84">
        <v>6001652292</v>
      </c>
      <c r="AT591" s="85">
        <v>43525</v>
      </c>
      <c r="AU591" s="84" t="s">
        <v>1756</v>
      </c>
      <c r="AV591" s="85">
        <v>43554</v>
      </c>
      <c r="AW591" s="123">
        <v>43555</v>
      </c>
      <c r="AX591" s="123">
        <v>43575</v>
      </c>
      <c r="AY591" s="132">
        <v>64320</v>
      </c>
      <c r="AZ591" s="132">
        <f>ROUNDDOWN(AY591+(AY591*MASTER!$A$2/100),0)</f>
        <v>69465</v>
      </c>
      <c r="BA591" s="84" t="s">
        <v>543</v>
      </c>
      <c r="BB591" s="88">
        <v>32000</v>
      </c>
      <c r="BC591" s="88">
        <v>34560</v>
      </c>
      <c r="BD591" s="84" t="s">
        <v>1579</v>
      </c>
      <c r="BG591" s="88">
        <v>0</v>
      </c>
      <c r="BI591" s="84" t="s">
        <v>276</v>
      </c>
      <c r="BJ591" s="88">
        <v>13000</v>
      </c>
      <c r="BK591" s="88">
        <v>14040</v>
      </c>
      <c r="BL591" s="84" t="s">
        <v>1659</v>
      </c>
      <c r="BS591" s="88">
        <v>0</v>
      </c>
      <c r="BV591" s="89">
        <v>50760</v>
      </c>
      <c r="BW591" s="89">
        <v>48600</v>
      </c>
      <c r="BX591" s="89">
        <v>43509</v>
      </c>
      <c r="BY591" s="89">
        <v>2160</v>
      </c>
      <c r="BZ591" s="112">
        <v>4.2553191489361701</v>
      </c>
      <c r="CK591" s="88">
        <v>0</v>
      </c>
    </row>
    <row r="592" spans="1:89" x14ac:dyDescent="0.15">
      <c r="A592" s="84">
        <v>2</v>
      </c>
      <c r="B592" s="85">
        <v>43542</v>
      </c>
      <c r="C592" s="85">
        <v>43551</v>
      </c>
      <c r="D592" s="85">
        <v>43593</v>
      </c>
      <c r="E592" s="85">
        <v>43579</v>
      </c>
      <c r="F592" s="85">
        <v>43558</v>
      </c>
      <c r="G592" s="85">
        <v>43550</v>
      </c>
      <c r="H592" s="85">
        <v>43554</v>
      </c>
      <c r="I592" s="84" t="s">
        <v>1191</v>
      </c>
      <c r="J592" s="84">
        <v>1</v>
      </c>
      <c r="L592" s="84">
        <v>0</v>
      </c>
      <c r="M592" s="85">
        <v>43509</v>
      </c>
      <c r="N592" s="85" t="s">
        <v>265</v>
      </c>
      <c r="O592" s="86" t="s">
        <v>340</v>
      </c>
      <c r="P592" s="84" t="s">
        <v>26</v>
      </c>
      <c r="Q592" s="86" t="s">
        <v>144</v>
      </c>
      <c r="R592" s="86" t="s">
        <v>1934</v>
      </c>
      <c r="S592" s="87" t="s">
        <v>1935</v>
      </c>
      <c r="T592" s="87" t="s">
        <v>1799</v>
      </c>
      <c r="U592" s="88">
        <v>67000</v>
      </c>
      <c r="V592" s="88">
        <v>72360</v>
      </c>
      <c r="W592" s="88">
        <v>47000</v>
      </c>
      <c r="X592" s="88">
        <v>50760</v>
      </c>
      <c r="Y592" s="88">
        <v>20000</v>
      </c>
      <c r="Z592" s="88">
        <v>21600</v>
      </c>
      <c r="AA592" s="85">
        <v>43550</v>
      </c>
      <c r="AB592" s="85">
        <v>43551</v>
      </c>
      <c r="AC592" s="85">
        <v>43551</v>
      </c>
      <c r="AD592" s="84">
        <v>0</v>
      </c>
      <c r="AG592" s="84">
        <v>0</v>
      </c>
      <c r="AJ592" s="84">
        <v>0</v>
      </c>
      <c r="AM592" s="84" t="s">
        <v>290</v>
      </c>
      <c r="AN592" s="84" t="s">
        <v>1936</v>
      </c>
      <c r="AR592" s="85">
        <v>43525</v>
      </c>
      <c r="AS592" s="84">
        <v>6001652292</v>
      </c>
      <c r="AT592" s="85">
        <v>43525</v>
      </c>
      <c r="AU592" s="84" t="s">
        <v>1756</v>
      </c>
      <c r="AV592" s="85">
        <v>43551</v>
      </c>
      <c r="AW592" s="123">
        <v>43555</v>
      </c>
      <c r="AX592" s="123">
        <v>43575</v>
      </c>
      <c r="AY592" s="132">
        <v>64320</v>
      </c>
      <c r="AZ592" s="132">
        <f>ROUNDDOWN(AY592+(AY592*MASTER!$A$2/100),0)</f>
        <v>69465</v>
      </c>
      <c r="BA592" s="84" t="s">
        <v>287</v>
      </c>
      <c r="BB592" s="88">
        <v>26000</v>
      </c>
      <c r="BC592" s="88">
        <v>28080</v>
      </c>
      <c r="BD592" s="84" t="s">
        <v>1579</v>
      </c>
      <c r="BG592" s="88">
        <v>0</v>
      </c>
      <c r="BI592" s="84" t="s">
        <v>434</v>
      </c>
      <c r="BJ592" s="88">
        <v>13000</v>
      </c>
      <c r="BK592" s="88">
        <v>14040</v>
      </c>
      <c r="BL592" s="84" t="s">
        <v>1579</v>
      </c>
      <c r="BS592" s="88">
        <v>0</v>
      </c>
      <c r="BV592" s="89">
        <v>50760</v>
      </c>
      <c r="BW592" s="89">
        <v>42120</v>
      </c>
      <c r="BX592" s="89">
        <v>43509</v>
      </c>
      <c r="BY592" s="89">
        <v>8640</v>
      </c>
      <c r="BZ592" s="112">
        <v>17.021276595744681</v>
      </c>
      <c r="CK592" s="88">
        <v>0</v>
      </c>
    </row>
    <row r="593" spans="1:89" x14ac:dyDescent="0.15">
      <c r="A593" s="84">
        <v>2</v>
      </c>
      <c r="B593" s="85">
        <v>43535</v>
      </c>
      <c r="C593" s="85">
        <v>43545</v>
      </c>
      <c r="D593" s="85">
        <v>43561</v>
      </c>
      <c r="E593" s="85">
        <v>43557</v>
      </c>
      <c r="F593" s="85">
        <v>43561</v>
      </c>
      <c r="G593" s="85">
        <v>43553</v>
      </c>
      <c r="H593" s="85">
        <v>43557</v>
      </c>
      <c r="I593" s="84" t="s">
        <v>401</v>
      </c>
      <c r="J593" s="84">
        <v>1</v>
      </c>
      <c r="L593" s="84">
        <v>0</v>
      </c>
      <c r="M593" s="85">
        <v>43509</v>
      </c>
      <c r="N593" s="85" t="s">
        <v>265</v>
      </c>
      <c r="O593" s="86" t="s">
        <v>340</v>
      </c>
      <c r="P593" s="84" t="s">
        <v>26</v>
      </c>
      <c r="Q593" s="86" t="s">
        <v>144</v>
      </c>
      <c r="R593" s="86" t="s">
        <v>1937</v>
      </c>
      <c r="S593" s="87" t="s">
        <v>602</v>
      </c>
      <c r="T593" s="87" t="s">
        <v>1938</v>
      </c>
      <c r="U593" s="88">
        <v>71500</v>
      </c>
      <c r="V593" s="88">
        <v>77220</v>
      </c>
      <c r="W593" s="88">
        <v>59500</v>
      </c>
      <c r="X593" s="88">
        <v>64260</v>
      </c>
      <c r="Y593" s="88">
        <v>12000</v>
      </c>
      <c r="Z593" s="88">
        <v>12960</v>
      </c>
      <c r="AA593" s="85">
        <v>43552</v>
      </c>
      <c r="AB593" s="85">
        <v>43554</v>
      </c>
      <c r="AC593" s="85">
        <v>43554</v>
      </c>
      <c r="AD593" s="84">
        <v>0</v>
      </c>
      <c r="AG593" s="84">
        <v>0</v>
      </c>
      <c r="AJ593" s="84">
        <v>0</v>
      </c>
      <c r="AM593" s="84" t="s">
        <v>290</v>
      </c>
      <c r="AN593" s="84" t="s">
        <v>1939</v>
      </c>
      <c r="AR593" s="85">
        <v>43522</v>
      </c>
      <c r="AS593" s="84">
        <v>6001651126</v>
      </c>
      <c r="AT593" s="85">
        <v>43522</v>
      </c>
      <c r="AU593" s="84" t="s">
        <v>1751</v>
      </c>
      <c r="AV593" s="85">
        <v>43545</v>
      </c>
      <c r="AW593" s="123">
        <v>43555</v>
      </c>
      <c r="AX593" s="123">
        <v>43575</v>
      </c>
      <c r="AY593" s="132">
        <v>68640</v>
      </c>
      <c r="AZ593" s="132">
        <f>ROUNDDOWN(AY593+(AY593*MASTER!$A$2/100),0)</f>
        <v>74131</v>
      </c>
      <c r="BA593" s="84" t="s">
        <v>543</v>
      </c>
      <c r="BB593" s="88">
        <v>28000</v>
      </c>
      <c r="BC593" s="88">
        <v>30240</v>
      </c>
      <c r="BD593" s="84" t="s">
        <v>1579</v>
      </c>
      <c r="BG593" s="88">
        <v>0</v>
      </c>
      <c r="BK593" s="88">
        <v>0</v>
      </c>
      <c r="BS593" s="88">
        <v>0</v>
      </c>
      <c r="BV593" s="89">
        <v>64260</v>
      </c>
      <c r="BW593" s="89">
        <v>30240</v>
      </c>
      <c r="BX593" s="89">
        <v>43509</v>
      </c>
      <c r="BY593" s="89">
        <v>34020</v>
      </c>
      <c r="BZ593" s="112">
        <v>52.941176470588239</v>
      </c>
      <c r="CK593" s="88">
        <v>0</v>
      </c>
    </row>
    <row r="594" spans="1:89" x14ac:dyDescent="0.15">
      <c r="A594" s="84">
        <v>2</v>
      </c>
      <c r="B594" s="85">
        <v>43537</v>
      </c>
      <c r="C594" s="85">
        <v>43545</v>
      </c>
      <c r="D594" s="85">
        <v>43553</v>
      </c>
      <c r="E594" s="85">
        <v>43552</v>
      </c>
      <c r="F594" s="85">
        <v>43552</v>
      </c>
      <c r="G594" s="85">
        <v>43546</v>
      </c>
      <c r="H594" s="85">
        <v>43548</v>
      </c>
      <c r="I594" s="84" t="s">
        <v>401</v>
      </c>
      <c r="J594" s="84">
        <v>1</v>
      </c>
      <c r="L594" s="84">
        <v>0</v>
      </c>
      <c r="M594" s="85">
        <v>43509</v>
      </c>
      <c r="N594" s="85" t="s">
        <v>265</v>
      </c>
      <c r="O594" s="86" t="s">
        <v>340</v>
      </c>
      <c r="P594" s="84" t="s">
        <v>26</v>
      </c>
      <c r="Q594" s="86" t="s">
        <v>144</v>
      </c>
      <c r="R594" s="86" t="s">
        <v>1940</v>
      </c>
      <c r="S594" s="87" t="s">
        <v>1320</v>
      </c>
      <c r="T594" s="87" t="s">
        <v>861</v>
      </c>
      <c r="U594" s="88">
        <v>59000</v>
      </c>
      <c r="V594" s="88">
        <v>63720</v>
      </c>
      <c r="W594" s="88">
        <v>47000</v>
      </c>
      <c r="X594" s="88">
        <v>50760</v>
      </c>
      <c r="Y594" s="88">
        <v>12000</v>
      </c>
      <c r="Z594" s="88">
        <v>12960</v>
      </c>
      <c r="AA594" s="85">
        <v>43544</v>
      </c>
      <c r="AB594" s="85">
        <v>43545</v>
      </c>
      <c r="AC594" s="85">
        <v>43545</v>
      </c>
      <c r="AD594" s="84">
        <v>0</v>
      </c>
      <c r="AG594" s="84">
        <v>0</v>
      </c>
      <c r="AJ594" s="84">
        <v>0</v>
      </c>
      <c r="AM594" s="84" t="s">
        <v>290</v>
      </c>
      <c r="AN594" s="84" t="s">
        <v>1941</v>
      </c>
      <c r="AR594" s="85">
        <v>43535</v>
      </c>
      <c r="AS594" s="84">
        <v>6001655856</v>
      </c>
      <c r="AT594" s="85">
        <v>43536</v>
      </c>
      <c r="AU594" s="84" t="s">
        <v>1930</v>
      </c>
      <c r="AV594" s="85">
        <v>43545</v>
      </c>
      <c r="AW594" s="123">
        <v>43555</v>
      </c>
      <c r="AX594" s="123">
        <v>43575</v>
      </c>
      <c r="AY594" s="132">
        <v>56640</v>
      </c>
      <c r="AZ594" s="132">
        <f>ROUNDDOWN(AY594+(AY594*MASTER!$A$2/100),0)</f>
        <v>61171</v>
      </c>
      <c r="BA594" s="84" t="s">
        <v>543</v>
      </c>
      <c r="BB594" s="88">
        <v>26000</v>
      </c>
      <c r="BC594" s="88">
        <v>28080</v>
      </c>
      <c r="BD594" s="84" t="s">
        <v>1268</v>
      </c>
      <c r="BG594" s="88">
        <v>0</v>
      </c>
      <c r="BI594" s="84" t="s">
        <v>276</v>
      </c>
      <c r="BJ594" s="88">
        <v>7800</v>
      </c>
      <c r="BK594" s="88">
        <v>8424</v>
      </c>
      <c r="BL594" s="84" t="s">
        <v>1659</v>
      </c>
      <c r="BS594" s="88">
        <v>0</v>
      </c>
      <c r="BV594" s="89">
        <v>50760</v>
      </c>
      <c r="BW594" s="89">
        <v>36504</v>
      </c>
      <c r="BX594" s="89">
        <v>43509</v>
      </c>
      <c r="BY594" s="89">
        <v>14256</v>
      </c>
      <c r="BZ594" s="112">
        <v>28.085106382978726</v>
      </c>
      <c r="CK594" s="88">
        <v>0</v>
      </c>
    </row>
    <row r="595" spans="1:89" x14ac:dyDescent="0.15">
      <c r="A595" s="84">
        <v>2</v>
      </c>
      <c r="B595" s="85">
        <v>43523</v>
      </c>
      <c r="C595" s="85">
        <v>43528</v>
      </c>
      <c r="D595" s="85">
        <v>43552</v>
      </c>
      <c r="F595" s="85">
        <v>43535</v>
      </c>
      <c r="G595" s="85">
        <v>43528</v>
      </c>
      <c r="H595" s="85">
        <v>43531</v>
      </c>
      <c r="I595" s="84" t="s">
        <v>401</v>
      </c>
      <c r="J595" s="84">
        <v>1</v>
      </c>
      <c r="L595" s="84">
        <v>0</v>
      </c>
      <c r="M595" s="85">
        <v>43509</v>
      </c>
      <c r="N595" s="85" t="s">
        <v>265</v>
      </c>
      <c r="O595" s="86" t="s">
        <v>340</v>
      </c>
      <c r="P595" s="84" t="s">
        <v>26</v>
      </c>
      <c r="Q595" s="86" t="s">
        <v>144</v>
      </c>
      <c r="R595" s="86" t="s">
        <v>1942</v>
      </c>
      <c r="S595" s="87" t="s">
        <v>830</v>
      </c>
      <c r="T595" s="87" t="s">
        <v>1943</v>
      </c>
      <c r="U595" s="88">
        <v>210500</v>
      </c>
      <c r="V595" s="88">
        <v>227340</v>
      </c>
      <c r="W595" s="88">
        <v>122000</v>
      </c>
      <c r="X595" s="88">
        <v>131760</v>
      </c>
      <c r="Y595" s="88">
        <v>88500</v>
      </c>
      <c r="Z595" s="88">
        <v>95580</v>
      </c>
      <c r="AA595" s="85">
        <v>43527</v>
      </c>
      <c r="AB595" s="85">
        <v>43528</v>
      </c>
      <c r="AC595" s="85">
        <v>43528</v>
      </c>
      <c r="AD595" s="84">
        <v>0</v>
      </c>
      <c r="AG595" s="84">
        <v>0</v>
      </c>
      <c r="AJ595" s="84">
        <v>0</v>
      </c>
      <c r="AM595" s="84" t="s">
        <v>290</v>
      </c>
      <c r="AN595" s="84" t="s">
        <v>1944</v>
      </c>
      <c r="AR595" s="85">
        <v>43518</v>
      </c>
      <c r="AS595" s="84">
        <v>6001650218</v>
      </c>
      <c r="AT595" s="85">
        <v>43521</v>
      </c>
      <c r="AU595" s="84" t="s">
        <v>1906</v>
      </c>
      <c r="AV595" s="85">
        <v>43528</v>
      </c>
      <c r="AW595" s="123">
        <v>43555</v>
      </c>
      <c r="AX595" s="123">
        <v>43575</v>
      </c>
      <c r="AY595" s="132">
        <v>202080</v>
      </c>
      <c r="AZ595" s="132">
        <f>ROUNDDOWN(AY595+(AY595*MASTER!$A$2/100),0)</f>
        <v>218246</v>
      </c>
      <c r="BA595" s="84" t="s">
        <v>745</v>
      </c>
      <c r="BB595" s="88">
        <v>28000</v>
      </c>
      <c r="BC595" s="88">
        <v>30240</v>
      </c>
      <c r="BD595" s="84" t="s">
        <v>1268</v>
      </c>
      <c r="BG595" s="88">
        <v>0</v>
      </c>
      <c r="BI595" s="84" t="s">
        <v>434</v>
      </c>
      <c r="BJ595" s="88">
        <v>57525</v>
      </c>
      <c r="BK595" s="88">
        <v>62127</v>
      </c>
      <c r="BL595" s="84" t="s">
        <v>1268</v>
      </c>
      <c r="BS595" s="88">
        <v>0</v>
      </c>
      <c r="BV595" s="89">
        <v>131760</v>
      </c>
      <c r="BW595" s="89">
        <v>92367</v>
      </c>
      <c r="BX595" s="89">
        <v>43509</v>
      </c>
      <c r="BY595" s="89">
        <v>39393</v>
      </c>
      <c r="BZ595" s="112">
        <v>29.897540983606557</v>
      </c>
      <c r="CK595" s="88">
        <v>31500</v>
      </c>
    </row>
    <row r="596" spans="1:89" x14ac:dyDescent="0.15">
      <c r="A596" s="84">
        <v>2</v>
      </c>
      <c r="B596" s="85">
        <v>43543</v>
      </c>
      <c r="C596" s="85">
        <v>43554</v>
      </c>
      <c r="D596" s="85" t="s">
        <v>374</v>
      </c>
      <c r="E596" s="85">
        <v>43557</v>
      </c>
      <c r="F596" s="85">
        <v>43561</v>
      </c>
      <c r="G596" s="85">
        <v>43557</v>
      </c>
      <c r="H596" s="85">
        <v>43557</v>
      </c>
      <c r="I596" s="84" t="s">
        <v>401</v>
      </c>
      <c r="J596" s="84">
        <v>1</v>
      </c>
      <c r="L596" s="84">
        <v>0</v>
      </c>
      <c r="M596" s="85">
        <v>43509</v>
      </c>
      <c r="N596" s="85" t="s">
        <v>265</v>
      </c>
      <c r="O596" s="86" t="s">
        <v>340</v>
      </c>
      <c r="P596" s="84" t="s">
        <v>26</v>
      </c>
      <c r="Q596" s="86" t="s">
        <v>144</v>
      </c>
      <c r="R596" s="86" t="s">
        <v>1945</v>
      </c>
      <c r="S596" s="87" t="s">
        <v>1946</v>
      </c>
      <c r="T596" s="87" t="s">
        <v>1663</v>
      </c>
      <c r="U596" s="88">
        <v>23900</v>
      </c>
      <c r="V596" s="88">
        <v>25812</v>
      </c>
      <c r="W596" s="88">
        <v>14700</v>
      </c>
      <c r="X596" s="88">
        <v>15876</v>
      </c>
      <c r="Y596" s="88">
        <v>9200</v>
      </c>
      <c r="Z596" s="88">
        <v>9936</v>
      </c>
      <c r="AA596" s="85">
        <v>43553</v>
      </c>
      <c r="AB596" s="85">
        <v>43554</v>
      </c>
      <c r="AC596" s="85">
        <v>43554</v>
      </c>
      <c r="AD596" s="84">
        <v>0</v>
      </c>
      <c r="AG596" s="84">
        <v>0</v>
      </c>
      <c r="AJ596" s="84">
        <v>0</v>
      </c>
      <c r="AM596" s="84" t="s">
        <v>290</v>
      </c>
      <c r="AN596" s="84" t="s">
        <v>1947</v>
      </c>
      <c r="AR596" s="85">
        <v>43542</v>
      </c>
      <c r="AS596" s="84">
        <v>6001658314</v>
      </c>
      <c r="AT596" s="85">
        <v>43542</v>
      </c>
      <c r="AU596" s="84" t="s">
        <v>1948</v>
      </c>
      <c r="AV596" s="85">
        <v>43554</v>
      </c>
      <c r="AW596" s="123">
        <v>43555</v>
      </c>
      <c r="AX596" s="123">
        <v>43575</v>
      </c>
      <c r="AY596" s="132">
        <v>22944</v>
      </c>
      <c r="AZ596" s="132">
        <f>ROUNDDOWN(AY596+(AY596*MASTER!$A$2/100),0)</f>
        <v>24779</v>
      </c>
      <c r="BA596" s="84" t="s">
        <v>778</v>
      </c>
      <c r="BC596" s="88">
        <v>0</v>
      </c>
      <c r="BG596" s="88">
        <v>0</v>
      </c>
      <c r="BI596" s="84" t="s">
        <v>276</v>
      </c>
      <c r="BJ596" s="88">
        <v>5980</v>
      </c>
      <c r="BK596" s="88">
        <v>6458.4</v>
      </c>
      <c r="BL596" s="84" t="s">
        <v>1659</v>
      </c>
      <c r="BS596" s="88">
        <v>0</v>
      </c>
      <c r="BV596" s="89">
        <v>15876</v>
      </c>
      <c r="BW596" s="89">
        <v>6458.4</v>
      </c>
      <c r="BX596" s="89">
        <v>43509</v>
      </c>
      <c r="BY596" s="89">
        <v>9417.6</v>
      </c>
      <c r="BZ596" s="112">
        <v>59.319727891156461</v>
      </c>
      <c r="CK596" s="88">
        <v>0</v>
      </c>
    </row>
    <row r="597" spans="1:89" s="151" customFormat="1" x14ac:dyDescent="0.15">
      <c r="A597" s="141">
        <v>3</v>
      </c>
      <c r="B597" s="142"/>
      <c r="C597" s="142" t="s">
        <v>338</v>
      </c>
      <c r="D597" s="142"/>
      <c r="E597" s="142"/>
      <c r="F597" s="142" t="s">
        <v>338</v>
      </c>
      <c r="G597" s="142"/>
      <c r="H597" s="142" t="s">
        <v>338</v>
      </c>
      <c r="I597" s="141"/>
      <c r="J597" s="141">
        <v>1</v>
      </c>
      <c r="K597" s="142"/>
      <c r="L597" s="141">
        <v>0</v>
      </c>
      <c r="M597" s="142">
        <v>43509</v>
      </c>
      <c r="N597" s="142" t="s">
        <v>265</v>
      </c>
      <c r="O597" s="143" t="s">
        <v>340</v>
      </c>
      <c r="P597" s="141" t="s">
        <v>26</v>
      </c>
      <c r="Q597" s="143" t="s">
        <v>144</v>
      </c>
      <c r="R597" s="143" t="s">
        <v>1949</v>
      </c>
      <c r="S597" s="144" t="s">
        <v>1741</v>
      </c>
      <c r="T597" s="144" t="s">
        <v>1950</v>
      </c>
      <c r="U597" s="145">
        <v>59000</v>
      </c>
      <c r="V597" s="145">
        <v>63720</v>
      </c>
      <c r="W597" s="145">
        <v>47000</v>
      </c>
      <c r="X597" s="145">
        <v>50760</v>
      </c>
      <c r="Y597" s="145">
        <v>12000</v>
      </c>
      <c r="Z597" s="145">
        <v>12960</v>
      </c>
      <c r="AA597" s="142"/>
      <c r="AB597" s="142"/>
      <c r="AC597" s="142"/>
      <c r="AD597" s="141">
        <v>0</v>
      </c>
      <c r="AE597" s="141"/>
      <c r="AF597" s="141"/>
      <c r="AG597" s="141">
        <v>0</v>
      </c>
      <c r="AH597" s="141"/>
      <c r="AI597" s="141"/>
      <c r="AJ597" s="141">
        <v>0</v>
      </c>
      <c r="AK597" s="141"/>
      <c r="AL597" s="141"/>
      <c r="AM597" s="141" t="s">
        <v>290</v>
      </c>
      <c r="AN597" s="141" t="s">
        <v>1951</v>
      </c>
      <c r="AO597" s="142"/>
      <c r="AP597" s="141"/>
      <c r="AQ597" s="141"/>
      <c r="AR597" s="142"/>
      <c r="AS597" s="141"/>
      <c r="AT597" s="142"/>
      <c r="AU597" s="141"/>
      <c r="AV597" s="142"/>
      <c r="AW597" s="146"/>
      <c r="AX597" s="146"/>
      <c r="AY597" s="147">
        <v>56640</v>
      </c>
      <c r="AZ597" s="132">
        <f>ROUNDDOWN(AY597+(AY597*MASTER!$A$2/100),0)</f>
        <v>61171</v>
      </c>
      <c r="BA597" s="141"/>
      <c r="BB597" s="145"/>
      <c r="BC597" s="145">
        <v>0</v>
      </c>
      <c r="BD597" s="141"/>
      <c r="BE597" s="141"/>
      <c r="BF597" s="145"/>
      <c r="BG597" s="145">
        <v>0</v>
      </c>
      <c r="BH597" s="141"/>
      <c r="BI597" s="141"/>
      <c r="BJ597" s="145"/>
      <c r="BK597" s="145">
        <v>0</v>
      </c>
      <c r="BL597" s="141"/>
      <c r="BM597" s="145"/>
      <c r="BN597" s="145"/>
      <c r="BO597" s="145"/>
      <c r="BP597" s="145"/>
      <c r="BQ597" s="145"/>
      <c r="BR597" s="145"/>
      <c r="BS597" s="145">
        <v>0</v>
      </c>
      <c r="BT597" s="148"/>
      <c r="BU597" s="148"/>
      <c r="BV597" s="149">
        <v>50760</v>
      </c>
      <c r="BW597" s="149">
        <v>0</v>
      </c>
      <c r="BX597" s="149">
        <v>43509</v>
      </c>
      <c r="BY597" s="149">
        <v>50760</v>
      </c>
      <c r="BZ597" s="150">
        <v>100</v>
      </c>
      <c r="CA597" s="141"/>
      <c r="CB597" s="141"/>
      <c r="CC597" s="141"/>
      <c r="CD597" s="144" t="s">
        <v>1952</v>
      </c>
      <c r="CE597" s="142"/>
      <c r="CF597" s="142"/>
      <c r="CG597" s="142"/>
      <c r="CH597" s="142"/>
      <c r="CI597" s="142"/>
      <c r="CJ597" s="142"/>
      <c r="CK597" s="145">
        <v>0</v>
      </c>
    </row>
    <row r="598" spans="1:89" x14ac:dyDescent="0.15">
      <c r="A598" s="84">
        <v>2</v>
      </c>
      <c r="B598" s="85">
        <v>43542</v>
      </c>
      <c r="C598" s="85">
        <v>43556</v>
      </c>
      <c r="D598" s="85">
        <v>43581</v>
      </c>
      <c r="E598" s="85">
        <v>43557</v>
      </c>
      <c r="F598" s="85">
        <v>43563</v>
      </c>
      <c r="G598" s="85">
        <v>43556</v>
      </c>
      <c r="H598" s="85">
        <v>43559</v>
      </c>
      <c r="I598" s="84" t="s">
        <v>401</v>
      </c>
      <c r="J598" s="84">
        <v>1</v>
      </c>
      <c r="L598" s="84">
        <v>0</v>
      </c>
      <c r="M598" s="85">
        <v>43509</v>
      </c>
      <c r="N598" s="85" t="s">
        <v>265</v>
      </c>
      <c r="O598" s="86" t="s">
        <v>340</v>
      </c>
      <c r="P598" s="84" t="s">
        <v>26</v>
      </c>
      <c r="Q598" s="86" t="s">
        <v>144</v>
      </c>
      <c r="R598" s="86" t="s">
        <v>1953</v>
      </c>
      <c r="S598" s="87" t="s">
        <v>1324</v>
      </c>
      <c r="T598" s="87" t="s">
        <v>590</v>
      </c>
      <c r="U598" s="88">
        <v>57200</v>
      </c>
      <c r="V598" s="88">
        <v>61776</v>
      </c>
      <c r="W598" s="88">
        <v>39000</v>
      </c>
      <c r="X598" s="88">
        <v>42120</v>
      </c>
      <c r="Y598" s="88">
        <v>18200</v>
      </c>
      <c r="Z598" s="88">
        <v>19656</v>
      </c>
      <c r="AA598" s="85">
        <v>43555</v>
      </c>
      <c r="AB598" s="85">
        <v>43556</v>
      </c>
      <c r="AC598" s="85">
        <v>43556</v>
      </c>
      <c r="AD598" s="84">
        <v>0</v>
      </c>
      <c r="AG598" s="84">
        <v>0</v>
      </c>
      <c r="AJ598" s="84">
        <v>0</v>
      </c>
      <c r="AM598" s="84" t="s">
        <v>290</v>
      </c>
      <c r="AN598" s="84" t="s">
        <v>1954</v>
      </c>
      <c r="AR598" s="85">
        <v>43539</v>
      </c>
      <c r="AS598" s="84">
        <v>6001657831</v>
      </c>
      <c r="AT598" s="85">
        <v>43539</v>
      </c>
      <c r="AU598" s="84" t="s">
        <v>1955</v>
      </c>
      <c r="AV598" s="85">
        <v>43556</v>
      </c>
      <c r="AW598" s="123">
        <v>43585</v>
      </c>
      <c r="AX598" s="123">
        <v>43605</v>
      </c>
      <c r="AY598" s="132">
        <v>54912</v>
      </c>
      <c r="AZ598" s="132">
        <f>ROUNDDOWN(AY598+(AY598*MASTER!$A$2/100),0)</f>
        <v>59304</v>
      </c>
      <c r="BA598" s="84" t="s">
        <v>543</v>
      </c>
      <c r="BB598" s="88">
        <v>26000</v>
      </c>
      <c r="BC598" s="88">
        <v>28080</v>
      </c>
      <c r="BD598" s="84" t="s">
        <v>1579</v>
      </c>
      <c r="BG598" s="88">
        <v>0</v>
      </c>
      <c r="BI598" s="84" t="s">
        <v>276</v>
      </c>
      <c r="BJ598" s="88">
        <v>11830</v>
      </c>
      <c r="BK598" s="88">
        <v>12776.4</v>
      </c>
      <c r="BL598" s="84" t="s">
        <v>1659</v>
      </c>
      <c r="BS598" s="88">
        <v>0</v>
      </c>
      <c r="BV598" s="89">
        <v>42120</v>
      </c>
      <c r="BW598" s="89">
        <v>40856.400000000001</v>
      </c>
      <c r="BX598" s="89">
        <v>43509</v>
      </c>
      <c r="BY598" s="89">
        <v>1263.5999999999999</v>
      </c>
      <c r="BZ598" s="112">
        <v>2.9999999999999964</v>
      </c>
      <c r="CK598" s="88">
        <v>0</v>
      </c>
    </row>
    <row r="599" spans="1:89" x14ac:dyDescent="0.15">
      <c r="A599" s="84">
        <v>1</v>
      </c>
      <c r="B599" s="85">
        <v>43518</v>
      </c>
      <c r="C599" s="85">
        <v>43522</v>
      </c>
      <c r="F599" s="85" t="s">
        <v>338</v>
      </c>
      <c r="H599" s="85" t="s">
        <v>338</v>
      </c>
      <c r="J599" s="84">
        <v>2</v>
      </c>
      <c r="L599" s="84">
        <v>0</v>
      </c>
      <c r="M599" s="85">
        <v>43509</v>
      </c>
      <c r="N599" s="85" t="s">
        <v>265</v>
      </c>
      <c r="O599" s="86" t="s">
        <v>340</v>
      </c>
      <c r="P599" s="84" t="s">
        <v>26</v>
      </c>
      <c r="Q599" s="86" t="s">
        <v>144</v>
      </c>
      <c r="R599" s="86" t="s">
        <v>1956</v>
      </c>
      <c r="S599" s="87" t="s">
        <v>351</v>
      </c>
      <c r="T599" s="87" t="s">
        <v>1957</v>
      </c>
      <c r="U599" s="88">
        <v>19500</v>
      </c>
      <c r="V599" s="88">
        <v>21060</v>
      </c>
      <c r="W599" s="88">
        <v>19500</v>
      </c>
      <c r="X599" s="88">
        <v>21060</v>
      </c>
      <c r="Z599" s="88">
        <v>0</v>
      </c>
      <c r="AD599" s="84">
        <v>0</v>
      </c>
      <c r="AG599" s="84">
        <v>0</v>
      </c>
      <c r="AJ599" s="84">
        <v>0</v>
      </c>
      <c r="AR599" s="85">
        <v>43517</v>
      </c>
      <c r="AS599" s="84">
        <v>6001649602</v>
      </c>
      <c r="AT599" s="85">
        <v>43517</v>
      </c>
      <c r="AU599" s="84" t="s">
        <v>1958</v>
      </c>
      <c r="AV599" s="85">
        <v>43522</v>
      </c>
      <c r="AW599" s="123">
        <v>43524</v>
      </c>
      <c r="AX599" s="123">
        <v>43544</v>
      </c>
      <c r="AY599" s="132">
        <v>18720</v>
      </c>
      <c r="AZ599" s="132">
        <f>ROUNDDOWN(AY599+(AY599*MASTER!$A$2/100),0)</f>
        <v>20217</v>
      </c>
      <c r="BC599" s="88">
        <v>0</v>
      </c>
      <c r="BG599" s="88">
        <v>0</v>
      </c>
      <c r="BK599" s="88">
        <v>0</v>
      </c>
      <c r="BS599" s="88">
        <v>0</v>
      </c>
      <c r="BV599" s="89">
        <v>21060</v>
      </c>
      <c r="BW599" s="89">
        <v>0</v>
      </c>
      <c r="BX599" s="89">
        <v>43509</v>
      </c>
      <c r="BY599" s="89">
        <v>21060</v>
      </c>
      <c r="BZ599" s="112">
        <v>100</v>
      </c>
      <c r="CD599" s="87" t="s">
        <v>1959</v>
      </c>
    </row>
    <row r="600" spans="1:89" x14ac:dyDescent="0.15">
      <c r="A600" s="84">
        <v>2</v>
      </c>
      <c r="B600" s="85">
        <v>43523</v>
      </c>
      <c r="C600" s="85">
        <v>43525</v>
      </c>
      <c r="D600" s="85">
        <v>43571</v>
      </c>
      <c r="F600" s="85">
        <v>43532</v>
      </c>
      <c r="G600" s="85">
        <v>43525</v>
      </c>
      <c r="H600" s="85">
        <v>43528</v>
      </c>
      <c r="I600" s="84" t="s">
        <v>1191</v>
      </c>
      <c r="J600" s="84">
        <v>1</v>
      </c>
      <c r="L600" s="84">
        <v>0</v>
      </c>
      <c r="M600" s="85">
        <v>43510</v>
      </c>
      <c r="N600" s="85" t="s">
        <v>265</v>
      </c>
      <c r="O600" s="86" t="s">
        <v>340</v>
      </c>
      <c r="P600" s="84" t="s">
        <v>26</v>
      </c>
      <c r="Q600" s="86" t="s">
        <v>144</v>
      </c>
      <c r="R600" s="86" t="s">
        <v>1960</v>
      </c>
      <c r="S600" s="87" t="s">
        <v>1366</v>
      </c>
      <c r="T600" s="87" t="s">
        <v>1086</v>
      </c>
      <c r="U600" s="88">
        <v>242000</v>
      </c>
      <c r="V600" s="88">
        <v>261360</v>
      </c>
      <c r="W600" s="88">
        <v>222000</v>
      </c>
      <c r="X600" s="88">
        <v>239760</v>
      </c>
      <c r="Y600" s="88">
        <v>20000</v>
      </c>
      <c r="Z600" s="88">
        <v>21600</v>
      </c>
      <c r="AA600" s="85">
        <v>43523</v>
      </c>
      <c r="AB600" s="85">
        <v>43525</v>
      </c>
      <c r="AC600" s="85">
        <v>43525</v>
      </c>
      <c r="AD600" s="84">
        <v>0</v>
      </c>
      <c r="AG600" s="84">
        <v>0</v>
      </c>
      <c r="AJ600" s="84">
        <v>0</v>
      </c>
      <c r="AM600" s="84" t="s">
        <v>290</v>
      </c>
      <c r="AN600" s="84" t="s">
        <v>1961</v>
      </c>
      <c r="AR600" s="85">
        <v>43518</v>
      </c>
      <c r="AS600" s="84">
        <v>6001650218</v>
      </c>
      <c r="AT600" s="85">
        <v>43521</v>
      </c>
      <c r="AU600" s="84" t="s">
        <v>1906</v>
      </c>
      <c r="AV600" s="85">
        <v>43525</v>
      </c>
      <c r="AW600" s="123">
        <v>43555</v>
      </c>
      <c r="AX600" s="123">
        <v>43575</v>
      </c>
      <c r="AY600" s="132">
        <v>232320</v>
      </c>
      <c r="AZ600" s="132">
        <f>ROUNDDOWN(AY600+(AY600*MASTER!$A$2/100),0)</f>
        <v>250905</v>
      </c>
      <c r="BA600" s="84" t="s">
        <v>287</v>
      </c>
      <c r="BB600" s="88">
        <v>77200</v>
      </c>
      <c r="BC600" s="88">
        <v>83376</v>
      </c>
      <c r="BD600" s="84" t="s">
        <v>1268</v>
      </c>
      <c r="BG600" s="88">
        <v>0</v>
      </c>
      <c r="BI600" s="84" t="s">
        <v>434</v>
      </c>
      <c r="BJ600" s="88">
        <v>13000</v>
      </c>
      <c r="BK600" s="88">
        <v>14040</v>
      </c>
      <c r="BL600" s="84" t="s">
        <v>1268</v>
      </c>
      <c r="BS600" s="88">
        <v>0</v>
      </c>
      <c r="BV600" s="89">
        <v>239760</v>
      </c>
      <c r="BW600" s="89">
        <v>97416</v>
      </c>
      <c r="BX600" s="89">
        <v>43510</v>
      </c>
      <c r="BY600" s="89">
        <v>142344</v>
      </c>
      <c r="BZ600" s="112">
        <v>59.369369369369373</v>
      </c>
      <c r="CK600" s="88">
        <v>31500</v>
      </c>
    </row>
    <row r="601" spans="1:89" x14ac:dyDescent="0.15">
      <c r="A601" s="84">
        <v>2</v>
      </c>
      <c r="B601" s="85">
        <v>43535</v>
      </c>
      <c r="C601" s="85">
        <v>43544</v>
      </c>
      <c r="D601" s="85" t="s">
        <v>374</v>
      </c>
      <c r="E601" s="85">
        <v>43549</v>
      </c>
      <c r="F601" s="85">
        <v>43551</v>
      </c>
      <c r="G601" s="85">
        <v>43549</v>
      </c>
      <c r="H601" s="85">
        <v>43547</v>
      </c>
      <c r="I601" s="84" t="s">
        <v>1191</v>
      </c>
      <c r="J601" s="84">
        <v>1</v>
      </c>
      <c r="L601" s="84">
        <v>0</v>
      </c>
      <c r="M601" s="85">
        <v>43510</v>
      </c>
      <c r="N601" s="85" t="s">
        <v>265</v>
      </c>
      <c r="O601" s="86" t="s">
        <v>340</v>
      </c>
      <c r="P601" s="84" t="s">
        <v>26</v>
      </c>
      <c r="Q601" s="86" t="s">
        <v>144</v>
      </c>
      <c r="R601" s="86" t="s">
        <v>1962</v>
      </c>
      <c r="S601" s="87" t="s">
        <v>793</v>
      </c>
      <c r="T601" s="87" t="s">
        <v>794</v>
      </c>
      <c r="U601" s="88">
        <v>23900</v>
      </c>
      <c r="V601" s="88">
        <v>25812</v>
      </c>
      <c r="W601" s="88">
        <v>14700</v>
      </c>
      <c r="X601" s="88">
        <v>15876</v>
      </c>
      <c r="Y601" s="88">
        <v>9200</v>
      </c>
      <c r="Z601" s="88">
        <v>9936</v>
      </c>
      <c r="AA601" s="85">
        <v>43542</v>
      </c>
      <c r="AB601" s="85">
        <v>43544</v>
      </c>
      <c r="AC601" s="85">
        <v>43544</v>
      </c>
      <c r="AD601" s="84">
        <v>0</v>
      </c>
      <c r="AG601" s="84">
        <v>0</v>
      </c>
      <c r="AJ601" s="84">
        <v>0</v>
      </c>
      <c r="AM601" s="84" t="s">
        <v>290</v>
      </c>
      <c r="AN601" s="84" t="s">
        <v>1963</v>
      </c>
      <c r="AR601" s="85">
        <v>43525</v>
      </c>
      <c r="AS601" s="155">
        <v>6001652292</v>
      </c>
      <c r="AT601" s="85">
        <v>43525</v>
      </c>
      <c r="AU601" s="84" t="s">
        <v>1756</v>
      </c>
      <c r="AV601" s="85">
        <v>43544</v>
      </c>
      <c r="AW601" s="123">
        <v>43555</v>
      </c>
      <c r="AX601" s="123">
        <v>43575</v>
      </c>
      <c r="AY601" s="132">
        <v>22944</v>
      </c>
      <c r="AZ601" s="132">
        <f>ROUNDDOWN(AY601+(AY601*MASTER!$A$2/100),0)</f>
        <v>24779</v>
      </c>
      <c r="BA601" s="84" t="s">
        <v>778</v>
      </c>
      <c r="BC601" s="88">
        <v>0</v>
      </c>
      <c r="BG601" s="88">
        <v>0</v>
      </c>
      <c r="BI601" s="84" t="s">
        <v>434</v>
      </c>
      <c r="BJ601" s="88">
        <v>5980</v>
      </c>
      <c r="BK601" s="88">
        <v>6458.4</v>
      </c>
      <c r="BL601" s="84" t="s">
        <v>1268</v>
      </c>
      <c r="BS601" s="88">
        <v>0</v>
      </c>
      <c r="BV601" s="89">
        <v>15876</v>
      </c>
      <c r="BW601" s="89">
        <v>6458.4</v>
      </c>
      <c r="BX601" s="89">
        <v>43510</v>
      </c>
      <c r="BY601" s="89">
        <v>9417.6</v>
      </c>
      <c r="BZ601" s="112">
        <v>59.319727891156461</v>
      </c>
      <c r="CK601" s="88">
        <v>0</v>
      </c>
    </row>
    <row r="602" spans="1:89" x14ac:dyDescent="0.15">
      <c r="A602" s="84">
        <v>2</v>
      </c>
      <c r="B602" s="85">
        <v>43531</v>
      </c>
      <c r="C602" s="85">
        <v>43541</v>
      </c>
      <c r="D602" s="85">
        <v>43571</v>
      </c>
      <c r="E602" s="85">
        <v>43549</v>
      </c>
      <c r="F602" s="85">
        <v>43548</v>
      </c>
      <c r="G602" s="85">
        <v>43543</v>
      </c>
      <c r="H602" s="85">
        <v>43544</v>
      </c>
      <c r="I602" s="84" t="s">
        <v>1191</v>
      </c>
      <c r="J602" s="84">
        <v>2</v>
      </c>
      <c r="L602" s="84">
        <v>0</v>
      </c>
      <c r="M602" s="85">
        <v>43510</v>
      </c>
      <c r="N602" s="85" t="s">
        <v>265</v>
      </c>
      <c r="O602" s="86" t="s">
        <v>340</v>
      </c>
      <c r="P602" s="84" t="s">
        <v>26</v>
      </c>
      <c r="Q602" s="86" t="s">
        <v>144</v>
      </c>
      <c r="R602" s="86" t="s">
        <v>1964</v>
      </c>
      <c r="S602" s="87" t="s">
        <v>558</v>
      </c>
      <c r="T602" s="87" t="s">
        <v>1965</v>
      </c>
      <c r="U602" s="88">
        <v>116300</v>
      </c>
      <c r="V602" s="88">
        <v>125604</v>
      </c>
      <c r="W602" s="88">
        <v>116300</v>
      </c>
      <c r="X602" s="88">
        <v>125604</v>
      </c>
      <c r="Z602" s="88">
        <v>0</v>
      </c>
      <c r="AA602" s="85">
        <v>43539</v>
      </c>
      <c r="AB602" s="85">
        <v>43541</v>
      </c>
      <c r="AC602" s="85">
        <v>43541</v>
      </c>
      <c r="AD602" s="84">
        <v>0</v>
      </c>
      <c r="AG602" s="84">
        <v>0</v>
      </c>
      <c r="AJ602" s="84">
        <v>0</v>
      </c>
      <c r="AM602" s="84" t="s">
        <v>290</v>
      </c>
      <c r="AN602" s="84" t="s">
        <v>1966</v>
      </c>
      <c r="AR602" s="85">
        <v>43530</v>
      </c>
      <c r="AS602" s="84">
        <v>6001653823</v>
      </c>
      <c r="AT602" s="85">
        <v>43531</v>
      </c>
      <c r="AU602" s="84" t="s">
        <v>1784</v>
      </c>
      <c r="AV602" s="85">
        <v>43541</v>
      </c>
      <c r="AW602" s="123">
        <v>43555</v>
      </c>
      <c r="AX602" s="123">
        <v>43575</v>
      </c>
      <c r="AY602" s="132">
        <v>111648</v>
      </c>
      <c r="AZ602" s="132">
        <f>ROUNDDOWN(AY602+(AY602*MASTER!$A$2/100),0)</f>
        <v>120579</v>
      </c>
      <c r="BA602" s="84" t="s">
        <v>287</v>
      </c>
      <c r="BB602" s="88">
        <v>60000</v>
      </c>
      <c r="BC602" s="88">
        <v>64800</v>
      </c>
      <c r="BD602" s="84" t="s">
        <v>1268</v>
      </c>
      <c r="BG602" s="88">
        <v>0</v>
      </c>
      <c r="BK602" s="88">
        <v>0</v>
      </c>
      <c r="BS602" s="88">
        <v>0</v>
      </c>
      <c r="BV602" s="89">
        <v>125604</v>
      </c>
      <c r="BW602" s="89">
        <v>64800</v>
      </c>
      <c r="BX602" s="89">
        <v>43510</v>
      </c>
      <c r="BY602" s="89">
        <v>60804</v>
      </c>
      <c r="BZ602" s="112">
        <v>48.40928632846088</v>
      </c>
      <c r="CK602" s="88">
        <v>6300</v>
      </c>
    </row>
    <row r="603" spans="1:89" s="151" customFormat="1" x14ac:dyDescent="0.15">
      <c r="A603" s="141">
        <v>3</v>
      </c>
      <c r="B603" s="142"/>
      <c r="C603" s="142" t="s">
        <v>338</v>
      </c>
      <c r="D603" s="142"/>
      <c r="E603" s="142"/>
      <c r="F603" s="142" t="s">
        <v>338</v>
      </c>
      <c r="G603" s="142"/>
      <c r="H603" s="142" t="s">
        <v>338</v>
      </c>
      <c r="I603" s="141"/>
      <c r="J603" s="141">
        <v>1</v>
      </c>
      <c r="K603" s="142"/>
      <c r="L603" s="141">
        <v>0</v>
      </c>
      <c r="M603" s="142">
        <v>43510</v>
      </c>
      <c r="N603" s="142" t="s">
        <v>265</v>
      </c>
      <c r="O603" s="143" t="s">
        <v>340</v>
      </c>
      <c r="P603" s="141" t="s">
        <v>26</v>
      </c>
      <c r="Q603" s="143" t="s">
        <v>144</v>
      </c>
      <c r="R603" s="143" t="s">
        <v>1967</v>
      </c>
      <c r="S603" s="144" t="s">
        <v>1329</v>
      </c>
      <c r="T603" s="144" t="s">
        <v>1241</v>
      </c>
      <c r="U603" s="145">
        <v>56000</v>
      </c>
      <c r="V603" s="145">
        <v>60480</v>
      </c>
      <c r="W603" s="145">
        <v>47000</v>
      </c>
      <c r="X603" s="145">
        <v>50760</v>
      </c>
      <c r="Y603" s="145">
        <v>9000</v>
      </c>
      <c r="Z603" s="145">
        <v>9720</v>
      </c>
      <c r="AA603" s="142"/>
      <c r="AB603" s="142"/>
      <c r="AC603" s="142"/>
      <c r="AD603" s="141">
        <v>0</v>
      </c>
      <c r="AE603" s="141"/>
      <c r="AF603" s="141"/>
      <c r="AG603" s="141">
        <v>0</v>
      </c>
      <c r="AH603" s="141"/>
      <c r="AI603" s="141"/>
      <c r="AJ603" s="141">
        <v>0</v>
      </c>
      <c r="AK603" s="141"/>
      <c r="AL603" s="141"/>
      <c r="AM603" s="141" t="s">
        <v>290</v>
      </c>
      <c r="AN603" s="141" t="s">
        <v>1823</v>
      </c>
      <c r="AO603" s="142"/>
      <c r="AP603" s="141"/>
      <c r="AQ603" s="141"/>
      <c r="AR603" s="142"/>
      <c r="AS603" s="141"/>
      <c r="AT603" s="142"/>
      <c r="AU603" s="141"/>
      <c r="AV603" s="142"/>
      <c r="AW603" s="146"/>
      <c r="AX603" s="146"/>
      <c r="AY603" s="147">
        <v>53760</v>
      </c>
      <c r="AZ603" s="132">
        <f>ROUNDDOWN(AY603+(AY603*MASTER!$A$2/100),0)</f>
        <v>58060</v>
      </c>
      <c r="BA603" s="141"/>
      <c r="BB603" s="145"/>
      <c r="BC603" s="145">
        <v>0</v>
      </c>
      <c r="BD603" s="141"/>
      <c r="BE603" s="141"/>
      <c r="BF603" s="145"/>
      <c r="BG603" s="145">
        <v>0</v>
      </c>
      <c r="BH603" s="141"/>
      <c r="BI603" s="141"/>
      <c r="BJ603" s="145"/>
      <c r="BK603" s="145">
        <v>0</v>
      </c>
      <c r="BL603" s="141"/>
      <c r="BM603" s="145"/>
      <c r="BN603" s="145"/>
      <c r="BO603" s="145"/>
      <c r="BP603" s="145"/>
      <c r="BQ603" s="145"/>
      <c r="BR603" s="145"/>
      <c r="BS603" s="145">
        <v>0</v>
      </c>
      <c r="BT603" s="148"/>
      <c r="BU603" s="148"/>
      <c r="BV603" s="149">
        <v>50760</v>
      </c>
      <c r="BW603" s="149">
        <v>0</v>
      </c>
      <c r="BX603" s="149">
        <v>43510</v>
      </c>
      <c r="BY603" s="149">
        <v>50760</v>
      </c>
      <c r="BZ603" s="150">
        <v>100</v>
      </c>
      <c r="CA603" s="141"/>
      <c r="CB603" s="141"/>
      <c r="CC603" s="141"/>
      <c r="CD603" s="144" t="s">
        <v>1968</v>
      </c>
      <c r="CE603" s="142"/>
      <c r="CF603" s="142"/>
      <c r="CG603" s="142"/>
      <c r="CH603" s="142"/>
      <c r="CI603" s="142"/>
      <c r="CJ603" s="142"/>
      <c r="CK603" s="145">
        <v>0</v>
      </c>
    </row>
    <row r="604" spans="1:89" x14ac:dyDescent="0.15">
      <c r="A604" s="84">
        <v>2</v>
      </c>
      <c r="B604" s="85">
        <v>43542</v>
      </c>
      <c r="C604" s="85">
        <v>43554</v>
      </c>
      <c r="E604" s="85">
        <v>43557</v>
      </c>
      <c r="F604" s="85">
        <v>43551</v>
      </c>
      <c r="G604" s="85">
        <v>43557</v>
      </c>
      <c r="H604" s="85">
        <v>43547</v>
      </c>
      <c r="I604" s="84" t="s">
        <v>401</v>
      </c>
      <c r="J604" s="84">
        <v>1</v>
      </c>
      <c r="L604" s="84">
        <v>0</v>
      </c>
      <c r="M604" s="85">
        <v>43510</v>
      </c>
      <c r="N604" s="85" t="s">
        <v>265</v>
      </c>
      <c r="O604" s="86" t="s">
        <v>340</v>
      </c>
      <c r="P604" s="84" t="s">
        <v>26</v>
      </c>
      <c r="Q604" s="86" t="s">
        <v>144</v>
      </c>
      <c r="R604" s="86" t="s">
        <v>1969</v>
      </c>
      <c r="S604" s="87" t="s">
        <v>1970</v>
      </c>
      <c r="T604" s="87" t="s">
        <v>1971</v>
      </c>
      <c r="U604" s="88">
        <v>23900</v>
      </c>
      <c r="V604" s="88">
        <v>25812</v>
      </c>
      <c r="W604" s="88">
        <v>14700</v>
      </c>
      <c r="X604" s="88">
        <v>15876</v>
      </c>
      <c r="Y604" s="88">
        <v>9200</v>
      </c>
      <c r="Z604" s="88">
        <v>9936</v>
      </c>
      <c r="AA604" s="85">
        <v>43552</v>
      </c>
      <c r="AB604" s="85">
        <v>43554</v>
      </c>
      <c r="AC604" s="85">
        <v>43544</v>
      </c>
      <c r="AD604" s="84">
        <v>0</v>
      </c>
      <c r="AG604" s="84">
        <v>0</v>
      </c>
      <c r="AJ604" s="84">
        <v>0</v>
      </c>
      <c r="AM604" s="84" t="s">
        <v>290</v>
      </c>
      <c r="AN604" s="84" t="s">
        <v>1972</v>
      </c>
      <c r="AR604" s="85">
        <v>43525</v>
      </c>
      <c r="AS604" s="84">
        <v>6001652292</v>
      </c>
      <c r="AT604" s="85">
        <v>43525</v>
      </c>
      <c r="AU604" s="84" t="s">
        <v>1756</v>
      </c>
      <c r="AV604" s="85">
        <v>43554</v>
      </c>
      <c r="AW604" s="123">
        <v>43555</v>
      </c>
      <c r="AX604" s="123">
        <v>43575</v>
      </c>
      <c r="AY604" s="132">
        <v>22944</v>
      </c>
      <c r="AZ604" s="132">
        <f>ROUNDDOWN(AY604+(AY604*MASTER!$A$2/100),0)</f>
        <v>24779</v>
      </c>
      <c r="BA604" s="84" t="s">
        <v>778</v>
      </c>
      <c r="BC604" s="88">
        <v>0</v>
      </c>
      <c r="BG604" s="88">
        <v>0</v>
      </c>
      <c r="BI604" s="84" t="s">
        <v>276</v>
      </c>
      <c r="BJ604" s="88">
        <v>5980</v>
      </c>
      <c r="BK604" s="88">
        <v>6458.4</v>
      </c>
      <c r="BL604" s="84" t="s">
        <v>1659</v>
      </c>
      <c r="BS604" s="88">
        <v>0</v>
      </c>
      <c r="BV604" s="89">
        <v>15876</v>
      </c>
      <c r="BW604" s="89">
        <v>6458.4</v>
      </c>
      <c r="BX604" s="89">
        <v>43510</v>
      </c>
      <c r="BY604" s="89">
        <v>9417.6</v>
      </c>
      <c r="BZ604" s="112">
        <v>59.319727891156461</v>
      </c>
      <c r="CK604" s="88">
        <v>0</v>
      </c>
    </row>
    <row r="605" spans="1:89" x14ac:dyDescent="0.15">
      <c r="A605" s="84">
        <v>2</v>
      </c>
      <c r="B605" s="85">
        <v>43542</v>
      </c>
      <c r="C605" s="85">
        <v>43553</v>
      </c>
      <c r="D605" s="85">
        <v>43593</v>
      </c>
      <c r="E605" s="85">
        <v>43579</v>
      </c>
      <c r="F605" s="85">
        <v>43560</v>
      </c>
      <c r="G605" s="85">
        <v>43553</v>
      </c>
      <c r="H605" s="85">
        <v>43556</v>
      </c>
      <c r="I605" s="84" t="s">
        <v>1191</v>
      </c>
      <c r="J605" s="84">
        <v>1</v>
      </c>
      <c r="L605" s="84">
        <v>0</v>
      </c>
      <c r="M605" s="85">
        <v>43510</v>
      </c>
      <c r="N605" s="85" t="s">
        <v>265</v>
      </c>
      <c r="O605" s="86" t="s">
        <v>340</v>
      </c>
      <c r="P605" s="84" t="s">
        <v>26</v>
      </c>
      <c r="Q605" s="86" t="s">
        <v>144</v>
      </c>
      <c r="R605" s="86" t="s">
        <v>1973</v>
      </c>
      <c r="S605" s="87" t="s">
        <v>1680</v>
      </c>
      <c r="T605" s="87" t="s">
        <v>1303</v>
      </c>
      <c r="U605" s="88">
        <v>71500</v>
      </c>
      <c r="V605" s="88">
        <v>77220</v>
      </c>
      <c r="W605" s="88">
        <v>59500</v>
      </c>
      <c r="X605" s="88">
        <v>64260</v>
      </c>
      <c r="Y605" s="88">
        <v>12000</v>
      </c>
      <c r="Z605" s="88">
        <v>12960</v>
      </c>
      <c r="AA605" s="85">
        <v>43552</v>
      </c>
      <c r="AB605" s="85">
        <v>43553</v>
      </c>
      <c r="AC605" s="85">
        <v>43553</v>
      </c>
      <c r="AD605" s="84">
        <v>0</v>
      </c>
      <c r="AG605" s="84">
        <v>0</v>
      </c>
      <c r="AJ605" s="84">
        <v>0</v>
      </c>
      <c r="AM605" s="84" t="s">
        <v>290</v>
      </c>
      <c r="AN605" s="84" t="s">
        <v>1974</v>
      </c>
      <c r="AR605" s="85">
        <v>43535</v>
      </c>
      <c r="AS605" s="84">
        <v>6001655856</v>
      </c>
      <c r="AT605" s="85">
        <v>43536</v>
      </c>
      <c r="AU605" s="84" t="s">
        <v>1930</v>
      </c>
      <c r="AV605" s="85">
        <v>43553</v>
      </c>
      <c r="AW605" s="123">
        <v>43555</v>
      </c>
      <c r="AX605" s="123">
        <v>43575</v>
      </c>
      <c r="AY605" s="132">
        <v>68640</v>
      </c>
      <c r="AZ605" s="132">
        <f>ROUNDDOWN(AY605+(AY605*MASTER!$A$2/100),0)</f>
        <v>74131</v>
      </c>
      <c r="BA605" s="84" t="s">
        <v>287</v>
      </c>
      <c r="BB605" s="88">
        <v>32000</v>
      </c>
      <c r="BC605" s="88">
        <v>34560</v>
      </c>
      <c r="BD605" s="84" t="s">
        <v>1579</v>
      </c>
      <c r="BG605" s="88">
        <v>0</v>
      </c>
      <c r="BI605" s="84" t="s">
        <v>434</v>
      </c>
      <c r="BJ605" s="88">
        <v>7800</v>
      </c>
      <c r="BK605" s="88">
        <v>8424</v>
      </c>
      <c r="BL605" s="84" t="s">
        <v>1579</v>
      </c>
      <c r="BS605" s="88">
        <v>0</v>
      </c>
      <c r="BV605" s="89">
        <v>64260</v>
      </c>
      <c r="BW605" s="89">
        <v>42984</v>
      </c>
      <c r="BX605" s="89">
        <v>43510</v>
      </c>
      <c r="BY605" s="89">
        <v>21276</v>
      </c>
      <c r="BZ605" s="112">
        <v>33.109243697478988</v>
      </c>
      <c r="CK605" s="88">
        <v>0</v>
      </c>
    </row>
    <row r="606" spans="1:89" s="151" customFormat="1" x14ac:dyDescent="0.15">
      <c r="A606" s="141">
        <v>3</v>
      </c>
      <c r="B606" s="142"/>
      <c r="C606" s="142" t="s">
        <v>338</v>
      </c>
      <c r="D606" s="142"/>
      <c r="E606" s="142"/>
      <c r="F606" s="142" t="s">
        <v>338</v>
      </c>
      <c r="G606" s="142"/>
      <c r="H606" s="142" t="s">
        <v>338</v>
      </c>
      <c r="I606" s="141"/>
      <c r="J606" s="141">
        <v>1</v>
      </c>
      <c r="K606" s="142"/>
      <c r="L606" s="141">
        <v>0</v>
      </c>
      <c r="M606" s="142">
        <v>43510</v>
      </c>
      <c r="N606" s="142" t="s">
        <v>265</v>
      </c>
      <c r="O606" s="143" t="s">
        <v>340</v>
      </c>
      <c r="P606" s="141" t="s">
        <v>26</v>
      </c>
      <c r="Q606" s="143" t="s">
        <v>144</v>
      </c>
      <c r="R606" s="143" t="s">
        <v>1975</v>
      </c>
      <c r="S606" s="144" t="s">
        <v>1896</v>
      </c>
      <c r="T606" s="144" t="s">
        <v>1846</v>
      </c>
      <c r="U606" s="145">
        <v>59000</v>
      </c>
      <c r="V606" s="145">
        <v>63720</v>
      </c>
      <c r="W606" s="145">
        <v>47000</v>
      </c>
      <c r="X606" s="145">
        <v>50760</v>
      </c>
      <c r="Y606" s="145">
        <v>12000</v>
      </c>
      <c r="Z606" s="145">
        <v>12960</v>
      </c>
      <c r="AA606" s="142"/>
      <c r="AB606" s="142"/>
      <c r="AC606" s="142"/>
      <c r="AD606" s="141">
        <v>0</v>
      </c>
      <c r="AE606" s="141"/>
      <c r="AF606" s="141"/>
      <c r="AG606" s="141">
        <v>0</v>
      </c>
      <c r="AH606" s="141"/>
      <c r="AI606" s="141"/>
      <c r="AJ606" s="141">
        <v>0</v>
      </c>
      <c r="AK606" s="141"/>
      <c r="AL606" s="141"/>
      <c r="AM606" s="141" t="s">
        <v>290</v>
      </c>
      <c r="AN606" s="141" t="s">
        <v>1976</v>
      </c>
      <c r="AO606" s="142"/>
      <c r="AP606" s="141"/>
      <c r="AQ606" s="141"/>
      <c r="AR606" s="142"/>
      <c r="AS606" s="141"/>
      <c r="AT606" s="142"/>
      <c r="AU606" s="141"/>
      <c r="AV606" s="142"/>
      <c r="AW606" s="146"/>
      <c r="AX606" s="146"/>
      <c r="AY606" s="147">
        <v>56640</v>
      </c>
      <c r="AZ606" s="132">
        <f>ROUNDDOWN(AY606+(AY606*MASTER!$A$2/100),0)</f>
        <v>61171</v>
      </c>
      <c r="BA606" s="141"/>
      <c r="BB606" s="145"/>
      <c r="BC606" s="145">
        <v>0</v>
      </c>
      <c r="BD606" s="141"/>
      <c r="BE606" s="141"/>
      <c r="BF606" s="145"/>
      <c r="BG606" s="145">
        <v>0</v>
      </c>
      <c r="BH606" s="141"/>
      <c r="BI606" s="141"/>
      <c r="BJ606" s="145"/>
      <c r="BK606" s="145">
        <v>0</v>
      </c>
      <c r="BL606" s="141"/>
      <c r="BM606" s="145"/>
      <c r="BN606" s="145"/>
      <c r="BO606" s="145"/>
      <c r="BP606" s="145"/>
      <c r="BQ606" s="145"/>
      <c r="BR606" s="145"/>
      <c r="BS606" s="145">
        <v>0</v>
      </c>
      <c r="BT606" s="148"/>
      <c r="BU606" s="148"/>
      <c r="BV606" s="149">
        <v>50760</v>
      </c>
      <c r="BW606" s="149">
        <v>0</v>
      </c>
      <c r="BX606" s="149">
        <v>43510</v>
      </c>
      <c r="BY606" s="149">
        <v>50760</v>
      </c>
      <c r="BZ606" s="150">
        <v>100</v>
      </c>
      <c r="CA606" s="141"/>
      <c r="CB606" s="141"/>
      <c r="CC606" s="141"/>
      <c r="CD606" s="144" t="s">
        <v>1977</v>
      </c>
      <c r="CE606" s="142"/>
      <c r="CF606" s="142"/>
      <c r="CG606" s="142"/>
      <c r="CH606" s="142"/>
      <c r="CI606" s="142"/>
      <c r="CJ606" s="142"/>
      <c r="CK606" s="145">
        <v>0</v>
      </c>
    </row>
    <row r="607" spans="1:89" x14ac:dyDescent="0.15">
      <c r="A607" s="84">
        <v>2</v>
      </c>
      <c r="B607" s="85">
        <v>43528</v>
      </c>
      <c r="C607" s="85">
        <v>43531</v>
      </c>
      <c r="F607" s="85">
        <v>43538</v>
      </c>
      <c r="G607" s="85">
        <v>43535</v>
      </c>
      <c r="H607" s="85">
        <v>43534</v>
      </c>
      <c r="I607" s="84" t="s">
        <v>1191</v>
      </c>
      <c r="J607" s="84">
        <v>1</v>
      </c>
      <c r="L607" s="84">
        <v>0</v>
      </c>
      <c r="M607" s="85">
        <v>43510</v>
      </c>
      <c r="N607" s="85" t="s">
        <v>265</v>
      </c>
      <c r="O607" s="86" t="s">
        <v>340</v>
      </c>
      <c r="P607" s="84" t="s">
        <v>26</v>
      </c>
      <c r="Q607" s="86" t="s">
        <v>144</v>
      </c>
      <c r="R607" s="86" t="s">
        <v>1978</v>
      </c>
      <c r="S607" s="87" t="s">
        <v>1979</v>
      </c>
      <c r="T607" s="87" t="s">
        <v>1980</v>
      </c>
      <c r="U607" s="88">
        <v>23900</v>
      </c>
      <c r="V607" s="88">
        <v>25812</v>
      </c>
      <c r="W607" s="88">
        <v>14700</v>
      </c>
      <c r="X607" s="88">
        <v>15876</v>
      </c>
      <c r="Y607" s="88">
        <v>9200</v>
      </c>
      <c r="Z607" s="88">
        <v>9936</v>
      </c>
      <c r="AA607" s="85">
        <v>43529</v>
      </c>
      <c r="AB607" s="85">
        <v>43531</v>
      </c>
      <c r="AC607" s="85">
        <v>43531</v>
      </c>
      <c r="AD607" s="84">
        <v>0</v>
      </c>
      <c r="AG607" s="84">
        <v>0</v>
      </c>
      <c r="AJ607" s="84">
        <v>0</v>
      </c>
      <c r="AM607" s="84" t="s">
        <v>290</v>
      </c>
      <c r="AN607" s="84" t="s">
        <v>1981</v>
      </c>
      <c r="AR607" s="85">
        <v>43525</v>
      </c>
      <c r="AS607" s="84">
        <v>6001652292</v>
      </c>
      <c r="AT607" s="85">
        <v>43525</v>
      </c>
      <c r="AU607" s="84" t="s">
        <v>1756</v>
      </c>
      <c r="AV607" s="85">
        <v>43531</v>
      </c>
      <c r="AW607" s="123">
        <v>43555</v>
      </c>
      <c r="AX607" s="123">
        <v>43575</v>
      </c>
      <c r="AY607" s="132">
        <v>22944</v>
      </c>
      <c r="AZ607" s="132">
        <f>ROUNDDOWN(AY607+(AY607*MASTER!$A$2/100),0)</f>
        <v>24779</v>
      </c>
      <c r="BA607" s="84" t="s">
        <v>778</v>
      </c>
      <c r="BC607" s="88">
        <v>0</v>
      </c>
      <c r="BG607" s="88">
        <v>0</v>
      </c>
      <c r="BI607" s="84" t="s">
        <v>276</v>
      </c>
      <c r="BJ607" s="88">
        <v>5980</v>
      </c>
      <c r="BK607" s="88">
        <v>6458.4</v>
      </c>
      <c r="BL607" s="84" t="s">
        <v>1567</v>
      </c>
      <c r="BS607" s="88">
        <v>0</v>
      </c>
      <c r="BV607" s="89">
        <v>15876</v>
      </c>
      <c r="BW607" s="89">
        <v>6458.4</v>
      </c>
      <c r="BX607" s="89">
        <v>43510</v>
      </c>
      <c r="BY607" s="89">
        <v>9417.6</v>
      </c>
      <c r="BZ607" s="112">
        <v>59.319727891156461</v>
      </c>
      <c r="CK607" s="88">
        <v>0</v>
      </c>
    </row>
    <row r="608" spans="1:89" x14ac:dyDescent="0.15">
      <c r="A608" s="84">
        <v>2</v>
      </c>
      <c r="B608" s="85">
        <v>43531</v>
      </c>
      <c r="C608" s="85">
        <v>43539</v>
      </c>
      <c r="D608" s="85">
        <v>43571</v>
      </c>
      <c r="E608" s="85">
        <v>43559</v>
      </c>
      <c r="F608" s="85">
        <v>43546</v>
      </c>
      <c r="G608" s="85">
        <v>43542</v>
      </c>
      <c r="H608" s="85">
        <v>43542</v>
      </c>
      <c r="I608" s="84" t="s">
        <v>1191</v>
      </c>
      <c r="J608" s="84">
        <v>2</v>
      </c>
      <c r="L608" s="84">
        <v>0</v>
      </c>
      <c r="M608" s="85">
        <v>43511</v>
      </c>
      <c r="N608" s="85" t="s">
        <v>265</v>
      </c>
      <c r="O608" s="86" t="s">
        <v>340</v>
      </c>
      <c r="P608" s="84" t="s">
        <v>26</v>
      </c>
      <c r="Q608" s="86" t="s">
        <v>144</v>
      </c>
      <c r="R608" s="86" t="s">
        <v>1982</v>
      </c>
      <c r="S608" s="87" t="s">
        <v>928</v>
      </c>
      <c r="T608" s="87" t="s">
        <v>1983</v>
      </c>
      <c r="U608" s="88">
        <v>237500</v>
      </c>
      <c r="V608" s="88">
        <v>256500</v>
      </c>
      <c r="W608" s="88">
        <v>237500</v>
      </c>
      <c r="X608" s="88">
        <v>256500</v>
      </c>
      <c r="Z608" s="88">
        <v>0</v>
      </c>
      <c r="AA608" s="85">
        <v>43535</v>
      </c>
      <c r="AB608" s="85">
        <v>43539</v>
      </c>
      <c r="AC608" s="85">
        <v>43539</v>
      </c>
      <c r="AD608" s="84">
        <v>0</v>
      </c>
      <c r="AG608" s="84">
        <v>0</v>
      </c>
      <c r="AJ608" s="84">
        <v>0</v>
      </c>
      <c r="AM608" s="84" t="s">
        <v>290</v>
      </c>
      <c r="AN608" s="84" t="s">
        <v>1984</v>
      </c>
      <c r="AR608" s="85">
        <v>43529</v>
      </c>
      <c r="AS608" s="84">
        <v>6001653251</v>
      </c>
      <c r="AT608" s="85">
        <v>43531</v>
      </c>
      <c r="AU608" s="84" t="s">
        <v>1863</v>
      </c>
      <c r="AV608" s="85">
        <v>43539</v>
      </c>
      <c r="AW608" s="123">
        <v>43555</v>
      </c>
      <c r="AX608" s="123">
        <v>43575</v>
      </c>
      <c r="AY608" s="132">
        <v>228000</v>
      </c>
      <c r="AZ608" s="132">
        <f>ROUNDDOWN(AY608+(AY608*MASTER!$A$2/100),0)</f>
        <v>246240</v>
      </c>
      <c r="BA608" s="84" t="s">
        <v>778</v>
      </c>
      <c r="BC608" s="88">
        <v>0</v>
      </c>
      <c r="BG608" s="88">
        <v>0</v>
      </c>
      <c r="BK608" s="88">
        <v>0</v>
      </c>
      <c r="BS608" s="88">
        <v>0</v>
      </c>
      <c r="BV608" s="89">
        <v>256500</v>
      </c>
      <c r="BW608" s="89">
        <v>0</v>
      </c>
      <c r="BX608" s="89">
        <v>43511</v>
      </c>
      <c r="BY608" s="89">
        <v>256500</v>
      </c>
      <c r="BZ608" s="112">
        <v>100</v>
      </c>
      <c r="CK608" s="88">
        <v>31500</v>
      </c>
    </row>
    <row r="609" spans="1:89" x14ac:dyDescent="0.15">
      <c r="A609" s="84">
        <v>2</v>
      </c>
      <c r="B609" s="85">
        <v>43523</v>
      </c>
      <c r="C609" s="85">
        <v>43523</v>
      </c>
      <c r="D609" s="85">
        <v>43553</v>
      </c>
      <c r="F609" s="85">
        <v>43530</v>
      </c>
      <c r="G609" s="85">
        <v>43523</v>
      </c>
      <c r="H609" s="85">
        <v>43526</v>
      </c>
      <c r="I609" s="84" t="s">
        <v>401</v>
      </c>
      <c r="J609" s="84">
        <v>1</v>
      </c>
      <c r="L609" s="84">
        <v>0</v>
      </c>
      <c r="M609" s="85">
        <v>43511</v>
      </c>
      <c r="N609" s="85" t="s">
        <v>265</v>
      </c>
      <c r="O609" s="86" t="s">
        <v>340</v>
      </c>
      <c r="P609" s="84" t="s">
        <v>26</v>
      </c>
      <c r="Q609" s="86" t="s">
        <v>144</v>
      </c>
      <c r="R609" s="86" t="s">
        <v>1985</v>
      </c>
      <c r="S609" s="87" t="s">
        <v>1986</v>
      </c>
      <c r="T609" s="87" t="s">
        <v>797</v>
      </c>
      <c r="U609" s="88">
        <v>148500</v>
      </c>
      <c r="V609" s="88">
        <v>160380</v>
      </c>
      <c r="W609" s="88">
        <v>145500</v>
      </c>
      <c r="X609" s="88">
        <v>157140</v>
      </c>
      <c r="Y609" s="88">
        <v>3000</v>
      </c>
      <c r="Z609" s="88">
        <v>3240</v>
      </c>
      <c r="AA609" s="85">
        <v>43522</v>
      </c>
      <c r="AB609" s="85">
        <v>43523</v>
      </c>
      <c r="AC609" s="85">
        <v>43523</v>
      </c>
      <c r="AD609" s="84">
        <v>0</v>
      </c>
      <c r="AG609" s="84">
        <v>0</v>
      </c>
      <c r="AJ609" s="84">
        <v>0</v>
      </c>
      <c r="AM609" s="84" t="s">
        <v>290</v>
      </c>
      <c r="AN609" s="84" t="s">
        <v>1987</v>
      </c>
      <c r="AR609" s="85">
        <v>43522</v>
      </c>
      <c r="AS609" s="84">
        <v>6001651125</v>
      </c>
      <c r="AT609" s="85">
        <v>43522</v>
      </c>
      <c r="AU609" s="84" t="s">
        <v>1988</v>
      </c>
      <c r="AV609" s="85">
        <v>43523</v>
      </c>
      <c r="AW609" s="123">
        <v>43524</v>
      </c>
      <c r="AX609" s="123">
        <v>43544</v>
      </c>
      <c r="AY609" s="132">
        <v>142560</v>
      </c>
      <c r="AZ609" s="132">
        <f>ROUNDDOWN(AY609+(AY609*MASTER!$A$2/100),0)</f>
        <v>153964</v>
      </c>
      <c r="BA609" s="84" t="s">
        <v>543</v>
      </c>
      <c r="BB609" s="88">
        <v>23000</v>
      </c>
      <c r="BC609" s="88">
        <v>24840</v>
      </c>
      <c r="BD609" s="84" t="s">
        <v>1268</v>
      </c>
      <c r="BG609" s="88">
        <v>0</v>
      </c>
      <c r="BI609" s="84" t="s">
        <v>434</v>
      </c>
      <c r="BJ609" s="88">
        <v>1950</v>
      </c>
      <c r="BK609" s="88">
        <v>2106</v>
      </c>
      <c r="BL609" s="84" t="s">
        <v>1268</v>
      </c>
      <c r="BS609" s="88">
        <v>0</v>
      </c>
      <c r="BV609" s="89">
        <v>157140</v>
      </c>
      <c r="BW609" s="89">
        <v>26946</v>
      </c>
      <c r="BX609" s="89">
        <v>43511</v>
      </c>
      <c r="BY609" s="89">
        <v>130194</v>
      </c>
      <c r="BZ609" s="112">
        <v>82.852233676975956</v>
      </c>
      <c r="CK609" s="88">
        <v>31500</v>
      </c>
    </row>
    <row r="610" spans="1:89" x14ac:dyDescent="0.15">
      <c r="A610" s="84">
        <v>2</v>
      </c>
      <c r="B610" s="85">
        <v>43535</v>
      </c>
      <c r="C610" s="85">
        <v>43545</v>
      </c>
      <c r="D610" s="85">
        <v>43549</v>
      </c>
      <c r="E610" s="85">
        <v>43552</v>
      </c>
      <c r="F610" s="85">
        <v>43552</v>
      </c>
      <c r="G610" s="85">
        <v>43546</v>
      </c>
      <c r="H610" s="85">
        <v>43548</v>
      </c>
      <c r="I610" s="84" t="s">
        <v>401</v>
      </c>
      <c r="J610" s="84">
        <v>1</v>
      </c>
      <c r="L610" s="84">
        <v>0</v>
      </c>
      <c r="M610" s="85">
        <v>43511</v>
      </c>
      <c r="N610" s="85" t="s">
        <v>265</v>
      </c>
      <c r="O610" s="86" t="s">
        <v>340</v>
      </c>
      <c r="P610" s="84" t="s">
        <v>26</v>
      </c>
      <c r="Q610" s="86" t="s">
        <v>144</v>
      </c>
      <c r="R610" s="86" t="s">
        <v>1989</v>
      </c>
      <c r="S610" s="87" t="s">
        <v>1990</v>
      </c>
      <c r="T610" s="87" t="s">
        <v>797</v>
      </c>
      <c r="U610" s="88">
        <v>148500</v>
      </c>
      <c r="V610" s="88">
        <v>160380</v>
      </c>
      <c r="W610" s="88">
        <v>145500</v>
      </c>
      <c r="X610" s="88">
        <v>157140</v>
      </c>
      <c r="Y610" s="88">
        <v>3000</v>
      </c>
      <c r="Z610" s="88">
        <v>3240</v>
      </c>
      <c r="AA610" s="85">
        <v>43543</v>
      </c>
      <c r="AB610" s="85">
        <v>43545</v>
      </c>
      <c r="AC610" s="85">
        <v>43545</v>
      </c>
      <c r="AD610" s="84">
        <v>0</v>
      </c>
      <c r="AG610" s="84">
        <v>0</v>
      </c>
      <c r="AJ610" s="84">
        <v>0</v>
      </c>
      <c r="AM610" s="84" t="s">
        <v>290</v>
      </c>
      <c r="AN610" s="84" t="s">
        <v>1991</v>
      </c>
      <c r="AR610" s="85">
        <v>43523</v>
      </c>
      <c r="AS610" s="84">
        <v>6001651487</v>
      </c>
      <c r="AT610" s="85">
        <v>43523</v>
      </c>
      <c r="AU610" s="84" t="s">
        <v>1992</v>
      </c>
      <c r="AV610" s="85">
        <v>43545</v>
      </c>
      <c r="AW610" s="123">
        <v>43555</v>
      </c>
      <c r="AX610" s="123">
        <v>43575</v>
      </c>
      <c r="AY610" s="132">
        <v>142560</v>
      </c>
      <c r="AZ610" s="132">
        <f>ROUNDDOWN(AY610+(AY610*MASTER!$A$2/100),0)</f>
        <v>153964</v>
      </c>
      <c r="BA610" s="84" t="s">
        <v>286</v>
      </c>
      <c r="BB610" s="88">
        <v>30000</v>
      </c>
      <c r="BC610" s="88">
        <v>32400</v>
      </c>
      <c r="BD610" s="84" t="s">
        <v>1268</v>
      </c>
      <c r="BG610" s="88">
        <v>0</v>
      </c>
      <c r="BI610" s="84" t="s">
        <v>276</v>
      </c>
      <c r="BJ610" s="88">
        <v>1950</v>
      </c>
      <c r="BK610" s="88">
        <v>2106</v>
      </c>
      <c r="BL610" s="84" t="s">
        <v>1659</v>
      </c>
      <c r="BS610" s="88">
        <v>0</v>
      </c>
      <c r="BV610" s="89">
        <v>157140</v>
      </c>
      <c r="BW610" s="89">
        <v>34506</v>
      </c>
      <c r="BX610" s="89">
        <v>43511</v>
      </c>
      <c r="BY610" s="89">
        <v>122634</v>
      </c>
      <c r="BZ610" s="112">
        <v>78.041237113402062</v>
      </c>
      <c r="CK610" s="88">
        <v>31500</v>
      </c>
    </row>
    <row r="611" spans="1:89" x14ac:dyDescent="0.15">
      <c r="A611" s="84">
        <v>2</v>
      </c>
      <c r="B611" s="85">
        <v>43523</v>
      </c>
      <c r="C611" s="85">
        <v>43521</v>
      </c>
      <c r="D611" s="85">
        <v>43515</v>
      </c>
      <c r="E611" s="85">
        <v>43515</v>
      </c>
      <c r="F611" s="85" t="s">
        <v>338</v>
      </c>
      <c r="G611" s="85">
        <v>43515</v>
      </c>
      <c r="H611" s="85" t="s">
        <v>338</v>
      </c>
      <c r="I611" s="84" t="s">
        <v>380</v>
      </c>
      <c r="J611" s="84">
        <v>2</v>
      </c>
      <c r="L611" s="84">
        <v>0</v>
      </c>
      <c r="M611" s="85">
        <v>43511</v>
      </c>
      <c r="N611" s="85" t="s">
        <v>265</v>
      </c>
      <c r="O611" s="86" t="s">
        <v>340</v>
      </c>
      <c r="P611" s="84" t="s">
        <v>6</v>
      </c>
      <c r="Q611" s="86" t="s">
        <v>144</v>
      </c>
      <c r="R611" s="86" t="s">
        <v>1993</v>
      </c>
      <c r="S611" s="87" t="s">
        <v>1697</v>
      </c>
      <c r="T611" s="87" t="s">
        <v>342</v>
      </c>
      <c r="U611" s="88">
        <v>35000</v>
      </c>
      <c r="V611" s="88">
        <v>37800</v>
      </c>
      <c r="W611" s="88">
        <v>35000</v>
      </c>
      <c r="X611" s="88">
        <v>37800</v>
      </c>
      <c r="Z611" s="88">
        <v>0</v>
      </c>
      <c r="AA611" s="85">
        <v>43511</v>
      </c>
      <c r="AB611" s="85">
        <v>43511</v>
      </c>
      <c r="AD611" s="84">
        <v>0</v>
      </c>
      <c r="AG611" s="84">
        <v>0</v>
      </c>
      <c r="AJ611" s="84">
        <v>0</v>
      </c>
      <c r="AR611" s="85">
        <v>43518</v>
      </c>
      <c r="AS611" s="84">
        <v>6001650218</v>
      </c>
      <c r="AT611" s="85">
        <v>43521</v>
      </c>
      <c r="AU611" s="84" t="s">
        <v>1906</v>
      </c>
      <c r="AV611" s="85">
        <v>43521</v>
      </c>
      <c r="AW611" s="123">
        <v>43524</v>
      </c>
      <c r="AX611" s="123">
        <v>43544</v>
      </c>
      <c r="AY611" s="132">
        <v>33600</v>
      </c>
      <c r="AZ611" s="132">
        <f>ROUNDDOWN(AY611+(AY611*MASTER!$A$2/100),0)</f>
        <v>36288</v>
      </c>
      <c r="BA611" s="84" t="s">
        <v>400</v>
      </c>
      <c r="BB611" s="88">
        <v>21000</v>
      </c>
      <c r="BC611" s="88">
        <v>22680</v>
      </c>
      <c r="BD611" s="84" t="s">
        <v>1233</v>
      </c>
      <c r="BG611" s="88">
        <v>0</v>
      </c>
      <c r="BK611" s="88">
        <v>0</v>
      </c>
      <c r="BS611" s="88">
        <v>0</v>
      </c>
      <c r="BV611" s="89">
        <v>37800</v>
      </c>
      <c r="BW611" s="89">
        <v>22680</v>
      </c>
      <c r="BX611" s="89">
        <v>43511</v>
      </c>
      <c r="BY611" s="89">
        <v>15120</v>
      </c>
      <c r="BZ611" s="112">
        <v>40</v>
      </c>
    </row>
    <row r="612" spans="1:89" x14ac:dyDescent="0.15">
      <c r="A612" s="84">
        <v>2</v>
      </c>
      <c r="B612" s="85">
        <v>43531</v>
      </c>
      <c r="C612" s="85">
        <v>43539</v>
      </c>
      <c r="D612" s="85">
        <v>43571</v>
      </c>
      <c r="E612" s="85">
        <v>43559</v>
      </c>
      <c r="F612" s="85">
        <v>43546</v>
      </c>
      <c r="G612" s="85">
        <v>43542</v>
      </c>
      <c r="H612" s="85">
        <v>43542</v>
      </c>
      <c r="I612" s="84" t="s">
        <v>1191</v>
      </c>
      <c r="J612" s="84">
        <v>2</v>
      </c>
      <c r="K612" s="85">
        <v>43516</v>
      </c>
      <c r="L612" s="84" t="s">
        <v>818</v>
      </c>
      <c r="M612" s="85">
        <v>43514</v>
      </c>
      <c r="N612" s="85" t="s">
        <v>265</v>
      </c>
      <c r="O612" s="86" t="s">
        <v>340</v>
      </c>
      <c r="P612" s="84" t="s">
        <v>26</v>
      </c>
      <c r="Q612" s="86" t="s">
        <v>144</v>
      </c>
      <c r="R612" s="86" t="s">
        <v>1994</v>
      </c>
      <c r="S612" s="87" t="s">
        <v>1995</v>
      </c>
      <c r="T612" s="87" t="s">
        <v>1996</v>
      </c>
      <c r="U612" s="88">
        <v>4649000</v>
      </c>
      <c r="V612" s="88">
        <v>5020920</v>
      </c>
      <c r="W612" s="88">
        <v>4649000</v>
      </c>
      <c r="X612" s="88">
        <v>5020920</v>
      </c>
      <c r="Z612" s="88">
        <v>0</v>
      </c>
      <c r="AA612" s="85">
        <v>43535</v>
      </c>
      <c r="AB612" s="85">
        <v>43539</v>
      </c>
      <c r="AC612" s="85">
        <v>43539</v>
      </c>
      <c r="AD612" s="84">
        <v>0</v>
      </c>
      <c r="AG612" s="84">
        <v>0</v>
      </c>
      <c r="AJ612" s="84">
        <v>0</v>
      </c>
      <c r="AM612" s="84" t="s">
        <v>290</v>
      </c>
      <c r="AN612" s="84" t="s">
        <v>1997</v>
      </c>
      <c r="AR612" s="85">
        <v>43518</v>
      </c>
      <c r="AS612" s="84">
        <v>6001650223</v>
      </c>
      <c r="AT612" s="85">
        <v>43521</v>
      </c>
      <c r="AU612" s="84" t="s">
        <v>1998</v>
      </c>
      <c r="AV612" s="85">
        <v>43539</v>
      </c>
      <c r="AW612" s="123">
        <v>43555</v>
      </c>
      <c r="AX612" s="123">
        <v>43575</v>
      </c>
      <c r="AY612" s="132">
        <v>4463040</v>
      </c>
      <c r="AZ612" s="132">
        <f>ROUNDDOWN(AY612+(AY612*MASTER!$A$2/100),0)</f>
        <v>4820083</v>
      </c>
      <c r="BA612" s="84" t="s">
        <v>287</v>
      </c>
      <c r="BB612" s="88">
        <v>3036790</v>
      </c>
      <c r="BC612" s="88">
        <v>3279733.2</v>
      </c>
      <c r="BD612" s="84" t="s">
        <v>1268</v>
      </c>
      <c r="BG612" s="88">
        <v>0</v>
      </c>
      <c r="BK612" s="88">
        <v>0</v>
      </c>
      <c r="BS612" s="88">
        <v>0</v>
      </c>
      <c r="BV612" s="89">
        <v>5020920</v>
      </c>
      <c r="BW612" s="89">
        <v>3279733.2</v>
      </c>
      <c r="BX612" s="89">
        <v>0</v>
      </c>
      <c r="BY612" s="89">
        <v>43516</v>
      </c>
      <c r="BZ612" s="112">
        <v>34.678640567864058</v>
      </c>
      <c r="CK612" s="88">
        <v>0</v>
      </c>
    </row>
    <row r="613" spans="1:89" x14ac:dyDescent="0.15">
      <c r="A613" s="84">
        <v>2</v>
      </c>
      <c r="B613" s="85">
        <v>43531</v>
      </c>
      <c r="C613" s="85">
        <v>43539</v>
      </c>
      <c r="E613" s="85">
        <v>43559</v>
      </c>
      <c r="F613" s="85">
        <v>43546</v>
      </c>
      <c r="G613" s="85">
        <v>43542</v>
      </c>
      <c r="H613" s="85">
        <v>43542</v>
      </c>
      <c r="I613" s="84" t="s">
        <v>1191</v>
      </c>
      <c r="J613" s="84">
        <v>1</v>
      </c>
      <c r="L613" s="84">
        <v>0</v>
      </c>
      <c r="M613" s="85">
        <v>43514</v>
      </c>
      <c r="N613" s="85" t="s">
        <v>265</v>
      </c>
      <c r="O613" s="86" t="s">
        <v>340</v>
      </c>
      <c r="P613" s="84" t="s">
        <v>26</v>
      </c>
      <c r="Q613" s="86" t="s">
        <v>144</v>
      </c>
      <c r="R613" s="86" t="s">
        <v>1999</v>
      </c>
      <c r="S613" s="87" t="s">
        <v>2000</v>
      </c>
      <c r="T613" s="87" t="s">
        <v>2001</v>
      </c>
      <c r="U613" s="88">
        <v>1408700</v>
      </c>
      <c r="V613" s="88">
        <v>1521396</v>
      </c>
      <c r="W613" s="88">
        <v>1233000</v>
      </c>
      <c r="X613" s="88">
        <v>1331640</v>
      </c>
      <c r="Y613" s="88">
        <v>175700</v>
      </c>
      <c r="Z613" s="88">
        <v>189756</v>
      </c>
      <c r="AA613" s="85">
        <v>43535</v>
      </c>
      <c r="AB613" s="85">
        <v>43539</v>
      </c>
      <c r="AC613" s="85">
        <v>43539</v>
      </c>
      <c r="AD613" s="84">
        <v>0</v>
      </c>
      <c r="AG613" s="84">
        <v>0</v>
      </c>
      <c r="AJ613" s="84">
        <v>0</v>
      </c>
      <c r="AM613" s="84" t="s">
        <v>290</v>
      </c>
      <c r="AN613" s="84" t="s">
        <v>2002</v>
      </c>
      <c r="AR613" s="85">
        <v>43518</v>
      </c>
      <c r="AS613" s="84">
        <v>6001650225</v>
      </c>
      <c r="AT613" s="85">
        <v>43521</v>
      </c>
      <c r="AU613" s="84" t="s">
        <v>2003</v>
      </c>
      <c r="AV613" s="85">
        <v>43539</v>
      </c>
      <c r="AW613" s="123">
        <v>43555</v>
      </c>
      <c r="AX613" s="123">
        <v>43575</v>
      </c>
      <c r="AY613" s="132">
        <v>1352352</v>
      </c>
      <c r="AZ613" s="132">
        <f>ROUNDDOWN(AY613+(AY613*MASTER!$A$2/100),0)</f>
        <v>1460540</v>
      </c>
      <c r="BA613" s="84" t="s">
        <v>778</v>
      </c>
      <c r="BC613" s="88">
        <v>0</v>
      </c>
      <c r="BG613" s="88">
        <v>0</v>
      </c>
      <c r="BI613" s="84" t="s">
        <v>434</v>
      </c>
      <c r="BJ613" s="88">
        <v>114205</v>
      </c>
      <c r="BK613" s="88">
        <v>123341.4</v>
      </c>
      <c r="BL613" s="84" t="s">
        <v>1268</v>
      </c>
      <c r="BS613" s="88">
        <v>0</v>
      </c>
      <c r="BV613" s="89">
        <v>1331640</v>
      </c>
      <c r="BW613" s="89">
        <v>123341.4</v>
      </c>
      <c r="BX613" s="89">
        <v>43514</v>
      </c>
      <c r="BY613" s="89">
        <v>1208298.6000000001</v>
      </c>
      <c r="BZ613" s="112">
        <v>90.737631792376334</v>
      </c>
      <c r="CK613" s="88">
        <v>300000</v>
      </c>
    </row>
    <row r="614" spans="1:89" x14ac:dyDescent="0.15">
      <c r="A614" s="84">
        <v>2</v>
      </c>
      <c r="B614" s="85">
        <v>43542</v>
      </c>
      <c r="C614" s="85">
        <v>43550</v>
      </c>
      <c r="D614" s="85">
        <v>43581</v>
      </c>
      <c r="E614" s="85">
        <v>43557</v>
      </c>
      <c r="F614" s="85">
        <v>43557</v>
      </c>
      <c r="G614" s="85">
        <v>43550</v>
      </c>
      <c r="H614" s="85">
        <v>43553</v>
      </c>
      <c r="I614" s="84" t="s">
        <v>401</v>
      </c>
      <c r="J614" s="84">
        <v>1</v>
      </c>
      <c r="L614" s="84">
        <v>0</v>
      </c>
      <c r="M614" s="85">
        <v>43514</v>
      </c>
      <c r="N614" s="85" t="s">
        <v>265</v>
      </c>
      <c r="O614" s="86" t="s">
        <v>340</v>
      </c>
      <c r="P614" s="84" t="s">
        <v>26</v>
      </c>
      <c r="Q614" s="86" t="s">
        <v>144</v>
      </c>
      <c r="R614" s="86" t="s">
        <v>2004</v>
      </c>
      <c r="S614" s="87" t="s">
        <v>419</v>
      </c>
      <c r="T614" s="87" t="s">
        <v>2005</v>
      </c>
      <c r="U614" s="88">
        <v>148500</v>
      </c>
      <c r="V614" s="88">
        <v>160380</v>
      </c>
      <c r="W614" s="88">
        <v>145500</v>
      </c>
      <c r="X614" s="88">
        <v>157140</v>
      </c>
      <c r="Y614" s="88">
        <v>3000</v>
      </c>
      <c r="Z614" s="88">
        <v>3240</v>
      </c>
      <c r="AA614" s="85">
        <v>43549</v>
      </c>
      <c r="AB614" s="85">
        <v>43550</v>
      </c>
      <c r="AC614" s="85">
        <v>43550</v>
      </c>
      <c r="AD614" s="84">
        <v>0</v>
      </c>
      <c r="AG614" s="84">
        <v>0</v>
      </c>
      <c r="AJ614" s="84">
        <v>0</v>
      </c>
      <c r="AM614" s="84" t="s">
        <v>290</v>
      </c>
      <c r="AN614" s="84" t="s">
        <v>2006</v>
      </c>
      <c r="AR614" s="85">
        <v>43529</v>
      </c>
      <c r="AS614" s="84">
        <v>6001653251</v>
      </c>
      <c r="AT614" s="85">
        <v>43531</v>
      </c>
      <c r="AU614" s="84" t="s">
        <v>1863</v>
      </c>
      <c r="AV614" s="85">
        <v>43550</v>
      </c>
      <c r="AW614" s="123">
        <v>43555</v>
      </c>
      <c r="AX614" s="123">
        <v>43575</v>
      </c>
      <c r="AY614" s="132">
        <v>142560</v>
      </c>
      <c r="AZ614" s="132">
        <f>ROUNDDOWN(AY614+(AY614*MASTER!$A$2/100),0)</f>
        <v>153964</v>
      </c>
      <c r="BA614" s="84" t="s">
        <v>543</v>
      </c>
      <c r="BB614" s="88">
        <v>23000</v>
      </c>
      <c r="BC614" s="88">
        <v>24840</v>
      </c>
      <c r="BD614" s="84" t="s">
        <v>1579</v>
      </c>
      <c r="BG614" s="88">
        <v>0</v>
      </c>
      <c r="BI614" s="84" t="s">
        <v>276</v>
      </c>
      <c r="BJ614" s="88">
        <v>1950</v>
      </c>
      <c r="BK614" s="88">
        <v>2106</v>
      </c>
      <c r="BL614" s="84" t="s">
        <v>1659</v>
      </c>
      <c r="BS614" s="88">
        <v>0</v>
      </c>
      <c r="BV614" s="89">
        <v>157140</v>
      </c>
      <c r="BW614" s="89">
        <v>26946</v>
      </c>
      <c r="BX614" s="89">
        <v>43514</v>
      </c>
      <c r="BY614" s="89">
        <v>130194</v>
      </c>
      <c r="BZ614" s="112">
        <v>82.852233676975956</v>
      </c>
      <c r="CK614" s="88">
        <v>31500</v>
      </c>
    </row>
    <row r="615" spans="1:89" x14ac:dyDescent="0.15">
      <c r="A615" s="84">
        <v>2</v>
      </c>
      <c r="B615" s="85">
        <v>43531</v>
      </c>
      <c r="C615" s="85">
        <v>43539</v>
      </c>
      <c r="D615" s="85">
        <v>43553</v>
      </c>
      <c r="F615" s="85">
        <v>43546</v>
      </c>
      <c r="G615" s="85">
        <v>43538</v>
      </c>
      <c r="H615" s="85">
        <v>43542</v>
      </c>
      <c r="I615" s="84" t="s">
        <v>401</v>
      </c>
      <c r="J615" s="84">
        <v>1</v>
      </c>
      <c r="L615" s="84">
        <v>0</v>
      </c>
      <c r="M615" s="85">
        <v>43514</v>
      </c>
      <c r="N615" s="85" t="s">
        <v>265</v>
      </c>
      <c r="O615" s="86" t="s">
        <v>340</v>
      </c>
      <c r="P615" s="84" t="s">
        <v>26</v>
      </c>
      <c r="Q615" s="86" t="s">
        <v>144</v>
      </c>
      <c r="R615" s="86" t="s">
        <v>2007</v>
      </c>
      <c r="S615" s="87" t="s">
        <v>1264</v>
      </c>
      <c r="T615" s="87" t="s">
        <v>2008</v>
      </c>
      <c r="U615" s="88">
        <v>148500</v>
      </c>
      <c r="V615" s="88">
        <v>160380</v>
      </c>
      <c r="W615" s="88">
        <v>145500</v>
      </c>
      <c r="X615" s="88">
        <v>157140</v>
      </c>
      <c r="Y615" s="88">
        <v>3000</v>
      </c>
      <c r="Z615" s="88">
        <v>3240</v>
      </c>
      <c r="AA615" s="85">
        <v>43537</v>
      </c>
      <c r="AB615" s="85">
        <v>43539</v>
      </c>
      <c r="AC615" s="85">
        <v>43539</v>
      </c>
      <c r="AD615" s="84">
        <v>0</v>
      </c>
      <c r="AG615" s="84">
        <v>0</v>
      </c>
      <c r="AJ615" s="84">
        <v>0</v>
      </c>
      <c r="AM615" s="84" t="s">
        <v>290</v>
      </c>
      <c r="AN615" s="84" t="s">
        <v>2009</v>
      </c>
      <c r="AR615" s="85">
        <v>43523</v>
      </c>
      <c r="AS615" s="84">
        <v>6001651487</v>
      </c>
      <c r="AT615" s="85">
        <v>43523</v>
      </c>
      <c r="AU615" s="84" t="s">
        <v>1992</v>
      </c>
      <c r="AV615" s="85">
        <v>43539</v>
      </c>
      <c r="AW615" s="123">
        <v>43555</v>
      </c>
      <c r="AX615" s="123">
        <v>43575</v>
      </c>
      <c r="AY615" s="132">
        <v>142560</v>
      </c>
      <c r="AZ615" s="132">
        <f>ROUNDDOWN(AY615+(AY615*MASTER!$A$2/100),0)</f>
        <v>153964</v>
      </c>
      <c r="BA615" s="84" t="s">
        <v>543</v>
      </c>
      <c r="BB615" s="88">
        <v>22000</v>
      </c>
      <c r="BC615" s="88">
        <v>23760</v>
      </c>
      <c r="BD615" s="84" t="s">
        <v>1268</v>
      </c>
      <c r="BG615" s="88">
        <v>0</v>
      </c>
      <c r="BI615" s="84" t="s">
        <v>434</v>
      </c>
      <c r="BJ615" s="88">
        <v>1950</v>
      </c>
      <c r="BK615" s="88">
        <v>2106</v>
      </c>
      <c r="BL615" s="84" t="s">
        <v>1268</v>
      </c>
      <c r="BS615" s="88">
        <v>0</v>
      </c>
      <c r="BV615" s="89">
        <v>157140</v>
      </c>
      <c r="BW615" s="89">
        <v>25866</v>
      </c>
      <c r="BX615" s="89">
        <v>43514</v>
      </c>
      <c r="BY615" s="89">
        <v>131274</v>
      </c>
      <c r="BZ615" s="112">
        <v>83.539518900343651</v>
      </c>
      <c r="CK615" s="88">
        <v>31500</v>
      </c>
    </row>
    <row r="616" spans="1:89" x14ac:dyDescent="0.15">
      <c r="A616" s="84">
        <v>2</v>
      </c>
      <c r="B616" s="85">
        <v>43531</v>
      </c>
      <c r="C616" s="85">
        <v>43540</v>
      </c>
      <c r="D616" s="85">
        <v>43549</v>
      </c>
      <c r="E616" s="85">
        <v>43551</v>
      </c>
      <c r="F616" s="85">
        <v>43547</v>
      </c>
      <c r="G616" s="85">
        <v>43546</v>
      </c>
      <c r="H616" s="85">
        <v>43543</v>
      </c>
      <c r="I616" s="84" t="s">
        <v>401</v>
      </c>
      <c r="J616" s="84">
        <v>1</v>
      </c>
      <c r="L616" s="84">
        <v>0</v>
      </c>
      <c r="M616" s="85">
        <v>43514</v>
      </c>
      <c r="N616" s="85" t="s">
        <v>265</v>
      </c>
      <c r="O616" s="86" t="s">
        <v>340</v>
      </c>
      <c r="P616" s="84" t="s">
        <v>26</v>
      </c>
      <c r="Q616" s="86" t="s">
        <v>144</v>
      </c>
      <c r="R616" s="86" t="s">
        <v>2010</v>
      </c>
      <c r="S616" s="87" t="s">
        <v>1619</v>
      </c>
      <c r="T616" s="87" t="s">
        <v>797</v>
      </c>
      <c r="U616" s="88">
        <v>148500</v>
      </c>
      <c r="V616" s="88">
        <v>160380</v>
      </c>
      <c r="W616" s="88">
        <v>145500</v>
      </c>
      <c r="X616" s="88">
        <v>157140</v>
      </c>
      <c r="Y616" s="88">
        <v>3000</v>
      </c>
      <c r="Z616" s="88">
        <v>3240</v>
      </c>
      <c r="AA616" s="85">
        <v>43539</v>
      </c>
      <c r="AB616" s="85">
        <v>43540</v>
      </c>
      <c r="AC616" s="85">
        <v>43540</v>
      </c>
      <c r="AD616" s="84">
        <v>0</v>
      </c>
      <c r="AG616" s="84">
        <v>0</v>
      </c>
      <c r="AJ616" s="84">
        <v>0</v>
      </c>
      <c r="AM616" s="84" t="s">
        <v>290</v>
      </c>
      <c r="AN616" s="84" t="s">
        <v>2011</v>
      </c>
      <c r="AR616" s="85">
        <v>43525</v>
      </c>
      <c r="AS616" s="84">
        <v>6001652292</v>
      </c>
      <c r="AT616" s="85">
        <v>43525</v>
      </c>
      <c r="AU616" s="84" t="s">
        <v>1756</v>
      </c>
      <c r="AV616" s="85">
        <v>43540</v>
      </c>
      <c r="AW616" s="123">
        <v>43555</v>
      </c>
      <c r="AX616" s="123">
        <v>43575</v>
      </c>
      <c r="AY616" s="132">
        <v>142560</v>
      </c>
      <c r="AZ616" s="132">
        <f>ROUNDDOWN(AY616+(AY616*MASTER!$A$2/100),0)</f>
        <v>153964</v>
      </c>
      <c r="BA616" s="84" t="s">
        <v>286</v>
      </c>
      <c r="BB616" s="88">
        <v>23000</v>
      </c>
      <c r="BC616" s="88">
        <v>24840</v>
      </c>
      <c r="BD616" s="84" t="s">
        <v>1268</v>
      </c>
      <c r="BG616" s="88">
        <v>0</v>
      </c>
      <c r="BI616" s="84" t="s">
        <v>434</v>
      </c>
      <c r="BJ616" s="88">
        <v>1950</v>
      </c>
      <c r="BK616" s="88">
        <v>2106</v>
      </c>
      <c r="BL616" s="84" t="s">
        <v>1268</v>
      </c>
      <c r="BS616" s="88">
        <v>0</v>
      </c>
      <c r="BV616" s="89">
        <v>157140</v>
      </c>
      <c r="BW616" s="89">
        <v>26946</v>
      </c>
      <c r="BX616" s="89">
        <v>43514</v>
      </c>
      <c r="BY616" s="89">
        <v>130194</v>
      </c>
      <c r="BZ616" s="112">
        <v>82.852233676975956</v>
      </c>
      <c r="CK616" s="88">
        <v>31500</v>
      </c>
    </row>
    <row r="617" spans="1:89" x14ac:dyDescent="0.15">
      <c r="A617" s="84">
        <v>2</v>
      </c>
      <c r="B617" s="85">
        <v>43531</v>
      </c>
      <c r="C617" s="85">
        <v>43540</v>
      </c>
      <c r="D617" s="85">
        <v>43552</v>
      </c>
      <c r="E617" s="85">
        <v>43551</v>
      </c>
      <c r="F617" s="85">
        <v>43547</v>
      </c>
      <c r="G617" s="85">
        <v>43546</v>
      </c>
      <c r="H617" s="85">
        <v>43543</v>
      </c>
      <c r="I617" s="84" t="s">
        <v>401</v>
      </c>
      <c r="J617" s="84">
        <v>1</v>
      </c>
      <c r="L617" s="84">
        <v>0</v>
      </c>
      <c r="M617" s="85">
        <v>43514</v>
      </c>
      <c r="N617" s="85" t="s">
        <v>265</v>
      </c>
      <c r="O617" s="86" t="s">
        <v>340</v>
      </c>
      <c r="P617" s="84" t="s">
        <v>26</v>
      </c>
      <c r="Q617" s="86" t="s">
        <v>144</v>
      </c>
      <c r="R617" s="86" t="s">
        <v>2012</v>
      </c>
      <c r="S617" s="87" t="s">
        <v>643</v>
      </c>
      <c r="T617" s="87" t="s">
        <v>797</v>
      </c>
      <c r="U617" s="88">
        <v>165500</v>
      </c>
      <c r="V617" s="88">
        <v>178740</v>
      </c>
      <c r="W617" s="88">
        <v>145500</v>
      </c>
      <c r="X617" s="88">
        <v>157140</v>
      </c>
      <c r="Y617" s="88">
        <v>20000</v>
      </c>
      <c r="Z617" s="88">
        <v>21600</v>
      </c>
      <c r="AA617" s="85">
        <v>43539</v>
      </c>
      <c r="AB617" s="85">
        <v>43540</v>
      </c>
      <c r="AC617" s="85">
        <v>43540</v>
      </c>
      <c r="AD617" s="84">
        <v>0</v>
      </c>
      <c r="AG617" s="84">
        <v>0</v>
      </c>
      <c r="AJ617" s="84">
        <v>0</v>
      </c>
      <c r="AM617" s="84" t="s">
        <v>290</v>
      </c>
      <c r="AN617" s="84" t="s">
        <v>2013</v>
      </c>
      <c r="AR617" s="85">
        <v>43522</v>
      </c>
      <c r="AS617" s="84">
        <v>6001651126</v>
      </c>
      <c r="AT617" s="85">
        <v>43522</v>
      </c>
      <c r="AU617" s="84" t="s">
        <v>1751</v>
      </c>
      <c r="AV617" s="85">
        <v>43540</v>
      </c>
      <c r="AW617" s="123">
        <v>43555</v>
      </c>
      <c r="AX617" s="123">
        <v>43575</v>
      </c>
      <c r="AY617" s="132">
        <v>158880</v>
      </c>
      <c r="AZ617" s="132">
        <f>ROUNDDOWN(AY617+(AY617*MASTER!$A$2/100),0)</f>
        <v>171590</v>
      </c>
      <c r="BA617" s="84" t="s">
        <v>745</v>
      </c>
      <c r="BB617" s="88">
        <v>40000</v>
      </c>
      <c r="BC617" s="88">
        <v>43200</v>
      </c>
      <c r="BD617" s="84" t="s">
        <v>1268</v>
      </c>
      <c r="BG617" s="88">
        <v>0</v>
      </c>
      <c r="BI617" s="84" t="s">
        <v>434</v>
      </c>
      <c r="BJ617" s="88">
        <v>13000</v>
      </c>
      <c r="BK617" s="88">
        <v>14040</v>
      </c>
      <c r="BL617" s="84" t="s">
        <v>1268</v>
      </c>
      <c r="BS617" s="88">
        <v>0</v>
      </c>
      <c r="BV617" s="89">
        <v>157140</v>
      </c>
      <c r="BW617" s="89">
        <v>57240</v>
      </c>
      <c r="BX617" s="89">
        <v>43514</v>
      </c>
      <c r="BY617" s="89">
        <v>99900</v>
      </c>
      <c r="BZ617" s="112">
        <v>63.573883161512022</v>
      </c>
      <c r="CK617" s="88">
        <v>31500</v>
      </c>
    </row>
    <row r="618" spans="1:89" x14ac:dyDescent="0.15">
      <c r="A618" s="84">
        <v>2</v>
      </c>
      <c r="B618" s="85">
        <v>43542</v>
      </c>
      <c r="C618" s="85">
        <v>43549</v>
      </c>
      <c r="D618" s="85">
        <v>43581</v>
      </c>
      <c r="E618" s="85">
        <v>43552</v>
      </c>
      <c r="F618" s="85">
        <v>43556</v>
      </c>
      <c r="G618" s="85">
        <v>43549</v>
      </c>
      <c r="H618" s="85">
        <v>43552</v>
      </c>
      <c r="I618" s="84" t="s">
        <v>401</v>
      </c>
      <c r="J618" s="84">
        <v>1</v>
      </c>
      <c r="L618" s="84">
        <v>0</v>
      </c>
      <c r="M618" s="85">
        <v>43514</v>
      </c>
      <c r="N618" s="85" t="s">
        <v>265</v>
      </c>
      <c r="O618" s="86" t="s">
        <v>340</v>
      </c>
      <c r="P618" s="84" t="s">
        <v>26</v>
      </c>
      <c r="Q618" s="86" t="s">
        <v>144</v>
      </c>
      <c r="R618" s="86" t="s">
        <v>2014</v>
      </c>
      <c r="S618" s="87" t="s">
        <v>760</v>
      </c>
      <c r="T618" s="87" t="s">
        <v>2015</v>
      </c>
      <c r="U618" s="88">
        <v>262500</v>
      </c>
      <c r="V618" s="88">
        <v>283500</v>
      </c>
      <c r="W618" s="88">
        <v>259500</v>
      </c>
      <c r="X618" s="88">
        <v>280260</v>
      </c>
      <c r="Y618" s="88">
        <v>3000</v>
      </c>
      <c r="Z618" s="88">
        <v>3240</v>
      </c>
      <c r="AA618" s="85">
        <v>43547</v>
      </c>
      <c r="AB618" s="85">
        <v>43549</v>
      </c>
      <c r="AC618" s="85">
        <v>43549</v>
      </c>
      <c r="AD618" s="84">
        <v>0</v>
      </c>
      <c r="AG618" s="84">
        <v>0</v>
      </c>
      <c r="AJ618" s="84">
        <v>0</v>
      </c>
      <c r="AM618" s="84" t="s">
        <v>290</v>
      </c>
      <c r="AN618" s="84" t="s">
        <v>2016</v>
      </c>
      <c r="AR618" s="85">
        <v>43530</v>
      </c>
      <c r="AS618" s="84">
        <v>6001653823</v>
      </c>
      <c r="AT618" s="85">
        <v>43531</v>
      </c>
      <c r="AU618" s="84" t="s">
        <v>1784</v>
      </c>
      <c r="AV618" s="85">
        <v>43549</v>
      </c>
      <c r="AW618" s="123">
        <v>43555</v>
      </c>
      <c r="AX618" s="123">
        <v>43575</v>
      </c>
      <c r="AY618" s="132">
        <v>252000</v>
      </c>
      <c r="AZ618" s="132">
        <f>ROUNDDOWN(AY618+(AY618*MASTER!$A$2/100),0)</f>
        <v>272160</v>
      </c>
      <c r="BA618" s="84" t="s">
        <v>543</v>
      </c>
      <c r="BB618" s="88">
        <v>26000</v>
      </c>
      <c r="BC618" s="88">
        <v>28080</v>
      </c>
      <c r="BD618" s="84" t="s">
        <v>1579</v>
      </c>
      <c r="BG618" s="88">
        <v>0</v>
      </c>
      <c r="BI618" s="84" t="s">
        <v>276</v>
      </c>
      <c r="BJ618" s="88">
        <v>1950</v>
      </c>
      <c r="BK618" s="88">
        <v>2106</v>
      </c>
      <c r="BL618" s="84" t="s">
        <v>1659</v>
      </c>
      <c r="BS618" s="88">
        <v>0</v>
      </c>
      <c r="BV618" s="89">
        <v>280260</v>
      </c>
      <c r="BW618" s="89">
        <v>30186</v>
      </c>
      <c r="BX618" s="89">
        <v>43514</v>
      </c>
      <c r="BY618" s="89">
        <v>250074</v>
      </c>
      <c r="BZ618" s="112">
        <v>89.229287090558756</v>
      </c>
      <c r="CK618" s="88">
        <v>31500</v>
      </c>
    </row>
    <row r="619" spans="1:89" x14ac:dyDescent="0.15">
      <c r="A619" s="84">
        <v>2</v>
      </c>
      <c r="B619" s="85">
        <v>43542</v>
      </c>
      <c r="C619" s="85">
        <v>43553</v>
      </c>
      <c r="D619" s="85">
        <v>43581</v>
      </c>
      <c r="E619" s="85">
        <v>43557</v>
      </c>
      <c r="F619" s="85">
        <v>43560</v>
      </c>
      <c r="G619" s="85">
        <v>43552</v>
      </c>
      <c r="H619" s="85">
        <v>43556</v>
      </c>
      <c r="I619" s="84" t="s">
        <v>401</v>
      </c>
      <c r="J619" s="84">
        <v>1</v>
      </c>
      <c r="L619" s="84">
        <v>0</v>
      </c>
      <c r="M619" s="85">
        <v>43514</v>
      </c>
      <c r="N619" s="85" t="s">
        <v>265</v>
      </c>
      <c r="O619" s="86" t="s">
        <v>340</v>
      </c>
      <c r="P619" s="84" t="s">
        <v>26</v>
      </c>
      <c r="Q619" s="86" t="s">
        <v>144</v>
      </c>
      <c r="R619" s="86" t="s">
        <v>2017</v>
      </c>
      <c r="S619" s="87" t="s">
        <v>1220</v>
      </c>
      <c r="T619" s="87" t="s">
        <v>2018</v>
      </c>
      <c r="U619" s="88">
        <v>148500</v>
      </c>
      <c r="V619" s="88">
        <v>160380</v>
      </c>
      <c r="W619" s="88">
        <v>145500</v>
      </c>
      <c r="X619" s="88">
        <v>157140</v>
      </c>
      <c r="Y619" s="88">
        <v>3000</v>
      </c>
      <c r="Z619" s="88">
        <v>3240</v>
      </c>
      <c r="AA619" s="85">
        <v>43551</v>
      </c>
      <c r="AB619" s="85">
        <v>43553</v>
      </c>
      <c r="AC619" s="85">
        <v>43553</v>
      </c>
      <c r="AD619" s="84">
        <v>0</v>
      </c>
      <c r="AG619" s="84">
        <v>0</v>
      </c>
      <c r="AJ619" s="84">
        <v>0</v>
      </c>
      <c r="AM619" s="84" t="s">
        <v>290</v>
      </c>
      <c r="AN619" s="84" t="s">
        <v>2019</v>
      </c>
      <c r="AR619" s="85">
        <v>43525</v>
      </c>
      <c r="AS619" s="84">
        <v>6001652292</v>
      </c>
      <c r="AT619" s="85">
        <v>43525</v>
      </c>
      <c r="AU619" s="84" t="s">
        <v>1756</v>
      </c>
      <c r="AV619" s="85">
        <v>43553</v>
      </c>
      <c r="AW619" s="123">
        <v>43555</v>
      </c>
      <c r="AX619" s="123">
        <v>43575</v>
      </c>
      <c r="AY619" s="132">
        <v>142560</v>
      </c>
      <c r="AZ619" s="132">
        <f>ROUNDDOWN(AY619+(AY619*MASTER!$A$2/100),0)</f>
        <v>153964</v>
      </c>
      <c r="BA619" s="84" t="s">
        <v>286</v>
      </c>
      <c r="BB619" s="88">
        <v>30000</v>
      </c>
      <c r="BC619" s="88">
        <v>32400</v>
      </c>
      <c r="BD619" s="84" t="s">
        <v>1579</v>
      </c>
      <c r="BG619" s="88">
        <v>0</v>
      </c>
      <c r="BI619" s="84" t="s">
        <v>276</v>
      </c>
      <c r="BJ619" s="88">
        <v>1950</v>
      </c>
      <c r="BK619" s="88">
        <v>2106</v>
      </c>
      <c r="BL619" s="84" t="s">
        <v>1659</v>
      </c>
      <c r="BS619" s="88">
        <v>0</v>
      </c>
      <c r="BV619" s="89">
        <v>157140</v>
      </c>
      <c r="BW619" s="89">
        <v>34506</v>
      </c>
      <c r="BX619" s="89">
        <v>43514</v>
      </c>
      <c r="BY619" s="89">
        <v>122634</v>
      </c>
      <c r="BZ619" s="112">
        <v>78.041237113402062</v>
      </c>
      <c r="CK619" s="88">
        <v>31500</v>
      </c>
    </row>
    <row r="620" spans="1:89" x14ac:dyDescent="0.15">
      <c r="A620" s="84">
        <v>2</v>
      </c>
      <c r="B620" s="85">
        <v>43528</v>
      </c>
      <c r="C620" s="85">
        <v>43530</v>
      </c>
      <c r="D620" s="85">
        <v>43553</v>
      </c>
      <c r="F620" s="85">
        <v>43537</v>
      </c>
      <c r="G620" s="85">
        <v>43530</v>
      </c>
      <c r="H620" s="85">
        <v>43533</v>
      </c>
      <c r="I620" s="84" t="s">
        <v>401</v>
      </c>
      <c r="J620" s="84">
        <v>2</v>
      </c>
      <c r="L620" s="84">
        <v>0</v>
      </c>
      <c r="M620" s="85">
        <v>43514</v>
      </c>
      <c r="N620" s="85" t="s">
        <v>265</v>
      </c>
      <c r="O620" s="86" t="s">
        <v>340</v>
      </c>
      <c r="P620" s="84" t="s">
        <v>26</v>
      </c>
      <c r="Q620" s="86" t="s">
        <v>144</v>
      </c>
      <c r="R620" s="86" t="s">
        <v>2020</v>
      </c>
      <c r="S620" s="87" t="s">
        <v>2021</v>
      </c>
      <c r="T620" s="87" t="s">
        <v>2022</v>
      </c>
      <c r="U620" s="88">
        <v>222000</v>
      </c>
      <c r="V620" s="88">
        <v>239760</v>
      </c>
      <c r="W620" s="88">
        <v>222000</v>
      </c>
      <c r="X620" s="88">
        <v>239760</v>
      </c>
      <c r="Y620" s="88">
        <v>0</v>
      </c>
      <c r="Z620" s="88">
        <v>0</v>
      </c>
      <c r="AA620" s="85">
        <v>43528</v>
      </c>
      <c r="AB620" s="85">
        <v>43530</v>
      </c>
      <c r="AC620" s="85">
        <v>43530</v>
      </c>
      <c r="AD620" s="84">
        <v>0</v>
      </c>
      <c r="AG620" s="84">
        <v>0</v>
      </c>
      <c r="AJ620" s="84">
        <v>0</v>
      </c>
      <c r="AM620" s="84" t="s">
        <v>290</v>
      </c>
      <c r="AN620" s="84" t="s">
        <v>2023</v>
      </c>
      <c r="AR620" s="85">
        <v>43525</v>
      </c>
      <c r="AS620" s="84">
        <v>6001652295</v>
      </c>
      <c r="AT620" s="85">
        <v>43525</v>
      </c>
      <c r="AU620" s="84" t="s">
        <v>2024</v>
      </c>
      <c r="AV620" s="85">
        <v>43530</v>
      </c>
      <c r="AW620" s="123">
        <v>43555</v>
      </c>
      <c r="AX620" s="123">
        <v>43575</v>
      </c>
      <c r="AY620" s="132">
        <v>213120</v>
      </c>
      <c r="AZ620" s="132">
        <f>ROUNDDOWN(AY620+(AY620*MASTER!$A$2/100),0)</f>
        <v>230169</v>
      </c>
      <c r="BA620" s="84" t="s">
        <v>543</v>
      </c>
      <c r="BB620" s="88">
        <v>41800</v>
      </c>
      <c r="BC620" s="88">
        <v>45144</v>
      </c>
      <c r="BD620" s="84" t="s">
        <v>1268</v>
      </c>
      <c r="BG620" s="88">
        <v>0</v>
      </c>
      <c r="BK620" s="88">
        <v>0</v>
      </c>
      <c r="BS620" s="88">
        <v>0</v>
      </c>
      <c r="BV620" s="89">
        <v>239760</v>
      </c>
      <c r="BW620" s="89">
        <v>45144</v>
      </c>
      <c r="BX620" s="89">
        <v>43514</v>
      </c>
      <c r="BY620" s="89">
        <v>194616</v>
      </c>
      <c r="BZ620" s="112">
        <v>81.171171171171181</v>
      </c>
      <c r="CK620" s="88">
        <v>31500</v>
      </c>
    </row>
    <row r="621" spans="1:89" x14ac:dyDescent="0.15">
      <c r="A621" s="84">
        <v>2</v>
      </c>
      <c r="B621" s="85">
        <v>43528</v>
      </c>
      <c r="C621" s="85">
        <v>43530</v>
      </c>
      <c r="D621" s="85">
        <v>43553</v>
      </c>
      <c r="F621" s="85">
        <v>43537</v>
      </c>
      <c r="G621" s="85">
        <v>43530</v>
      </c>
      <c r="H621" s="85">
        <v>43533</v>
      </c>
      <c r="I621" s="84" t="s">
        <v>401</v>
      </c>
      <c r="J621" s="84">
        <v>1</v>
      </c>
      <c r="L621" s="84">
        <v>0</v>
      </c>
      <c r="M621" s="85">
        <v>43514</v>
      </c>
      <c r="N621" s="85" t="s">
        <v>265</v>
      </c>
      <c r="O621" s="86" t="s">
        <v>340</v>
      </c>
      <c r="P621" s="84" t="s">
        <v>26</v>
      </c>
      <c r="Q621" s="86" t="s">
        <v>144</v>
      </c>
      <c r="R621" s="86" t="s">
        <v>2025</v>
      </c>
      <c r="S621" s="87" t="s">
        <v>2026</v>
      </c>
      <c r="T621" s="87" t="s">
        <v>1086</v>
      </c>
      <c r="U621" s="88">
        <v>260000</v>
      </c>
      <c r="V621" s="88">
        <v>280800</v>
      </c>
      <c r="W621" s="88">
        <v>238000</v>
      </c>
      <c r="X621" s="88">
        <v>257040</v>
      </c>
      <c r="Y621" s="88">
        <v>22000</v>
      </c>
      <c r="Z621" s="88">
        <v>23760</v>
      </c>
      <c r="AA621" s="85">
        <v>43528</v>
      </c>
      <c r="AB621" s="85">
        <v>43530</v>
      </c>
      <c r="AC621" s="85">
        <v>43530</v>
      </c>
      <c r="AD621" s="84">
        <v>0</v>
      </c>
      <c r="AG621" s="84">
        <v>0</v>
      </c>
      <c r="AJ621" s="84">
        <v>0</v>
      </c>
      <c r="AM621" s="84" t="s">
        <v>290</v>
      </c>
      <c r="AN621" s="84" t="s">
        <v>2027</v>
      </c>
      <c r="AR621" s="85">
        <v>43525</v>
      </c>
      <c r="AS621" s="84">
        <v>6001652295</v>
      </c>
      <c r="AT621" s="85">
        <v>43525</v>
      </c>
      <c r="AU621" s="84" t="s">
        <v>2024</v>
      </c>
      <c r="AV621" s="85">
        <v>43530</v>
      </c>
      <c r="AW621" s="123">
        <v>43555</v>
      </c>
      <c r="AX621" s="123">
        <v>43575</v>
      </c>
      <c r="AY621" s="132">
        <v>249600</v>
      </c>
      <c r="AZ621" s="132">
        <f>ROUNDDOWN(AY621+(AY621*MASTER!$A$2/100),0)</f>
        <v>269568</v>
      </c>
      <c r="BA621" s="84" t="s">
        <v>543</v>
      </c>
      <c r="BB621" s="88">
        <v>50200</v>
      </c>
      <c r="BC621" s="88">
        <v>54216</v>
      </c>
      <c r="BD621" s="84" t="s">
        <v>1268</v>
      </c>
      <c r="BG621" s="88">
        <v>0</v>
      </c>
      <c r="BI621" s="84" t="s">
        <v>434</v>
      </c>
      <c r="BJ621" s="88">
        <v>14300</v>
      </c>
      <c r="BK621" s="88">
        <v>15444</v>
      </c>
      <c r="BL621" s="84" t="s">
        <v>1268</v>
      </c>
      <c r="BS621" s="88">
        <v>0</v>
      </c>
      <c r="BV621" s="89">
        <v>257040</v>
      </c>
      <c r="BW621" s="89">
        <v>69660</v>
      </c>
      <c r="BX621" s="89">
        <v>43514</v>
      </c>
      <c r="BY621" s="89">
        <v>187380</v>
      </c>
      <c r="BZ621" s="112">
        <v>72.899159663865547</v>
      </c>
      <c r="CK621" s="88">
        <v>31500</v>
      </c>
    </row>
    <row r="622" spans="1:89" x14ac:dyDescent="0.15">
      <c r="A622" s="84">
        <v>2</v>
      </c>
      <c r="B622" s="85">
        <v>43531</v>
      </c>
      <c r="C622" s="85">
        <v>43537</v>
      </c>
      <c r="D622" s="85">
        <v>43549</v>
      </c>
      <c r="F622" s="85">
        <v>43544</v>
      </c>
      <c r="G622" s="85">
        <v>43537</v>
      </c>
      <c r="H622" s="85">
        <v>43540</v>
      </c>
      <c r="I622" s="84" t="s">
        <v>401</v>
      </c>
      <c r="J622" s="84">
        <v>1</v>
      </c>
      <c r="L622" s="84">
        <v>0</v>
      </c>
      <c r="M622" s="85">
        <v>43514</v>
      </c>
      <c r="N622" s="85" t="s">
        <v>265</v>
      </c>
      <c r="O622" s="86" t="s">
        <v>340</v>
      </c>
      <c r="P622" s="84" t="s">
        <v>26</v>
      </c>
      <c r="Q622" s="86" t="s">
        <v>144</v>
      </c>
      <c r="R622" s="86" t="s">
        <v>2028</v>
      </c>
      <c r="S622" s="87" t="s">
        <v>1078</v>
      </c>
      <c r="T622" s="87" t="s">
        <v>1918</v>
      </c>
      <c r="U622" s="88">
        <v>274000</v>
      </c>
      <c r="V622" s="88">
        <v>295920</v>
      </c>
      <c r="W622" s="88">
        <v>254000</v>
      </c>
      <c r="X622" s="88">
        <v>274320</v>
      </c>
      <c r="Y622" s="88">
        <v>20000</v>
      </c>
      <c r="Z622" s="88">
        <v>21600</v>
      </c>
      <c r="AA622" s="85">
        <v>43535</v>
      </c>
      <c r="AB622" s="85">
        <v>43537</v>
      </c>
      <c r="AC622" s="85">
        <v>43537</v>
      </c>
      <c r="AD622" s="84">
        <v>0</v>
      </c>
      <c r="AG622" s="84">
        <v>0</v>
      </c>
      <c r="AJ622" s="84">
        <v>0</v>
      </c>
      <c r="AM622" s="84" t="s">
        <v>290</v>
      </c>
      <c r="AN622" s="84" t="s">
        <v>2029</v>
      </c>
      <c r="AR622" s="85">
        <v>43525</v>
      </c>
      <c r="AS622" s="84">
        <v>6001652292</v>
      </c>
      <c r="AT622" s="85">
        <v>43525</v>
      </c>
      <c r="AU622" s="84" t="s">
        <v>1756</v>
      </c>
      <c r="AV622" s="85">
        <v>43537</v>
      </c>
      <c r="AW622" s="123">
        <v>43555</v>
      </c>
      <c r="AX622" s="123">
        <v>43575</v>
      </c>
      <c r="AY622" s="132">
        <v>263040</v>
      </c>
      <c r="AZ622" s="132">
        <f>ROUNDDOWN(AY622+(AY622*MASTER!$A$2/100),0)</f>
        <v>284083</v>
      </c>
      <c r="BA622" s="84" t="s">
        <v>286</v>
      </c>
      <c r="BB622" s="88">
        <v>82800</v>
      </c>
      <c r="BC622" s="88">
        <v>89424</v>
      </c>
      <c r="BD622" s="84" t="s">
        <v>1268</v>
      </c>
      <c r="BG622" s="88">
        <v>0</v>
      </c>
      <c r="BI622" s="84" t="s">
        <v>434</v>
      </c>
      <c r="BJ622" s="88">
        <v>13000</v>
      </c>
      <c r="BK622" s="88">
        <v>14040</v>
      </c>
      <c r="BL622" s="84" t="s">
        <v>1268</v>
      </c>
      <c r="BS622" s="88">
        <v>0</v>
      </c>
      <c r="BV622" s="89">
        <v>274320</v>
      </c>
      <c r="BW622" s="89">
        <v>103464</v>
      </c>
      <c r="BX622" s="89">
        <v>43514</v>
      </c>
      <c r="BY622" s="89">
        <v>170856</v>
      </c>
      <c r="BZ622" s="112">
        <v>62.283464566929133</v>
      </c>
      <c r="CK622" s="88">
        <v>31500</v>
      </c>
    </row>
    <row r="623" spans="1:89" x14ac:dyDescent="0.15">
      <c r="A623" s="84">
        <v>2</v>
      </c>
      <c r="B623" s="85">
        <v>43528</v>
      </c>
      <c r="C623" s="85">
        <v>43529</v>
      </c>
      <c r="D623" s="85">
        <v>43549</v>
      </c>
      <c r="F623" s="85">
        <v>43536</v>
      </c>
      <c r="G623" s="85">
        <v>43529</v>
      </c>
      <c r="H623" s="85">
        <v>43532</v>
      </c>
      <c r="I623" s="84" t="s">
        <v>401</v>
      </c>
      <c r="J623" s="84">
        <v>2</v>
      </c>
      <c r="L623" s="84">
        <v>0</v>
      </c>
      <c r="M623" s="85">
        <v>43514</v>
      </c>
      <c r="N623" s="85" t="s">
        <v>265</v>
      </c>
      <c r="O623" s="86" t="s">
        <v>340</v>
      </c>
      <c r="P623" s="84" t="s">
        <v>26</v>
      </c>
      <c r="Q623" s="86" t="s">
        <v>144</v>
      </c>
      <c r="R623" s="86" t="s">
        <v>2030</v>
      </c>
      <c r="S623" s="87" t="s">
        <v>1286</v>
      </c>
      <c r="T623" s="87" t="s">
        <v>1573</v>
      </c>
      <c r="U623" s="88">
        <v>222000</v>
      </c>
      <c r="V623" s="88">
        <v>239760</v>
      </c>
      <c r="W623" s="88">
        <v>222000</v>
      </c>
      <c r="X623" s="88">
        <v>239760</v>
      </c>
      <c r="Z623" s="88">
        <v>0</v>
      </c>
      <c r="AA623" s="85">
        <v>43528</v>
      </c>
      <c r="AB623" s="85">
        <v>43529</v>
      </c>
      <c r="AC623" s="85">
        <v>43529</v>
      </c>
      <c r="AD623" s="84">
        <v>0</v>
      </c>
      <c r="AG623" s="84">
        <v>0</v>
      </c>
      <c r="AJ623" s="84">
        <v>0</v>
      </c>
      <c r="AM623" s="84" t="s">
        <v>290</v>
      </c>
      <c r="AN623" s="84" t="s">
        <v>2031</v>
      </c>
      <c r="AR623" s="85">
        <v>43525</v>
      </c>
      <c r="AS623" s="84">
        <v>6001652292</v>
      </c>
      <c r="AT623" s="85">
        <v>43525</v>
      </c>
      <c r="AU623" s="84" t="s">
        <v>1756</v>
      </c>
      <c r="AV623" s="85">
        <v>43529</v>
      </c>
      <c r="AW623" s="123">
        <v>43555</v>
      </c>
      <c r="AX623" s="123">
        <v>43575</v>
      </c>
      <c r="AY623" s="132">
        <v>213120</v>
      </c>
      <c r="AZ623" s="132">
        <f>ROUNDDOWN(AY623+(AY623*MASTER!$A$2/100),0)</f>
        <v>230169</v>
      </c>
      <c r="BA623" s="84" t="s">
        <v>286</v>
      </c>
      <c r="BB623" s="88">
        <v>44400</v>
      </c>
      <c r="BC623" s="88">
        <v>47952</v>
      </c>
      <c r="BD623" s="84" t="s">
        <v>1268</v>
      </c>
      <c r="BG623" s="88">
        <v>0</v>
      </c>
      <c r="BK623" s="88">
        <v>0</v>
      </c>
      <c r="BS623" s="88">
        <v>0</v>
      </c>
      <c r="BV623" s="89">
        <v>239760</v>
      </c>
      <c r="BW623" s="89">
        <v>47952</v>
      </c>
      <c r="BX623" s="89">
        <v>43514</v>
      </c>
      <c r="BY623" s="89">
        <v>191808</v>
      </c>
      <c r="BZ623" s="112">
        <v>80</v>
      </c>
      <c r="CK623" s="88">
        <v>31500</v>
      </c>
    </row>
    <row r="624" spans="1:89" x14ac:dyDescent="0.15">
      <c r="A624" s="84">
        <v>2</v>
      </c>
      <c r="B624" s="85">
        <v>43528</v>
      </c>
      <c r="C624" s="85">
        <v>43530</v>
      </c>
      <c r="D624" s="85">
        <v>43552</v>
      </c>
      <c r="F624" s="85">
        <v>43537</v>
      </c>
      <c r="G624" s="85">
        <v>43530</v>
      </c>
      <c r="H624" s="85">
        <v>43533</v>
      </c>
      <c r="I624" s="84" t="s">
        <v>401</v>
      </c>
      <c r="J624" s="84">
        <v>2</v>
      </c>
      <c r="L624" s="84">
        <v>0</v>
      </c>
      <c r="M624" s="85">
        <v>43514</v>
      </c>
      <c r="N624" s="85" t="s">
        <v>265</v>
      </c>
      <c r="O624" s="86" t="s">
        <v>340</v>
      </c>
      <c r="P624" s="84" t="s">
        <v>26</v>
      </c>
      <c r="Q624" s="86" t="s">
        <v>144</v>
      </c>
      <c r="R624" s="86" t="s">
        <v>2032</v>
      </c>
      <c r="S624" s="87" t="s">
        <v>2033</v>
      </c>
      <c r="T624" s="87" t="s">
        <v>2034</v>
      </c>
      <c r="U624" s="88">
        <v>222000</v>
      </c>
      <c r="V624" s="88">
        <v>239760</v>
      </c>
      <c r="W624" s="88">
        <v>222000</v>
      </c>
      <c r="X624" s="88">
        <v>239760</v>
      </c>
      <c r="Z624" s="88">
        <v>0</v>
      </c>
      <c r="AA624" s="85">
        <v>43528</v>
      </c>
      <c r="AB624" s="85">
        <v>43530</v>
      </c>
      <c r="AC624" s="85">
        <v>43530</v>
      </c>
      <c r="AD624" s="84">
        <v>0</v>
      </c>
      <c r="AG624" s="84">
        <v>0</v>
      </c>
      <c r="AJ624" s="84">
        <v>0</v>
      </c>
      <c r="AM624" s="84" t="s">
        <v>290</v>
      </c>
      <c r="AN624" s="84" t="s">
        <v>2035</v>
      </c>
      <c r="AR624" s="85">
        <v>43525</v>
      </c>
      <c r="AS624" s="84">
        <v>6001652295</v>
      </c>
      <c r="AT624" s="85">
        <v>43525</v>
      </c>
      <c r="AU624" s="84" t="s">
        <v>2024</v>
      </c>
      <c r="AV624" s="85">
        <v>43530</v>
      </c>
      <c r="AW624" s="123">
        <v>43555</v>
      </c>
      <c r="AX624" s="123">
        <v>43575</v>
      </c>
      <c r="AY624" s="132">
        <v>213120</v>
      </c>
      <c r="AZ624" s="132">
        <f>ROUNDDOWN(AY624+(AY624*MASTER!$A$2/100),0)</f>
        <v>230169</v>
      </c>
      <c r="BA624" s="84" t="s">
        <v>745</v>
      </c>
      <c r="BB624" s="88">
        <v>86480</v>
      </c>
      <c r="BC624" s="88">
        <v>93398.399999999994</v>
      </c>
      <c r="BD624" s="84" t="s">
        <v>1268</v>
      </c>
      <c r="BG624" s="88">
        <v>0</v>
      </c>
      <c r="BK624" s="88">
        <v>0</v>
      </c>
      <c r="BS624" s="88">
        <v>0</v>
      </c>
      <c r="BV624" s="89">
        <v>239760</v>
      </c>
      <c r="BW624" s="89">
        <v>93398.399999999994</v>
      </c>
      <c r="BX624" s="89">
        <v>43514</v>
      </c>
      <c r="BY624" s="89">
        <v>146361.60000000001</v>
      </c>
      <c r="BZ624" s="112">
        <v>61.045045045045043</v>
      </c>
      <c r="CK624" s="88">
        <v>31500</v>
      </c>
    </row>
    <row r="625" spans="1:89" x14ac:dyDescent="0.15">
      <c r="A625" s="84">
        <v>2</v>
      </c>
      <c r="B625" s="85">
        <v>43537</v>
      </c>
      <c r="C625" s="85">
        <v>43544</v>
      </c>
      <c r="D625" s="85">
        <v>43552</v>
      </c>
      <c r="E625" s="85">
        <v>43551</v>
      </c>
      <c r="F625" s="85">
        <v>43551</v>
      </c>
      <c r="G625" s="85">
        <v>43546</v>
      </c>
      <c r="H625" s="85">
        <v>43547</v>
      </c>
      <c r="I625" s="84" t="s">
        <v>401</v>
      </c>
      <c r="J625" s="84">
        <v>1</v>
      </c>
      <c r="L625" s="84">
        <v>0</v>
      </c>
      <c r="M625" s="85">
        <v>43514</v>
      </c>
      <c r="N625" s="85" t="s">
        <v>265</v>
      </c>
      <c r="O625" s="86" t="s">
        <v>340</v>
      </c>
      <c r="P625" s="84" t="s">
        <v>26</v>
      </c>
      <c r="Q625" s="86" t="s">
        <v>144</v>
      </c>
      <c r="R625" s="86" t="s">
        <v>2036</v>
      </c>
      <c r="S625" s="87" t="s">
        <v>2037</v>
      </c>
      <c r="T625" s="87" t="s">
        <v>2038</v>
      </c>
      <c r="U625" s="88">
        <v>242000</v>
      </c>
      <c r="V625" s="88">
        <v>261360</v>
      </c>
      <c r="W625" s="88">
        <v>222000</v>
      </c>
      <c r="X625" s="88">
        <v>239760</v>
      </c>
      <c r="Y625" s="88">
        <v>20000</v>
      </c>
      <c r="Z625" s="88">
        <v>21600</v>
      </c>
      <c r="AA625" s="85">
        <v>43542</v>
      </c>
      <c r="AB625" s="85">
        <v>43544</v>
      </c>
      <c r="AC625" s="85">
        <v>43544</v>
      </c>
      <c r="AD625" s="84">
        <v>0</v>
      </c>
      <c r="AG625" s="84">
        <v>0</v>
      </c>
      <c r="AJ625" s="84">
        <v>0</v>
      </c>
      <c r="AM625" s="84" t="s">
        <v>290</v>
      </c>
      <c r="AN625" s="84" t="s">
        <v>2035</v>
      </c>
      <c r="AR625" s="85">
        <v>43535</v>
      </c>
      <c r="AS625" s="84">
        <v>6001655856</v>
      </c>
      <c r="AT625" s="85">
        <v>43536</v>
      </c>
      <c r="AU625" s="84" t="s">
        <v>1930</v>
      </c>
      <c r="AV625" s="85">
        <v>43544</v>
      </c>
      <c r="AW625" s="123">
        <v>43555</v>
      </c>
      <c r="AX625" s="123">
        <v>43575</v>
      </c>
      <c r="AY625" s="132">
        <v>232320</v>
      </c>
      <c r="AZ625" s="132">
        <f>ROUNDDOWN(AY625+(AY625*MASTER!$A$2/100),0)</f>
        <v>250905</v>
      </c>
      <c r="BA625" s="84" t="s">
        <v>745</v>
      </c>
      <c r="BB625" s="88">
        <v>80360</v>
      </c>
      <c r="BC625" s="88">
        <v>86788.800000000003</v>
      </c>
      <c r="BD625" s="84" t="s">
        <v>1268</v>
      </c>
      <c r="BG625" s="88">
        <v>0</v>
      </c>
      <c r="BI625" s="84" t="s">
        <v>434</v>
      </c>
      <c r="BJ625" s="88">
        <v>13000</v>
      </c>
      <c r="BK625" s="88">
        <v>14040</v>
      </c>
      <c r="BL625" s="84" t="s">
        <v>1268</v>
      </c>
      <c r="BS625" s="88">
        <v>0</v>
      </c>
      <c r="BV625" s="89">
        <v>239760</v>
      </c>
      <c r="BW625" s="89">
        <v>100828.8</v>
      </c>
      <c r="BX625" s="89">
        <v>43514</v>
      </c>
      <c r="BY625" s="89">
        <v>138931.20000000001</v>
      </c>
      <c r="BZ625" s="112">
        <v>57.945945945945951</v>
      </c>
      <c r="CK625" s="88">
        <v>31500</v>
      </c>
    </row>
    <row r="626" spans="1:89" x14ac:dyDescent="0.15">
      <c r="A626" s="84">
        <v>2</v>
      </c>
      <c r="B626" s="85">
        <v>43528</v>
      </c>
      <c r="C626" s="85">
        <v>43532</v>
      </c>
      <c r="D626" s="85">
        <v>43549</v>
      </c>
      <c r="F626" s="85">
        <v>43539</v>
      </c>
      <c r="G626" s="85">
        <v>43532</v>
      </c>
      <c r="H626" s="85">
        <v>43535</v>
      </c>
      <c r="I626" s="84" t="s">
        <v>401</v>
      </c>
      <c r="J626" s="84">
        <v>2</v>
      </c>
      <c r="L626" s="84">
        <v>0</v>
      </c>
      <c r="M626" s="85">
        <v>43514</v>
      </c>
      <c r="N626" s="85" t="s">
        <v>265</v>
      </c>
      <c r="O626" s="86" t="s">
        <v>340</v>
      </c>
      <c r="P626" s="84" t="s">
        <v>26</v>
      </c>
      <c r="Q626" s="86" t="s">
        <v>144</v>
      </c>
      <c r="R626" s="86" t="s">
        <v>2039</v>
      </c>
      <c r="S626" s="87" t="s">
        <v>705</v>
      </c>
      <c r="T626" s="87" t="s">
        <v>385</v>
      </c>
      <c r="U626" s="88">
        <v>206000</v>
      </c>
      <c r="V626" s="88">
        <v>222480</v>
      </c>
      <c r="W626" s="88">
        <v>206000</v>
      </c>
      <c r="X626" s="88">
        <v>222480</v>
      </c>
      <c r="Z626" s="88">
        <v>0</v>
      </c>
      <c r="AA626" s="85">
        <v>43531</v>
      </c>
      <c r="AB626" s="85">
        <v>43532</v>
      </c>
      <c r="AC626" s="85">
        <v>43532</v>
      </c>
      <c r="AD626" s="84">
        <v>0</v>
      </c>
      <c r="AG626" s="84">
        <v>0</v>
      </c>
      <c r="AJ626" s="84">
        <v>0</v>
      </c>
      <c r="AM626" s="84" t="s">
        <v>290</v>
      </c>
      <c r="AN626" s="84" t="s">
        <v>2040</v>
      </c>
      <c r="AR626" s="85">
        <v>43525</v>
      </c>
      <c r="AS626" s="84">
        <v>6001652295</v>
      </c>
      <c r="AT626" s="85">
        <v>43525</v>
      </c>
      <c r="AU626" s="84" t="s">
        <v>2024</v>
      </c>
      <c r="AV626" s="85">
        <v>43532</v>
      </c>
      <c r="AW626" s="123">
        <v>43555</v>
      </c>
      <c r="AX626" s="123">
        <v>43575</v>
      </c>
      <c r="AY626" s="132">
        <v>197760</v>
      </c>
      <c r="AZ626" s="132">
        <f>ROUNDDOWN(AY626+(AY626*MASTER!$A$2/100),0)</f>
        <v>213580</v>
      </c>
      <c r="BA626" s="84" t="s">
        <v>286</v>
      </c>
      <c r="BB626" s="88">
        <v>30800</v>
      </c>
      <c r="BC626" s="88">
        <v>33264</v>
      </c>
      <c r="BD626" s="84" t="s">
        <v>1268</v>
      </c>
      <c r="BG626" s="88">
        <v>0</v>
      </c>
      <c r="BK626" s="88">
        <v>0</v>
      </c>
      <c r="BS626" s="88">
        <v>0</v>
      </c>
      <c r="BV626" s="89">
        <v>222480</v>
      </c>
      <c r="BW626" s="89">
        <v>33264</v>
      </c>
      <c r="BX626" s="89">
        <v>43514</v>
      </c>
      <c r="BY626" s="89">
        <v>189216</v>
      </c>
      <c r="BZ626" s="112">
        <v>85.048543689320383</v>
      </c>
      <c r="CK626" s="88">
        <v>31500</v>
      </c>
    </row>
    <row r="627" spans="1:89" x14ac:dyDescent="0.15">
      <c r="A627" s="84">
        <v>2</v>
      </c>
      <c r="B627" s="85">
        <v>43528</v>
      </c>
      <c r="C627" s="85">
        <v>43530</v>
      </c>
      <c r="D627" s="85">
        <v>43549</v>
      </c>
      <c r="F627" s="85">
        <v>43537</v>
      </c>
      <c r="G627" s="85">
        <v>43531</v>
      </c>
      <c r="H627" s="85">
        <v>43533</v>
      </c>
      <c r="I627" s="84" t="s">
        <v>401</v>
      </c>
      <c r="J627" s="84">
        <v>1</v>
      </c>
      <c r="L627" s="84">
        <v>0</v>
      </c>
      <c r="M627" s="85">
        <v>43514</v>
      </c>
      <c r="N627" s="85" t="s">
        <v>265</v>
      </c>
      <c r="O627" s="86" t="s">
        <v>340</v>
      </c>
      <c r="P627" s="84" t="s">
        <v>26</v>
      </c>
      <c r="Q627" s="86" t="s">
        <v>144</v>
      </c>
      <c r="R627" s="86" t="s">
        <v>2041</v>
      </c>
      <c r="S627" s="87" t="s">
        <v>2042</v>
      </c>
      <c r="T627" s="87" t="s">
        <v>2043</v>
      </c>
      <c r="U627" s="88">
        <v>355500</v>
      </c>
      <c r="V627" s="88">
        <v>383940</v>
      </c>
      <c r="W627" s="88">
        <v>335500</v>
      </c>
      <c r="X627" s="88">
        <v>362340</v>
      </c>
      <c r="Y627" s="88">
        <v>20000</v>
      </c>
      <c r="Z627" s="88">
        <v>21600</v>
      </c>
      <c r="AA627" s="85">
        <v>43527</v>
      </c>
      <c r="AB627" s="85">
        <v>43530</v>
      </c>
      <c r="AC627" s="85">
        <v>43530</v>
      </c>
      <c r="AD627" s="84">
        <v>0</v>
      </c>
      <c r="AG627" s="84">
        <v>0</v>
      </c>
      <c r="AJ627" s="84">
        <v>0</v>
      </c>
      <c r="AM627" s="84" t="s">
        <v>290</v>
      </c>
      <c r="AN627" s="84" t="s">
        <v>2044</v>
      </c>
      <c r="AR627" s="85">
        <v>43525</v>
      </c>
      <c r="AS627" s="84">
        <v>6001652295</v>
      </c>
      <c r="AT627" s="85">
        <v>43525</v>
      </c>
      <c r="AU627" s="84" t="s">
        <v>2024</v>
      </c>
      <c r="AV627" s="85">
        <v>43530</v>
      </c>
      <c r="AW627" s="123">
        <v>43555</v>
      </c>
      <c r="AX627" s="123">
        <v>43575</v>
      </c>
      <c r="AY627" s="132">
        <v>341280</v>
      </c>
      <c r="AZ627" s="132">
        <f>ROUNDDOWN(AY627+(AY627*MASTER!$A$2/100),0)</f>
        <v>368582</v>
      </c>
      <c r="BA627" s="84" t="s">
        <v>286</v>
      </c>
      <c r="BB627" s="88">
        <v>113800</v>
      </c>
      <c r="BC627" s="88">
        <v>122904</v>
      </c>
      <c r="BD627" s="84" t="s">
        <v>1268</v>
      </c>
      <c r="BG627" s="88">
        <v>0</v>
      </c>
      <c r="BI627" s="84" t="s">
        <v>434</v>
      </c>
      <c r="BJ627" s="88">
        <v>13000</v>
      </c>
      <c r="BK627" s="88">
        <v>14040</v>
      </c>
      <c r="BL627" s="84" t="s">
        <v>1268</v>
      </c>
      <c r="BS627" s="88">
        <v>0</v>
      </c>
      <c r="BV627" s="89">
        <v>362340</v>
      </c>
      <c r="BW627" s="89">
        <v>136944</v>
      </c>
      <c r="BX627" s="89">
        <v>43514</v>
      </c>
      <c r="BY627" s="89">
        <v>225396</v>
      </c>
      <c r="BZ627" s="112">
        <v>62.205663189269742</v>
      </c>
      <c r="CK627" s="88">
        <v>31500</v>
      </c>
    </row>
    <row r="628" spans="1:89" x14ac:dyDescent="0.15">
      <c r="A628" s="84">
        <v>2</v>
      </c>
      <c r="B628" s="85">
        <v>43537</v>
      </c>
      <c r="C628" s="85">
        <v>43544</v>
      </c>
      <c r="D628" s="85">
        <v>43549</v>
      </c>
      <c r="E628" s="85">
        <v>43551</v>
      </c>
      <c r="F628" s="85">
        <v>43551</v>
      </c>
      <c r="G628" s="85">
        <v>43546</v>
      </c>
      <c r="H628" s="85">
        <v>43547</v>
      </c>
      <c r="I628" s="84" t="s">
        <v>401</v>
      </c>
      <c r="J628" s="84">
        <v>1</v>
      </c>
      <c r="L628" s="84">
        <v>0</v>
      </c>
      <c r="M628" s="85">
        <v>43514</v>
      </c>
      <c r="N628" s="85" t="s">
        <v>265</v>
      </c>
      <c r="O628" s="86" t="s">
        <v>340</v>
      </c>
      <c r="P628" s="84" t="s">
        <v>26</v>
      </c>
      <c r="Q628" s="86" t="s">
        <v>144</v>
      </c>
      <c r="R628" s="86" t="s">
        <v>2045</v>
      </c>
      <c r="S628" s="87" t="s">
        <v>2046</v>
      </c>
      <c r="T628" s="87" t="s">
        <v>2047</v>
      </c>
      <c r="U628" s="88">
        <v>157500</v>
      </c>
      <c r="V628" s="88">
        <v>170100</v>
      </c>
      <c r="W628" s="88">
        <v>145500</v>
      </c>
      <c r="X628" s="88">
        <v>157140</v>
      </c>
      <c r="Y628" s="88">
        <v>12000</v>
      </c>
      <c r="Z628" s="88">
        <v>12960</v>
      </c>
      <c r="AA628" s="85">
        <v>43542</v>
      </c>
      <c r="AB628" s="85">
        <v>43544</v>
      </c>
      <c r="AC628" s="85">
        <v>43544</v>
      </c>
      <c r="AD628" s="84">
        <v>0</v>
      </c>
      <c r="AG628" s="84">
        <v>0</v>
      </c>
      <c r="AJ628" s="84">
        <v>0</v>
      </c>
      <c r="AM628" s="84" t="s">
        <v>290</v>
      </c>
      <c r="AN628" s="84" t="s">
        <v>2048</v>
      </c>
      <c r="AR628" s="85">
        <v>43535</v>
      </c>
      <c r="AS628" s="84">
        <v>6001655856</v>
      </c>
      <c r="AT628" s="85">
        <v>43536</v>
      </c>
      <c r="AU628" s="84" t="s">
        <v>1930</v>
      </c>
      <c r="AV628" s="85">
        <v>43544</v>
      </c>
      <c r="AW628" s="123">
        <v>43555</v>
      </c>
      <c r="AX628" s="123">
        <v>43575</v>
      </c>
      <c r="AY628" s="132">
        <v>151200</v>
      </c>
      <c r="AZ628" s="132">
        <f>ROUNDDOWN(AY628+(AY628*MASTER!$A$2/100),0)</f>
        <v>163296</v>
      </c>
      <c r="BA628" s="84" t="s">
        <v>286</v>
      </c>
      <c r="BB628" s="88">
        <v>26000</v>
      </c>
      <c r="BC628" s="88">
        <v>28080</v>
      </c>
      <c r="BD628" s="84" t="s">
        <v>1268</v>
      </c>
      <c r="BG628" s="88">
        <v>0</v>
      </c>
      <c r="BI628" s="84" t="s">
        <v>434</v>
      </c>
      <c r="BJ628" s="88">
        <v>7800</v>
      </c>
      <c r="BK628" s="88">
        <v>8424</v>
      </c>
      <c r="BL628" s="84" t="s">
        <v>1268</v>
      </c>
      <c r="BS628" s="88">
        <v>0</v>
      </c>
      <c r="BV628" s="89">
        <v>157140</v>
      </c>
      <c r="BW628" s="89">
        <v>36504</v>
      </c>
      <c r="BX628" s="89">
        <v>43514</v>
      </c>
      <c r="BY628" s="89">
        <v>120636</v>
      </c>
      <c r="BZ628" s="112">
        <v>76.769759450171833</v>
      </c>
      <c r="CK628" s="88">
        <v>31500</v>
      </c>
    </row>
    <row r="629" spans="1:89" x14ac:dyDescent="0.15">
      <c r="A629" s="84">
        <v>2</v>
      </c>
      <c r="B629" s="85">
        <v>43528</v>
      </c>
      <c r="C629" s="85">
        <v>43531</v>
      </c>
      <c r="D629" s="85">
        <v>43549</v>
      </c>
      <c r="F629" s="85">
        <v>43538</v>
      </c>
      <c r="G629" s="85">
        <v>43531</v>
      </c>
      <c r="H629" s="85">
        <v>43534</v>
      </c>
      <c r="I629" s="84" t="s">
        <v>401</v>
      </c>
      <c r="J629" s="84">
        <v>2</v>
      </c>
      <c r="L629" s="84">
        <v>0</v>
      </c>
      <c r="M629" s="85">
        <v>43514</v>
      </c>
      <c r="N629" s="85" t="s">
        <v>265</v>
      </c>
      <c r="O629" s="86" t="s">
        <v>340</v>
      </c>
      <c r="P629" s="84" t="s">
        <v>26</v>
      </c>
      <c r="Q629" s="86" t="s">
        <v>144</v>
      </c>
      <c r="R629" s="86" t="s">
        <v>2049</v>
      </c>
      <c r="S629" s="87" t="s">
        <v>2050</v>
      </c>
      <c r="T629" s="87" t="s">
        <v>1010</v>
      </c>
      <c r="U629" s="88">
        <v>222000</v>
      </c>
      <c r="V629" s="88">
        <v>239760</v>
      </c>
      <c r="W629" s="88">
        <v>222000</v>
      </c>
      <c r="X629" s="88">
        <v>239760</v>
      </c>
      <c r="Z629" s="88">
        <v>0</v>
      </c>
      <c r="AA629" s="85">
        <v>43529</v>
      </c>
      <c r="AB629" s="85">
        <v>43531</v>
      </c>
      <c r="AC629" s="85">
        <v>43531</v>
      </c>
      <c r="AD629" s="84">
        <v>0</v>
      </c>
      <c r="AG629" s="84">
        <v>0</v>
      </c>
      <c r="AJ629" s="84">
        <v>0</v>
      </c>
      <c r="AM629" s="84" t="s">
        <v>290</v>
      </c>
      <c r="AN629" s="84" t="s">
        <v>2051</v>
      </c>
      <c r="AR629" s="85">
        <v>43525</v>
      </c>
      <c r="AS629" s="84">
        <v>6001652295</v>
      </c>
      <c r="AT629" s="85">
        <v>43525</v>
      </c>
      <c r="AU629" s="84" t="s">
        <v>2024</v>
      </c>
      <c r="AV629" s="85">
        <v>43531</v>
      </c>
      <c r="AW629" s="123">
        <v>43555</v>
      </c>
      <c r="AX629" s="123">
        <v>43575</v>
      </c>
      <c r="AY629" s="132">
        <v>213120</v>
      </c>
      <c r="AZ629" s="132">
        <f>ROUNDDOWN(AY629+(AY629*MASTER!$A$2/100),0)</f>
        <v>230169</v>
      </c>
      <c r="BA629" s="84" t="s">
        <v>286</v>
      </c>
      <c r="BB629" s="88">
        <v>41600</v>
      </c>
      <c r="BC629" s="88">
        <v>44928</v>
      </c>
      <c r="BD629" s="84" t="s">
        <v>1268</v>
      </c>
      <c r="BG629" s="88">
        <v>0</v>
      </c>
      <c r="BK629" s="88">
        <v>0</v>
      </c>
      <c r="BS629" s="88">
        <v>0</v>
      </c>
      <c r="BV629" s="89">
        <v>239760</v>
      </c>
      <c r="BW629" s="89">
        <v>44928</v>
      </c>
      <c r="BX629" s="89">
        <v>43514</v>
      </c>
      <c r="BY629" s="89">
        <v>194832</v>
      </c>
      <c r="BZ629" s="112">
        <v>81.261261261261268</v>
      </c>
      <c r="CK629" s="88">
        <v>31500</v>
      </c>
    </row>
    <row r="630" spans="1:89" x14ac:dyDescent="0.15">
      <c r="A630" s="84">
        <v>2</v>
      </c>
      <c r="B630" s="85">
        <v>43528</v>
      </c>
      <c r="C630" s="85">
        <v>43530</v>
      </c>
      <c r="D630" s="85">
        <v>43571</v>
      </c>
      <c r="F630" s="85">
        <v>43537</v>
      </c>
      <c r="G630" s="85">
        <v>43529</v>
      </c>
      <c r="H630" s="85">
        <v>43533</v>
      </c>
      <c r="I630" s="84" t="s">
        <v>1191</v>
      </c>
      <c r="J630" s="84">
        <v>2</v>
      </c>
      <c r="L630" s="84">
        <v>0</v>
      </c>
      <c r="M630" s="85">
        <v>43514</v>
      </c>
      <c r="N630" s="85" t="s">
        <v>265</v>
      </c>
      <c r="O630" s="86" t="s">
        <v>340</v>
      </c>
      <c r="P630" s="84" t="s">
        <v>26</v>
      </c>
      <c r="Q630" s="86" t="s">
        <v>144</v>
      </c>
      <c r="R630" s="86" t="s">
        <v>2052</v>
      </c>
      <c r="S630" s="87" t="s">
        <v>793</v>
      </c>
      <c r="T630" s="87" t="s">
        <v>594</v>
      </c>
      <c r="U630" s="88">
        <v>254000</v>
      </c>
      <c r="V630" s="88">
        <v>274320</v>
      </c>
      <c r="W630" s="88">
        <v>254000</v>
      </c>
      <c r="X630" s="88">
        <v>274320</v>
      </c>
      <c r="Z630" s="88">
        <v>0</v>
      </c>
      <c r="AA630" s="85">
        <v>43527</v>
      </c>
      <c r="AB630" s="85">
        <v>43530</v>
      </c>
      <c r="AC630" s="85">
        <v>43530</v>
      </c>
      <c r="AD630" s="84">
        <v>0</v>
      </c>
      <c r="AG630" s="84">
        <v>0</v>
      </c>
      <c r="AJ630" s="84">
        <v>0</v>
      </c>
      <c r="AM630" s="84" t="s">
        <v>290</v>
      </c>
      <c r="AN630" s="84" t="s">
        <v>2053</v>
      </c>
      <c r="AR630" s="85">
        <v>43525</v>
      </c>
      <c r="AS630" s="84">
        <v>6001652292</v>
      </c>
      <c r="AT630" s="85">
        <v>43525</v>
      </c>
      <c r="AU630" s="84" t="s">
        <v>1756</v>
      </c>
      <c r="AV630" s="85">
        <v>43530</v>
      </c>
      <c r="AW630" s="123">
        <v>43555</v>
      </c>
      <c r="AX630" s="123">
        <v>43575</v>
      </c>
      <c r="AY630" s="132">
        <v>243840</v>
      </c>
      <c r="AZ630" s="132">
        <f>ROUNDDOWN(AY630+(AY630*MASTER!$A$2/100),0)</f>
        <v>263347</v>
      </c>
      <c r="BA630" s="84" t="s">
        <v>287</v>
      </c>
      <c r="BB630" s="88">
        <v>107600</v>
      </c>
      <c r="BC630" s="88">
        <v>116208</v>
      </c>
      <c r="BD630" s="84" t="s">
        <v>1268</v>
      </c>
      <c r="BG630" s="88">
        <v>0</v>
      </c>
      <c r="BK630" s="88">
        <v>0</v>
      </c>
      <c r="BS630" s="88">
        <v>0</v>
      </c>
      <c r="BV630" s="89">
        <v>274320</v>
      </c>
      <c r="BW630" s="89">
        <v>116208</v>
      </c>
      <c r="BX630" s="89">
        <v>43514</v>
      </c>
      <c r="BY630" s="89">
        <v>158112</v>
      </c>
      <c r="BZ630" s="112">
        <v>57.637795275590555</v>
      </c>
      <c r="CK630" s="88">
        <v>31500</v>
      </c>
    </row>
    <row r="631" spans="1:89" x14ac:dyDescent="0.15">
      <c r="A631" s="84">
        <v>2</v>
      </c>
      <c r="B631" s="85">
        <v>43528</v>
      </c>
      <c r="C631" s="85">
        <v>43531</v>
      </c>
      <c r="D631" s="85">
        <v>43559</v>
      </c>
      <c r="F631" s="85">
        <v>43538</v>
      </c>
      <c r="G631" s="85">
        <v>43532</v>
      </c>
      <c r="H631" s="85">
        <v>43534</v>
      </c>
      <c r="I631" s="84" t="s">
        <v>1191</v>
      </c>
      <c r="J631" s="84">
        <v>2</v>
      </c>
      <c r="L631" s="84">
        <v>0</v>
      </c>
      <c r="M631" s="85">
        <v>43514</v>
      </c>
      <c r="N631" s="85" t="s">
        <v>265</v>
      </c>
      <c r="O631" s="86" t="s">
        <v>340</v>
      </c>
      <c r="P631" s="84" t="s">
        <v>26</v>
      </c>
      <c r="Q631" s="86" t="s">
        <v>144</v>
      </c>
      <c r="R631" s="86" t="s">
        <v>2054</v>
      </c>
      <c r="S631" s="87" t="s">
        <v>1348</v>
      </c>
      <c r="T631" s="87" t="s">
        <v>2055</v>
      </c>
      <c r="U631" s="88">
        <v>351500</v>
      </c>
      <c r="V631" s="88">
        <v>379620</v>
      </c>
      <c r="W631" s="88">
        <v>351500</v>
      </c>
      <c r="X631" s="88">
        <v>379620</v>
      </c>
      <c r="Z631" s="88">
        <v>0</v>
      </c>
      <c r="AA631" s="85">
        <v>43527</v>
      </c>
      <c r="AB631" s="85">
        <v>43531</v>
      </c>
      <c r="AC631" s="85">
        <v>43531</v>
      </c>
      <c r="AD631" s="84">
        <v>0</v>
      </c>
      <c r="AG631" s="84">
        <v>0</v>
      </c>
      <c r="AJ631" s="84">
        <v>0</v>
      </c>
      <c r="AM631" s="84" t="s">
        <v>290</v>
      </c>
      <c r="AN631" s="84" t="s">
        <v>2056</v>
      </c>
      <c r="AR631" s="85">
        <v>43525</v>
      </c>
      <c r="AS631" s="84">
        <v>6001652295</v>
      </c>
      <c r="AT631" s="85">
        <v>43525</v>
      </c>
      <c r="AU631" s="84" t="s">
        <v>2024</v>
      </c>
      <c r="AV631" s="85">
        <v>43531</v>
      </c>
      <c r="AW631" s="123">
        <v>43555</v>
      </c>
      <c r="AX631" s="123">
        <v>43575</v>
      </c>
      <c r="AY631" s="132">
        <v>337440</v>
      </c>
      <c r="AZ631" s="132">
        <f>ROUNDDOWN(AY631+(AY631*MASTER!$A$2/100),0)</f>
        <v>364435</v>
      </c>
      <c r="BA631" s="84" t="s">
        <v>14</v>
      </c>
      <c r="BB631" s="88">
        <v>98800</v>
      </c>
      <c r="BC631" s="88">
        <v>106704</v>
      </c>
      <c r="BD631" s="84" t="s">
        <v>1268</v>
      </c>
      <c r="BG631" s="88">
        <v>0</v>
      </c>
      <c r="BK631" s="88">
        <v>0</v>
      </c>
      <c r="BS631" s="88">
        <v>0</v>
      </c>
      <c r="BV631" s="89">
        <v>379620</v>
      </c>
      <c r="BW631" s="89">
        <v>106704</v>
      </c>
      <c r="BX631" s="89">
        <v>43514</v>
      </c>
      <c r="BY631" s="89">
        <v>272916</v>
      </c>
      <c r="BZ631" s="112">
        <v>71.891891891891888</v>
      </c>
      <c r="CK631" s="88">
        <v>31500</v>
      </c>
    </row>
    <row r="632" spans="1:89" x14ac:dyDescent="0.15">
      <c r="A632" s="84">
        <v>2</v>
      </c>
      <c r="B632" s="85">
        <v>43528</v>
      </c>
      <c r="C632" s="85">
        <v>43531</v>
      </c>
      <c r="F632" s="85">
        <v>43538</v>
      </c>
      <c r="G632" s="85">
        <v>43535</v>
      </c>
      <c r="H632" s="85">
        <v>43534</v>
      </c>
      <c r="I632" s="84" t="s">
        <v>1191</v>
      </c>
      <c r="J632" s="84">
        <v>1</v>
      </c>
      <c r="L632" s="84">
        <v>0</v>
      </c>
      <c r="M632" s="85">
        <v>43514</v>
      </c>
      <c r="N632" s="85" t="s">
        <v>265</v>
      </c>
      <c r="O632" s="86" t="s">
        <v>340</v>
      </c>
      <c r="P632" s="84" t="s">
        <v>26</v>
      </c>
      <c r="Q632" s="86" t="s">
        <v>144</v>
      </c>
      <c r="R632" s="86" t="s">
        <v>2057</v>
      </c>
      <c r="S632" s="87" t="s">
        <v>2058</v>
      </c>
      <c r="T632" s="87" t="s">
        <v>2055</v>
      </c>
      <c r="U632" s="88">
        <v>435500</v>
      </c>
      <c r="V632" s="88">
        <v>470340</v>
      </c>
      <c r="W632" s="88">
        <v>415500</v>
      </c>
      <c r="X632" s="88">
        <v>448740</v>
      </c>
      <c r="Y632" s="88">
        <v>20000</v>
      </c>
      <c r="Z632" s="88">
        <v>21600</v>
      </c>
      <c r="AA632" s="85">
        <v>43527</v>
      </c>
      <c r="AB632" s="85">
        <v>43531</v>
      </c>
      <c r="AC632" s="85">
        <v>43531</v>
      </c>
      <c r="AD632" s="84">
        <v>0</v>
      </c>
      <c r="AG632" s="84">
        <v>0</v>
      </c>
      <c r="AJ632" s="84">
        <v>0</v>
      </c>
      <c r="AM632" s="84" t="s">
        <v>290</v>
      </c>
      <c r="AN632" s="84" t="s">
        <v>2059</v>
      </c>
      <c r="AR632" s="85">
        <v>43525</v>
      </c>
      <c r="AS632" s="84">
        <v>6001652295</v>
      </c>
      <c r="AT632" s="85">
        <v>43525</v>
      </c>
      <c r="AU632" s="84" t="s">
        <v>2024</v>
      </c>
      <c r="AV632" s="85">
        <v>43531</v>
      </c>
      <c r="AW632" s="123">
        <v>43555</v>
      </c>
      <c r="AX632" s="123">
        <v>43575</v>
      </c>
      <c r="AY632" s="132">
        <v>418080</v>
      </c>
      <c r="AZ632" s="132">
        <f>ROUNDDOWN(AY632+(AY632*MASTER!$A$2/100),0)</f>
        <v>451526</v>
      </c>
      <c r="BA632" s="84" t="s">
        <v>14</v>
      </c>
      <c r="BB632" s="88">
        <v>151400</v>
      </c>
      <c r="BC632" s="88">
        <v>163512</v>
      </c>
      <c r="BD632" s="84" t="s">
        <v>1268</v>
      </c>
      <c r="BG632" s="88">
        <v>0</v>
      </c>
      <c r="BI632" s="84" t="s">
        <v>434</v>
      </c>
      <c r="BJ632" s="88">
        <v>13000</v>
      </c>
      <c r="BK632" s="88">
        <v>14040</v>
      </c>
      <c r="BL632" s="84" t="s">
        <v>1268</v>
      </c>
      <c r="BS632" s="88">
        <v>0</v>
      </c>
      <c r="BV632" s="89">
        <v>448740</v>
      </c>
      <c r="BW632" s="89">
        <v>177552</v>
      </c>
      <c r="BX632" s="89">
        <v>43514</v>
      </c>
      <c r="BY632" s="89">
        <v>271188</v>
      </c>
      <c r="BZ632" s="112">
        <v>60.433212996389898</v>
      </c>
      <c r="CK632" s="88">
        <v>31500</v>
      </c>
    </row>
    <row r="633" spans="1:89" x14ac:dyDescent="0.15">
      <c r="A633" s="84">
        <v>1</v>
      </c>
      <c r="B633" s="85">
        <v>43528</v>
      </c>
      <c r="C633" s="85">
        <v>43531</v>
      </c>
      <c r="F633" s="85">
        <v>43538</v>
      </c>
      <c r="G633" s="85">
        <v>43535</v>
      </c>
      <c r="H633" s="85">
        <v>43534</v>
      </c>
      <c r="I633" s="84" t="s">
        <v>1191</v>
      </c>
      <c r="J633" s="84">
        <v>1</v>
      </c>
      <c r="L633" s="84">
        <v>0</v>
      </c>
      <c r="M633" s="85">
        <v>43514</v>
      </c>
      <c r="N633" s="85" t="s">
        <v>265</v>
      </c>
      <c r="O633" s="86" t="s">
        <v>340</v>
      </c>
      <c r="P633" s="84" t="s">
        <v>26</v>
      </c>
      <c r="Q633" s="86" t="s">
        <v>144</v>
      </c>
      <c r="R633" s="86" t="s">
        <v>2060</v>
      </c>
      <c r="S633" s="87" t="s">
        <v>2061</v>
      </c>
      <c r="T633" s="87" t="s">
        <v>2062</v>
      </c>
      <c r="U633" s="88">
        <v>120000</v>
      </c>
      <c r="V633" s="88">
        <v>129600</v>
      </c>
      <c r="W633" s="88">
        <v>108000</v>
      </c>
      <c r="X633" s="88">
        <v>116640</v>
      </c>
      <c r="Y633" s="88">
        <v>12000</v>
      </c>
      <c r="Z633" s="88">
        <v>12960</v>
      </c>
      <c r="AA633" s="85">
        <v>43527</v>
      </c>
      <c r="AB633" s="85">
        <v>43531</v>
      </c>
      <c r="AC633" s="85">
        <v>43531</v>
      </c>
      <c r="AD633" s="84">
        <v>0</v>
      </c>
      <c r="AG633" s="84">
        <v>0</v>
      </c>
      <c r="AJ633" s="84">
        <v>0</v>
      </c>
      <c r="AM633" s="84" t="s">
        <v>290</v>
      </c>
      <c r="AN633" s="84" t="s">
        <v>2063</v>
      </c>
      <c r="AR633" s="85">
        <v>43525</v>
      </c>
      <c r="AS633" s="84">
        <v>6001652295</v>
      </c>
      <c r="AT633" s="85">
        <v>43525</v>
      </c>
      <c r="AU633" s="84" t="s">
        <v>2024</v>
      </c>
      <c r="AV633" s="85">
        <v>43531</v>
      </c>
      <c r="AW633" s="123">
        <v>43555</v>
      </c>
      <c r="AX633" s="123">
        <v>43575</v>
      </c>
      <c r="AY633" s="132">
        <v>115200</v>
      </c>
      <c r="AZ633" s="132">
        <f>ROUNDDOWN(AY633+(AY633*MASTER!$A$2/100),0)</f>
        <v>124416</v>
      </c>
      <c r="BA633" s="84" t="s">
        <v>778</v>
      </c>
      <c r="BC633" s="88">
        <v>0</v>
      </c>
      <c r="BG633" s="88">
        <v>0</v>
      </c>
      <c r="BI633" s="84" t="s">
        <v>276</v>
      </c>
      <c r="BJ633" s="88">
        <v>7800</v>
      </c>
      <c r="BK633" s="88">
        <v>8424</v>
      </c>
      <c r="BL633" s="84" t="s">
        <v>1567</v>
      </c>
      <c r="BS633" s="88">
        <v>0</v>
      </c>
      <c r="BV633" s="89">
        <v>116640</v>
      </c>
      <c r="BW633" s="89">
        <v>8424</v>
      </c>
      <c r="BX633" s="89">
        <v>43514</v>
      </c>
      <c r="BY633" s="89">
        <v>108216</v>
      </c>
      <c r="BZ633" s="112">
        <v>92.777777777777786</v>
      </c>
      <c r="CK633" s="88">
        <v>31500</v>
      </c>
    </row>
    <row r="634" spans="1:89" s="151" customFormat="1" x14ac:dyDescent="0.15">
      <c r="A634" s="141">
        <v>3</v>
      </c>
      <c r="B634" s="142"/>
      <c r="C634" s="142" t="s">
        <v>338</v>
      </c>
      <c r="D634" s="142"/>
      <c r="E634" s="142"/>
      <c r="F634" s="142" t="s">
        <v>338</v>
      </c>
      <c r="G634" s="142"/>
      <c r="H634" s="142" t="s">
        <v>338</v>
      </c>
      <c r="I634" s="141"/>
      <c r="J634" s="141">
        <v>2</v>
      </c>
      <c r="K634" s="142"/>
      <c r="L634" s="141">
        <v>0</v>
      </c>
      <c r="M634" s="142">
        <v>43514</v>
      </c>
      <c r="N634" s="142" t="s">
        <v>265</v>
      </c>
      <c r="O634" s="143" t="s">
        <v>340</v>
      </c>
      <c r="P634" s="141" t="s">
        <v>26</v>
      </c>
      <c r="Q634" s="143" t="s">
        <v>144</v>
      </c>
      <c r="R634" s="143" t="s">
        <v>2064</v>
      </c>
      <c r="S634" s="144" t="s">
        <v>351</v>
      </c>
      <c r="T634" s="144" t="s">
        <v>2065</v>
      </c>
      <c r="U634" s="145">
        <v>40000</v>
      </c>
      <c r="V634" s="145">
        <v>43200</v>
      </c>
      <c r="W634" s="145">
        <v>40000</v>
      </c>
      <c r="X634" s="145">
        <v>43200</v>
      </c>
      <c r="Y634" s="145"/>
      <c r="Z634" s="145">
        <v>0</v>
      </c>
      <c r="AA634" s="142"/>
      <c r="AB634" s="142"/>
      <c r="AC634" s="142"/>
      <c r="AD634" s="141">
        <v>0</v>
      </c>
      <c r="AE634" s="141"/>
      <c r="AF634" s="141"/>
      <c r="AG634" s="141">
        <v>0</v>
      </c>
      <c r="AH634" s="141"/>
      <c r="AI634" s="141"/>
      <c r="AJ634" s="141">
        <v>0</v>
      </c>
      <c r="AK634" s="141"/>
      <c r="AL634" s="141"/>
      <c r="AM634" s="141"/>
      <c r="AN634" s="141"/>
      <c r="AO634" s="142"/>
      <c r="AP634" s="141"/>
      <c r="AQ634" s="141"/>
      <c r="AR634" s="142"/>
      <c r="AS634" s="141"/>
      <c r="AT634" s="142"/>
      <c r="AU634" s="141"/>
      <c r="AV634" s="142"/>
      <c r="AW634" s="146"/>
      <c r="AX634" s="146"/>
      <c r="AY634" s="147">
        <v>38400</v>
      </c>
      <c r="AZ634" s="132">
        <f>ROUNDDOWN(AY634+(AY634*MASTER!$A$2/100),0)</f>
        <v>41472</v>
      </c>
      <c r="BA634" s="141"/>
      <c r="BB634" s="145"/>
      <c r="BC634" s="145">
        <v>0</v>
      </c>
      <c r="BD634" s="141"/>
      <c r="BE634" s="141"/>
      <c r="BF634" s="145"/>
      <c r="BG634" s="145">
        <v>0</v>
      </c>
      <c r="BH634" s="141"/>
      <c r="BI634" s="141"/>
      <c r="BJ634" s="145"/>
      <c r="BK634" s="145">
        <v>0</v>
      </c>
      <c r="BL634" s="141"/>
      <c r="BM634" s="145"/>
      <c r="BN634" s="145"/>
      <c r="BO634" s="145"/>
      <c r="BP634" s="145"/>
      <c r="BQ634" s="145"/>
      <c r="BR634" s="145"/>
      <c r="BS634" s="145">
        <v>0</v>
      </c>
      <c r="BT634" s="148"/>
      <c r="BU634" s="148"/>
      <c r="BV634" s="149">
        <v>43200</v>
      </c>
      <c r="BW634" s="149">
        <v>0</v>
      </c>
      <c r="BX634" s="149">
        <v>43514</v>
      </c>
      <c r="BY634" s="149">
        <v>43200</v>
      </c>
      <c r="BZ634" s="150">
        <v>100</v>
      </c>
      <c r="CA634" s="141"/>
      <c r="CB634" s="141"/>
      <c r="CC634" s="141"/>
      <c r="CD634" s="144" t="s">
        <v>3631</v>
      </c>
      <c r="CE634" s="142"/>
      <c r="CF634" s="142"/>
      <c r="CG634" s="142"/>
      <c r="CH634" s="142"/>
      <c r="CI634" s="142"/>
      <c r="CJ634" s="142"/>
      <c r="CK634" s="145"/>
    </row>
    <row r="635" spans="1:89" s="151" customFormat="1" x14ac:dyDescent="0.15">
      <c r="A635" s="141">
        <v>3</v>
      </c>
      <c r="B635" s="142"/>
      <c r="C635" s="142" t="s">
        <v>338</v>
      </c>
      <c r="D635" s="142"/>
      <c r="E635" s="142"/>
      <c r="F635" s="142" t="s">
        <v>338</v>
      </c>
      <c r="G635" s="142"/>
      <c r="H635" s="142" t="s">
        <v>338</v>
      </c>
      <c r="I635" s="141"/>
      <c r="J635" s="141">
        <v>2</v>
      </c>
      <c r="K635" s="142"/>
      <c r="L635" s="141">
        <v>0</v>
      </c>
      <c r="M635" s="142">
        <v>43514</v>
      </c>
      <c r="N635" s="142" t="s">
        <v>265</v>
      </c>
      <c r="O635" s="143" t="s">
        <v>340</v>
      </c>
      <c r="P635" s="141" t="s">
        <v>26</v>
      </c>
      <c r="Q635" s="143" t="s">
        <v>144</v>
      </c>
      <c r="R635" s="143" t="s">
        <v>2066</v>
      </c>
      <c r="S635" s="144" t="s">
        <v>351</v>
      </c>
      <c r="T635" s="144" t="s">
        <v>2067</v>
      </c>
      <c r="U635" s="145">
        <v>40000</v>
      </c>
      <c r="V635" s="145">
        <v>43200</v>
      </c>
      <c r="W635" s="145">
        <v>40000</v>
      </c>
      <c r="X635" s="145">
        <v>43200</v>
      </c>
      <c r="Y635" s="145"/>
      <c r="Z635" s="145">
        <v>0</v>
      </c>
      <c r="AA635" s="142"/>
      <c r="AB635" s="142"/>
      <c r="AC635" s="142"/>
      <c r="AD635" s="141">
        <v>0</v>
      </c>
      <c r="AE635" s="141"/>
      <c r="AF635" s="141"/>
      <c r="AG635" s="141">
        <v>0</v>
      </c>
      <c r="AH635" s="141"/>
      <c r="AI635" s="141"/>
      <c r="AJ635" s="141">
        <v>0</v>
      </c>
      <c r="AK635" s="141"/>
      <c r="AL635" s="141"/>
      <c r="AM635" s="141"/>
      <c r="AN635" s="141"/>
      <c r="AO635" s="142"/>
      <c r="AP635" s="141"/>
      <c r="AQ635" s="141"/>
      <c r="AR635" s="142"/>
      <c r="AS635" s="141"/>
      <c r="AT635" s="142"/>
      <c r="AU635" s="141"/>
      <c r="AV635" s="142"/>
      <c r="AW635" s="146"/>
      <c r="AX635" s="146"/>
      <c r="AY635" s="147">
        <v>38400</v>
      </c>
      <c r="AZ635" s="132">
        <f>ROUNDDOWN(AY635+(AY635*MASTER!$A$2/100),0)</f>
        <v>41472</v>
      </c>
      <c r="BA635" s="141"/>
      <c r="BB635" s="145"/>
      <c r="BC635" s="145">
        <v>0</v>
      </c>
      <c r="BD635" s="141"/>
      <c r="BE635" s="141"/>
      <c r="BF635" s="145"/>
      <c r="BG635" s="145">
        <v>0</v>
      </c>
      <c r="BH635" s="141"/>
      <c r="BI635" s="141"/>
      <c r="BJ635" s="145"/>
      <c r="BK635" s="145">
        <v>0</v>
      </c>
      <c r="BL635" s="141"/>
      <c r="BM635" s="145"/>
      <c r="BN635" s="145"/>
      <c r="BO635" s="145"/>
      <c r="BP635" s="145"/>
      <c r="BQ635" s="145"/>
      <c r="BR635" s="145"/>
      <c r="BS635" s="145">
        <v>0</v>
      </c>
      <c r="BT635" s="148"/>
      <c r="BU635" s="148"/>
      <c r="BV635" s="149">
        <v>43200</v>
      </c>
      <c r="BW635" s="149">
        <v>0</v>
      </c>
      <c r="BX635" s="149">
        <v>43514</v>
      </c>
      <c r="BY635" s="149">
        <v>43200</v>
      </c>
      <c r="BZ635" s="150">
        <v>100</v>
      </c>
      <c r="CA635" s="141"/>
      <c r="CB635" s="141"/>
      <c r="CC635" s="141"/>
      <c r="CD635" s="144" t="s">
        <v>2068</v>
      </c>
      <c r="CE635" s="142"/>
      <c r="CF635" s="142"/>
      <c r="CG635" s="142"/>
      <c r="CH635" s="142"/>
      <c r="CI635" s="142"/>
      <c r="CJ635" s="142"/>
      <c r="CK635" s="145"/>
    </row>
    <row r="636" spans="1:89" s="151" customFormat="1" x14ac:dyDescent="0.15">
      <c r="A636" s="141">
        <v>3</v>
      </c>
      <c r="B636" s="142"/>
      <c r="C636" s="142" t="s">
        <v>338</v>
      </c>
      <c r="D636" s="142"/>
      <c r="E636" s="142"/>
      <c r="F636" s="142" t="s">
        <v>338</v>
      </c>
      <c r="G636" s="142"/>
      <c r="H636" s="142" t="s">
        <v>338</v>
      </c>
      <c r="I636" s="141"/>
      <c r="J636" s="141">
        <v>2</v>
      </c>
      <c r="K636" s="142"/>
      <c r="L636" s="141">
        <v>0</v>
      </c>
      <c r="M636" s="142">
        <v>43514</v>
      </c>
      <c r="N636" s="142" t="s">
        <v>265</v>
      </c>
      <c r="O636" s="143" t="s">
        <v>340</v>
      </c>
      <c r="P636" s="141" t="s">
        <v>26</v>
      </c>
      <c r="Q636" s="143" t="s">
        <v>144</v>
      </c>
      <c r="R636" s="143" t="s">
        <v>2069</v>
      </c>
      <c r="S636" s="144" t="s">
        <v>351</v>
      </c>
      <c r="T636" s="144" t="s">
        <v>2070</v>
      </c>
      <c r="U636" s="145">
        <v>40000</v>
      </c>
      <c r="V636" s="145">
        <v>43200</v>
      </c>
      <c r="W636" s="145">
        <v>40000</v>
      </c>
      <c r="X636" s="145">
        <v>43200</v>
      </c>
      <c r="Y636" s="145"/>
      <c r="Z636" s="145">
        <v>0</v>
      </c>
      <c r="AA636" s="142"/>
      <c r="AB636" s="142"/>
      <c r="AC636" s="142"/>
      <c r="AD636" s="141">
        <v>0</v>
      </c>
      <c r="AE636" s="141"/>
      <c r="AF636" s="141"/>
      <c r="AG636" s="141">
        <v>0</v>
      </c>
      <c r="AH636" s="141"/>
      <c r="AI636" s="141"/>
      <c r="AJ636" s="141">
        <v>0</v>
      </c>
      <c r="AK636" s="141"/>
      <c r="AL636" s="141"/>
      <c r="AM636" s="141"/>
      <c r="AN636" s="141"/>
      <c r="AO636" s="142"/>
      <c r="AP636" s="141"/>
      <c r="AQ636" s="141"/>
      <c r="AR636" s="142"/>
      <c r="AS636" s="141"/>
      <c r="AT636" s="142"/>
      <c r="AU636" s="141"/>
      <c r="AV636" s="142"/>
      <c r="AW636" s="146"/>
      <c r="AX636" s="146"/>
      <c r="AY636" s="147">
        <v>38400</v>
      </c>
      <c r="AZ636" s="132">
        <f>ROUNDDOWN(AY636+(AY636*MASTER!$A$2/100),0)</f>
        <v>41472</v>
      </c>
      <c r="BA636" s="141"/>
      <c r="BB636" s="145"/>
      <c r="BC636" s="145">
        <v>0</v>
      </c>
      <c r="BD636" s="141"/>
      <c r="BE636" s="141"/>
      <c r="BF636" s="145"/>
      <c r="BG636" s="145">
        <v>0</v>
      </c>
      <c r="BH636" s="141"/>
      <c r="BI636" s="141"/>
      <c r="BJ636" s="145"/>
      <c r="BK636" s="145">
        <v>0</v>
      </c>
      <c r="BL636" s="141"/>
      <c r="BM636" s="145"/>
      <c r="BN636" s="145"/>
      <c r="BO636" s="145"/>
      <c r="BP636" s="145"/>
      <c r="BQ636" s="145"/>
      <c r="BR636" s="145"/>
      <c r="BS636" s="145">
        <v>0</v>
      </c>
      <c r="BT636" s="148"/>
      <c r="BU636" s="148"/>
      <c r="BV636" s="149">
        <v>43200</v>
      </c>
      <c r="BW636" s="149">
        <v>0</v>
      </c>
      <c r="BX636" s="149">
        <v>43514</v>
      </c>
      <c r="BY636" s="149">
        <v>43200</v>
      </c>
      <c r="BZ636" s="150">
        <v>100</v>
      </c>
      <c r="CA636" s="141"/>
      <c r="CB636" s="141"/>
      <c r="CC636" s="141"/>
      <c r="CD636" s="144" t="s">
        <v>2071</v>
      </c>
      <c r="CE636" s="142"/>
      <c r="CF636" s="142"/>
      <c r="CG636" s="142"/>
      <c r="CH636" s="142"/>
      <c r="CI636" s="142"/>
      <c r="CJ636" s="142"/>
      <c r="CK636" s="145"/>
    </row>
    <row r="637" spans="1:89" x14ac:dyDescent="0.15">
      <c r="A637" s="84">
        <v>2</v>
      </c>
      <c r="B637" s="85">
        <v>43523</v>
      </c>
      <c r="C637" s="85">
        <v>43521</v>
      </c>
      <c r="D637" s="85">
        <v>43515</v>
      </c>
      <c r="E637" s="85">
        <v>43515</v>
      </c>
      <c r="F637" s="85" t="s">
        <v>338</v>
      </c>
      <c r="G637" s="85">
        <v>43515</v>
      </c>
      <c r="H637" s="85" t="s">
        <v>338</v>
      </c>
      <c r="I637" s="84" t="s">
        <v>380</v>
      </c>
      <c r="J637" s="84">
        <v>2</v>
      </c>
      <c r="L637" s="84">
        <v>0</v>
      </c>
      <c r="M637" s="85">
        <v>43514</v>
      </c>
      <c r="N637" s="85" t="s">
        <v>265</v>
      </c>
      <c r="O637" s="86" t="s">
        <v>340</v>
      </c>
      <c r="P637" s="84" t="s">
        <v>6</v>
      </c>
      <c r="Q637" s="86" t="s">
        <v>144</v>
      </c>
      <c r="R637" s="86" t="s">
        <v>2072</v>
      </c>
      <c r="S637" s="87" t="s">
        <v>593</v>
      </c>
      <c r="T637" s="87" t="s">
        <v>342</v>
      </c>
      <c r="U637" s="88">
        <v>35000</v>
      </c>
      <c r="V637" s="88">
        <v>37800</v>
      </c>
      <c r="W637" s="88">
        <v>35000</v>
      </c>
      <c r="X637" s="88">
        <v>37800</v>
      </c>
      <c r="Z637" s="88">
        <v>0</v>
      </c>
      <c r="AA637" s="85">
        <v>43514</v>
      </c>
      <c r="AB637" s="85">
        <v>43514</v>
      </c>
      <c r="AD637" s="84">
        <v>0</v>
      </c>
      <c r="AG637" s="84">
        <v>0</v>
      </c>
      <c r="AJ637" s="84">
        <v>0</v>
      </c>
      <c r="AR637" s="85">
        <v>43518</v>
      </c>
      <c r="AS637" s="84">
        <v>6001650218</v>
      </c>
      <c r="AT637" s="85">
        <v>43521</v>
      </c>
      <c r="AU637" s="84" t="s">
        <v>1906</v>
      </c>
      <c r="AV637" s="85">
        <v>43521</v>
      </c>
      <c r="AW637" s="123">
        <v>43524</v>
      </c>
      <c r="AX637" s="123">
        <v>43544</v>
      </c>
      <c r="AY637" s="132">
        <v>33600</v>
      </c>
      <c r="AZ637" s="132">
        <f>ROUNDDOWN(AY637+(AY637*MASTER!$A$2/100),0)</f>
        <v>36288</v>
      </c>
      <c r="BA637" s="84" t="s">
        <v>14</v>
      </c>
      <c r="BB637" s="88">
        <v>28000</v>
      </c>
      <c r="BC637" s="88">
        <v>30240</v>
      </c>
      <c r="BD637" s="84" t="s">
        <v>1233</v>
      </c>
      <c r="BG637" s="88">
        <v>0</v>
      </c>
      <c r="BK637" s="88">
        <v>0</v>
      </c>
      <c r="BS637" s="88">
        <v>0</v>
      </c>
      <c r="BV637" s="89">
        <v>37800</v>
      </c>
      <c r="BW637" s="89">
        <v>30240</v>
      </c>
      <c r="BX637" s="89">
        <v>43514</v>
      </c>
      <c r="BY637" s="89">
        <v>7560</v>
      </c>
      <c r="BZ637" s="112">
        <v>20</v>
      </c>
    </row>
    <row r="638" spans="1:89" s="151" customFormat="1" x14ac:dyDescent="0.15">
      <c r="A638" s="141">
        <v>3</v>
      </c>
      <c r="B638" s="142"/>
      <c r="C638" s="142" t="s">
        <v>338</v>
      </c>
      <c r="D638" s="142"/>
      <c r="E638" s="142"/>
      <c r="F638" s="142" t="s">
        <v>338</v>
      </c>
      <c r="G638" s="142"/>
      <c r="H638" s="142" t="s">
        <v>338</v>
      </c>
      <c r="I638" s="141"/>
      <c r="J638" s="141">
        <v>2</v>
      </c>
      <c r="K638" s="142"/>
      <c r="L638" s="141">
        <v>0</v>
      </c>
      <c r="M638" s="142">
        <v>43515</v>
      </c>
      <c r="N638" s="142" t="s">
        <v>264</v>
      </c>
      <c r="O638" s="143" t="s">
        <v>340</v>
      </c>
      <c r="P638" s="141" t="s">
        <v>272</v>
      </c>
      <c r="Q638" s="143" t="s">
        <v>144</v>
      </c>
      <c r="R638" s="143" t="s">
        <v>2073</v>
      </c>
      <c r="S638" s="144" t="s">
        <v>387</v>
      </c>
      <c r="T638" s="144" t="s">
        <v>1887</v>
      </c>
      <c r="U638" s="145">
        <v>1080000</v>
      </c>
      <c r="V638" s="145">
        <v>1166400</v>
      </c>
      <c r="W638" s="145">
        <v>1080000</v>
      </c>
      <c r="X638" s="145">
        <v>1166400</v>
      </c>
      <c r="Y638" s="145"/>
      <c r="Z638" s="145">
        <v>0</v>
      </c>
      <c r="AA638" s="142"/>
      <c r="AB638" s="142"/>
      <c r="AC638" s="142"/>
      <c r="AD638" s="141">
        <v>0</v>
      </c>
      <c r="AE638" s="141"/>
      <c r="AF638" s="141"/>
      <c r="AG638" s="141">
        <v>0</v>
      </c>
      <c r="AH638" s="141"/>
      <c r="AI638" s="141"/>
      <c r="AJ638" s="141">
        <v>0</v>
      </c>
      <c r="AK638" s="141"/>
      <c r="AL638" s="141"/>
      <c r="AM638" s="141"/>
      <c r="AN638" s="141"/>
      <c r="AO638" s="142"/>
      <c r="AP638" s="141"/>
      <c r="AQ638" s="141"/>
      <c r="AR638" s="142"/>
      <c r="AS638" s="141"/>
      <c r="AT638" s="142"/>
      <c r="AU638" s="141"/>
      <c r="AV638" s="142"/>
      <c r="AW638" s="146"/>
      <c r="AX638" s="146"/>
      <c r="AY638" s="147">
        <v>1080000</v>
      </c>
      <c r="AZ638" s="132">
        <f>ROUNDDOWN(AY638+(AY638*MASTER!$A$2/100),0)</f>
        <v>1166400</v>
      </c>
      <c r="BA638" s="141"/>
      <c r="BB638" s="145"/>
      <c r="BC638" s="145">
        <v>0</v>
      </c>
      <c r="BD638" s="141"/>
      <c r="BE638" s="141"/>
      <c r="BF638" s="145"/>
      <c r="BG638" s="145">
        <v>0</v>
      </c>
      <c r="BH638" s="141"/>
      <c r="BI638" s="141"/>
      <c r="BJ638" s="145"/>
      <c r="BK638" s="145">
        <v>0</v>
      </c>
      <c r="BL638" s="141"/>
      <c r="BM638" s="145"/>
      <c r="BN638" s="145"/>
      <c r="BO638" s="145"/>
      <c r="BP638" s="145"/>
      <c r="BQ638" s="145"/>
      <c r="BR638" s="145"/>
      <c r="BS638" s="145">
        <v>0</v>
      </c>
      <c r="BT638" s="148"/>
      <c r="BU638" s="148"/>
      <c r="BV638" s="149">
        <v>1166400</v>
      </c>
      <c r="BW638" s="149">
        <v>0</v>
      </c>
      <c r="BX638" s="149">
        <v>43515</v>
      </c>
      <c r="BY638" s="149">
        <v>1166400</v>
      </c>
      <c r="BZ638" s="150">
        <v>100</v>
      </c>
      <c r="CA638" s="141"/>
      <c r="CB638" s="141"/>
      <c r="CC638" s="141"/>
      <c r="CD638" s="144"/>
      <c r="CE638" s="142"/>
      <c r="CF638" s="142"/>
      <c r="CG638" s="142"/>
      <c r="CH638" s="142"/>
      <c r="CI638" s="142"/>
      <c r="CJ638" s="142"/>
      <c r="CK638" s="145"/>
    </row>
    <row r="639" spans="1:89" x14ac:dyDescent="0.15">
      <c r="A639" s="84">
        <v>2</v>
      </c>
      <c r="B639" s="85">
        <v>43523</v>
      </c>
      <c r="C639" s="85">
        <v>43521</v>
      </c>
      <c r="D639" s="85">
        <v>43515</v>
      </c>
      <c r="E639" s="85">
        <v>43515</v>
      </c>
      <c r="F639" s="85" t="s">
        <v>338</v>
      </c>
      <c r="G639" s="85">
        <v>43515</v>
      </c>
      <c r="H639" s="85" t="s">
        <v>338</v>
      </c>
      <c r="I639" s="84" t="s">
        <v>380</v>
      </c>
      <c r="J639" s="84">
        <v>2</v>
      </c>
      <c r="L639" s="84">
        <v>0</v>
      </c>
      <c r="M639" s="85">
        <v>43515</v>
      </c>
      <c r="N639" s="85" t="s">
        <v>265</v>
      </c>
      <c r="O639" s="86" t="s">
        <v>340</v>
      </c>
      <c r="P639" s="84" t="s">
        <v>6</v>
      </c>
      <c r="Q639" s="86" t="s">
        <v>144</v>
      </c>
      <c r="R639" s="86" t="s">
        <v>2074</v>
      </c>
      <c r="S639" s="87" t="s">
        <v>2075</v>
      </c>
      <c r="T639" s="87" t="s">
        <v>342</v>
      </c>
      <c r="U639" s="88">
        <v>35000</v>
      </c>
      <c r="V639" s="88">
        <v>37800</v>
      </c>
      <c r="W639" s="88">
        <v>35000</v>
      </c>
      <c r="X639" s="88">
        <v>37800</v>
      </c>
      <c r="Z639" s="88">
        <v>0</v>
      </c>
      <c r="AA639" s="85">
        <v>43511</v>
      </c>
      <c r="AB639" s="85">
        <v>43511</v>
      </c>
      <c r="AD639" s="84">
        <v>0</v>
      </c>
      <c r="AG639" s="84">
        <v>0</v>
      </c>
      <c r="AJ639" s="84">
        <v>0</v>
      </c>
      <c r="AN639" s="84" t="s">
        <v>338</v>
      </c>
      <c r="AR639" s="85">
        <v>43518</v>
      </c>
      <c r="AS639" s="84">
        <v>6001650419</v>
      </c>
      <c r="AT639" s="85">
        <v>43521</v>
      </c>
      <c r="AU639" s="84" t="s">
        <v>2076</v>
      </c>
      <c r="AV639" s="85">
        <v>43521</v>
      </c>
      <c r="AW639" s="123">
        <v>43524</v>
      </c>
      <c r="AX639" s="123">
        <v>43544</v>
      </c>
      <c r="AY639" s="132">
        <v>33600</v>
      </c>
      <c r="AZ639" s="132">
        <f>ROUNDDOWN(AY639+(AY639*MASTER!$A$2/100),0)</f>
        <v>36288</v>
      </c>
      <c r="BA639" s="84" t="s">
        <v>286</v>
      </c>
      <c r="BB639" s="88">
        <v>22000</v>
      </c>
      <c r="BC639" s="88">
        <v>23760</v>
      </c>
      <c r="BD639" s="84" t="s">
        <v>1233</v>
      </c>
      <c r="BG639" s="88">
        <v>0</v>
      </c>
      <c r="BK639" s="88">
        <v>0</v>
      </c>
      <c r="BS639" s="88">
        <v>0</v>
      </c>
      <c r="BV639" s="89">
        <v>37800</v>
      </c>
      <c r="BW639" s="89">
        <v>23760</v>
      </c>
      <c r="BX639" s="89">
        <v>43515</v>
      </c>
      <c r="BY639" s="89">
        <v>14040</v>
      </c>
      <c r="BZ639" s="112">
        <v>37.142857142857146</v>
      </c>
      <c r="CK639" s="88">
        <v>0</v>
      </c>
    </row>
    <row r="640" spans="1:89" x14ac:dyDescent="0.15">
      <c r="A640" s="84">
        <v>2</v>
      </c>
      <c r="B640" s="85">
        <v>43531</v>
      </c>
      <c r="C640" s="85">
        <v>43537</v>
      </c>
      <c r="D640" s="85">
        <v>43552</v>
      </c>
      <c r="F640" s="85">
        <v>43544</v>
      </c>
      <c r="G640" s="85">
        <v>43537</v>
      </c>
      <c r="H640" s="85">
        <v>43540</v>
      </c>
      <c r="I640" s="84" t="s">
        <v>401</v>
      </c>
      <c r="J640" s="84">
        <v>1</v>
      </c>
      <c r="L640" s="84">
        <v>0</v>
      </c>
      <c r="M640" s="85">
        <v>43515</v>
      </c>
      <c r="N640" s="85" t="s">
        <v>265</v>
      </c>
      <c r="O640" s="86" t="s">
        <v>340</v>
      </c>
      <c r="P640" s="84" t="s">
        <v>26</v>
      </c>
      <c r="Q640" s="86" t="s">
        <v>144</v>
      </c>
      <c r="R640" s="86" t="s">
        <v>2077</v>
      </c>
      <c r="S640" s="87" t="s">
        <v>1467</v>
      </c>
      <c r="T640" s="87" t="s">
        <v>594</v>
      </c>
      <c r="U640" s="88">
        <v>290000</v>
      </c>
      <c r="V640" s="88">
        <v>313200</v>
      </c>
      <c r="W640" s="88">
        <v>270000</v>
      </c>
      <c r="X640" s="88">
        <v>291600</v>
      </c>
      <c r="Y640" s="88">
        <v>20000</v>
      </c>
      <c r="Z640" s="88">
        <v>21600</v>
      </c>
      <c r="AA640" s="85">
        <v>43534</v>
      </c>
      <c r="AB640" s="85">
        <v>43537</v>
      </c>
      <c r="AC640" s="85">
        <v>43537</v>
      </c>
      <c r="AD640" s="84">
        <v>0</v>
      </c>
      <c r="AG640" s="84">
        <v>0</v>
      </c>
      <c r="AJ640" s="84">
        <v>0</v>
      </c>
      <c r="AM640" s="84" t="s">
        <v>290</v>
      </c>
      <c r="AN640" s="84" t="s">
        <v>2078</v>
      </c>
      <c r="AR640" s="85">
        <v>43529</v>
      </c>
      <c r="AS640" s="84">
        <v>6001653251</v>
      </c>
      <c r="AT640" s="85">
        <v>43531</v>
      </c>
      <c r="AU640" s="84" t="s">
        <v>1863</v>
      </c>
      <c r="AV640" s="85">
        <v>43537</v>
      </c>
      <c r="AW640" s="123">
        <v>43555</v>
      </c>
      <c r="AX640" s="123">
        <v>43575</v>
      </c>
      <c r="AY640" s="132">
        <v>278400</v>
      </c>
      <c r="AZ640" s="132">
        <f>ROUNDDOWN(AY640+(AY640*MASTER!$A$2/100),0)</f>
        <v>300672</v>
      </c>
      <c r="BA640" s="84" t="s">
        <v>745</v>
      </c>
      <c r="BB640" s="88">
        <v>116600</v>
      </c>
      <c r="BC640" s="88">
        <v>125928</v>
      </c>
      <c r="BD640" s="84" t="s">
        <v>1268</v>
      </c>
      <c r="BG640" s="88">
        <v>0</v>
      </c>
      <c r="BI640" s="84" t="s">
        <v>434</v>
      </c>
      <c r="BJ640" s="88">
        <v>13000</v>
      </c>
      <c r="BK640" s="88">
        <v>14040</v>
      </c>
      <c r="BL640" s="84" t="s">
        <v>1268</v>
      </c>
      <c r="BS640" s="88">
        <v>0</v>
      </c>
      <c r="BV640" s="89">
        <v>291600</v>
      </c>
      <c r="BW640" s="89">
        <v>139968</v>
      </c>
      <c r="BX640" s="89">
        <v>43515</v>
      </c>
      <c r="BY640" s="89">
        <v>151632</v>
      </c>
      <c r="BZ640" s="112">
        <v>52</v>
      </c>
      <c r="CK640" s="88">
        <v>31500</v>
      </c>
    </row>
    <row r="641" spans="1:89" x14ac:dyDescent="0.15">
      <c r="A641" s="84">
        <v>2</v>
      </c>
      <c r="B641" s="85">
        <v>43531</v>
      </c>
      <c r="C641" s="85">
        <v>43538</v>
      </c>
      <c r="D641" s="85">
        <v>43553</v>
      </c>
      <c r="F641" s="85">
        <v>43545</v>
      </c>
      <c r="G641" s="85">
        <v>43537</v>
      </c>
      <c r="H641" s="85">
        <v>43541</v>
      </c>
      <c r="I641" s="84" t="s">
        <v>401</v>
      </c>
      <c r="J641" s="84">
        <v>2</v>
      </c>
      <c r="L641" s="84">
        <v>0</v>
      </c>
      <c r="M641" s="85">
        <v>43515</v>
      </c>
      <c r="N641" s="85" t="s">
        <v>265</v>
      </c>
      <c r="O641" s="86" t="s">
        <v>340</v>
      </c>
      <c r="P641" s="84" t="s">
        <v>26</v>
      </c>
      <c r="Q641" s="86" t="s">
        <v>144</v>
      </c>
      <c r="R641" s="86" t="s">
        <v>2079</v>
      </c>
      <c r="S641" s="87" t="s">
        <v>1539</v>
      </c>
      <c r="T641" s="87" t="s">
        <v>1086</v>
      </c>
      <c r="U641" s="88">
        <v>222000</v>
      </c>
      <c r="V641" s="88">
        <v>239760</v>
      </c>
      <c r="W641" s="88">
        <v>222000</v>
      </c>
      <c r="X641" s="88">
        <v>239760</v>
      </c>
      <c r="Z641" s="88">
        <v>0</v>
      </c>
      <c r="AA641" s="85">
        <v>43536</v>
      </c>
      <c r="AB641" s="85">
        <v>43538</v>
      </c>
      <c r="AC641" s="85">
        <v>43538</v>
      </c>
      <c r="AD641" s="84">
        <v>0</v>
      </c>
      <c r="AG641" s="84">
        <v>0</v>
      </c>
      <c r="AJ641" s="84">
        <v>0</v>
      </c>
      <c r="AM641" s="84" t="s">
        <v>290</v>
      </c>
      <c r="AN641" s="84" t="s">
        <v>2080</v>
      </c>
      <c r="AR641" s="85">
        <v>43529</v>
      </c>
      <c r="AS641" s="84">
        <v>6001653251</v>
      </c>
      <c r="AT641" s="85">
        <v>43531</v>
      </c>
      <c r="AU641" s="84" t="s">
        <v>1863</v>
      </c>
      <c r="AV641" s="85">
        <v>43538</v>
      </c>
      <c r="AW641" s="123">
        <v>43555</v>
      </c>
      <c r="AX641" s="123">
        <v>43575</v>
      </c>
      <c r="AY641" s="132">
        <v>213120</v>
      </c>
      <c r="AZ641" s="132">
        <f>ROUNDDOWN(AY641+(AY641*MASTER!$A$2/100),0)</f>
        <v>230169</v>
      </c>
      <c r="BA641" s="84" t="s">
        <v>543</v>
      </c>
      <c r="BB641" s="88">
        <v>60200</v>
      </c>
      <c r="BC641" s="88">
        <v>65016</v>
      </c>
      <c r="BD641" s="84" t="s">
        <v>1268</v>
      </c>
      <c r="BG641" s="88">
        <v>0</v>
      </c>
      <c r="BK641" s="88">
        <v>0</v>
      </c>
      <c r="BS641" s="88">
        <v>0</v>
      </c>
      <c r="BV641" s="89">
        <v>239760</v>
      </c>
      <c r="BW641" s="89">
        <v>65016</v>
      </c>
      <c r="BX641" s="89">
        <v>43515</v>
      </c>
      <c r="BY641" s="89">
        <v>174744</v>
      </c>
      <c r="BZ641" s="112">
        <v>72.882882882882882</v>
      </c>
      <c r="CK641" s="88">
        <v>31500</v>
      </c>
    </row>
    <row r="642" spans="1:89" x14ac:dyDescent="0.15">
      <c r="A642" s="84">
        <v>2</v>
      </c>
      <c r="B642" s="85">
        <v>43542</v>
      </c>
      <c r="C642" s="85">
        <v>43552</v>
      </c>
      <c r="D642" s="85" t="s">
        <v>374</v>
      </c>
      <c r="E642" s="85">
        <v>43596</v>
      </c>
      <c r="F642" s="85">
        <v>43559</v>
      </c>
      <c r="G642" s="85">
        <v>43553</v>
      </c>
      <c r="H642" s="85">
        <v>43555</v>
      </c>
      <c r="I642" s="84" t="s">
        <v>1191</v>
      </c>
      <c r="J642" s="84">
        <v>1</v>
      </c>
      <c r="L642" s="84">
        <v>0</v>
      </c>
      <c r="M642" s="85">
        <v>43516</v>
      </c>
      <c r="N642" s="85" t="s">
        <v>265</v>
      </c>
      <c r="O642" s="86" t="s">
        <v>340</v>
      </c>
      <c r="P642" s="84" t="s">
        <v>26</v>
      </c>
      <c r="Q642" s="86" t="s">
        <v>144</v>
      </c>
      <c r="R642" s="86" t="s">
        <v>2081</v>
      </c>
      <c r="S642" s="87" t="s">
        <v>1480</v>
      </c>
      <c r="T642" s="87" t="s">
        <v>2082</v>
      </c>
      <c r="U642" s="88">
        <v>23900</v>
      </c>
      <c r="V642" s="88">
        <v>25812</v>
      </c>
      <c r="W642" s="88">
        <v>14700</v>
      </c>
      <c r="X642" s="88">
        <v>15876</v>
      </c>
      <c r="Y642" s="88">
        <v>9200</v>
      </c>
      <c r="Z642" s="88">
        <v>9936</v>
      </c>
      <c r="AA642" s="85">
        <v>43551</v>
      </c>
      <c r="AB642" s="85">
        <v>43552</v>
      </c>
      <c r="AC642" s="85">
        <v>43552</v>
      </c>
      <c r="AD642" s="84">
        <v>0</v>
      </c>
      <c r="AG642" s="84">
        <v>0</v>
      </c>
      <c r="AJ642" s="84">
        <v>0</v>
      </c>
      <c r="AM642" s="84" t="s">
        <v>290</v>
      </c>
      <c r="AN642" s="84" t="s">
        <v>2083</v>
      </c>
      <c r="AR642" s="85">
        <v>43530</v>
      </c>
      <c r="AS642" s="84">
        <v>6001653823</v>
      </c>
      <c r="AT642" s="85">
        <v>43531</v>
      </c>
      <c r="AU642" s="84" t="s">
        <v>1784</v>
      </c>
      <c r="AV642" s="85">
        <v>43552</v>
      </c>
      <c r="AW642" s="123">
        <v>43555</v>
      </c>
      <c r="AX642" s="123">
        <v>43575</v>
      </c>
      <c r="AY642" s="132">
        <v>22944</v>
      </c>
      <c r="AZ642" s="132">
        <f>ROUNDDOWN(AY642+(AY642*MASTER!$A$2/100),0)</f>
        <v>24779</v>
      </c>
      <c r="BA642" s="84" t="s">
        <v>778</v>
      </c>
      <c r="BC642" s="88">
        <v>0</v>
      </c>
      <c r="BG642" s="88">
        <v>0</v>
      </c>
      <c r="BI642" s="84" t="s">
        <v>434</v>
      </c>
      <c r="BJ642" s="88">
        <v>5980</v>
      </c>
      <c r="BK642" s="88">
        <v>6458.4</v>
      </c>
      <c r="BL642" s="84" t="s">
        <v>1579</v>
      </c>
      <c r="BS642" s="88">
        <v>0</v>
      </c>
      <c r="BV642" s="89">
        <v>15876</v>
      </c>
      <c r="BW642" s="89">
        <v>6458.4</v>
      </c>
      <c r="BX642" s="89">
        <v>43516</v>
      </c>
      <c r="BY642" s="89">
        <v>9417.6</v>
      </c>
      <c r="BZ642" s="112">
        <v>59.319727891156461</v>
      </c>
      <c r="CK642" s="88">
        <v>0</v>
      </c>
    </row>
    <row r="643" spans="1:89" x14ac:dyDescent="0.15">
      <c r="A643" s="84">
        <v>2</v>
      </c>
      <c r="B643" s="85">
        <v>43542</v>
      </c>
      <c r="C643" s="85">
        <v>43554</v>
      </c>
      <c r="D643" s="85" t="s">
        <v>374</v>
      </c>
      <c r="E643" s="85">
        <v>43596</v>
      </c>
      <c r="F643" s="85">
        <v>43561</v>
      </c>
      <c r="G643" s="85">
        <v>43556</v>
      </c>
      <c r="H643" s="85">
        <v>43557</v>
      </c>
      <c r="I643" s="84" t="s">
        <v>1191</v>
      </c>
      <c r="J643" s="84">
        <v>1</v>
      </c>
      <c r="L643" s="84">
        <v>0</v>
      </c>
      <c r="M643" s="85">
        <v>43516</v>
      </c>
      <c r="N643" s="85" t="s">
        <v>265</v>
      </c>
      <c r="O643" s="86" t="s">
        <v>340</v>
      </c>
      <c r="P643" s="84" t="s">
        <v>26</v>
      </c>
      <c r="Q643" s="86" t="s">
        <v>144</v>
      </c>
      <c r="R643" s="86" t="s">
        <v>2084</v>
      </c>
      <c r="S643" s="87" t="s">
        <v>992</v>
      </c>
      <c r="T643" s="87" t="s">
        <v>794</v>
      </c>
      <c r="U643" s="88">
        <v>23900</v>
      </c>
      <c r="V643" s="88">
        <v>25812</v>
      </c>
      <c r="W643" s="88">
        <v>14700</v>
      </c>
      <c r="X643" s="88">
        <v>15876</v>
      </c>
      <c r="Y643" s="88">
        <v>9200</v>
      </c>
      <c r="Z643" s="88">
        <v>9936</v>
      </c>
      <c r="AA643" s="85">
        <v>43553</v>
      </c>
      <c r="AB643" s="85">
        <v>43554</v>
      </c>
      <c r="AC643" s="85">
        <v>43554</v>
      </c>
      <c r="AD643" s="84">
        <v>0</v>
      </c>
      <c r="AG643" s="84">
        <v>0</v>
      </c>
      <c r="AJ643" s="84">
        <v>0</v>
      </c>
      <c r="AM643" s="84" t="s">
        <v>290</v>
      </c>
      <c r="AN643" s="84" t="s">
        <v>2085</v>
      </c>
      <c r="AR643" s="85">
        <v>43530</v>
      </c>
      <c r="AS643" s="84">
        <v>6001653823</v>
      </c>
      <c r="AT643" s="85">
        <v>43531</v>
      </c>
      <c r="AU643" s="84" t="s">
        <v>1784</v>
      </c>
      <c r="AV643" s="85">
        <v>43554</v>
      </c>
      <c r="AW643" s="123">
        <v>43555</v>
      </c>
      <c r="AX643" s="123">
        <v>43575</v>
      </c>
      <c r="AY643" s="132">
        <v>22944</v>
      </c>
      <c r="AZ643" s="132">
        <f>ROUNDDOWN(AY643+(AY643*MASTER!$A$2/100),0)</f>
        <v>24779</v>
      </c>
      <c r="BA643" s="84" t="s">
        <v>778</v>
      </c>
      <c r="BC643" s="88">
        <v>0</v>
      </c>
      <c r="BG643" s="88">
        <v>0</v>
      </c>
      <c r="BI643" s="84" t="s">
        <v>434</v>
      </c>
      <c r="BJ643" s="88">
        <v>5980</v>
      </c>
      <c r="BK643" s="88">
        <v>6458.4</v>
      </c>
      <c r="BL643" s="84" t="s">
        <v>1579</v>
      </c>
      <c r="BS643" s="88">
        <v>0</v>
      </c>
      <c r="BV643" s="89">
        <v>15876</v>
      </c>
      <c r="BW643" s="89">
        <v>6458.4</v>
      </c>
      <c r="BX643" s="89">
        <v>43516</v>
      </c>
      <c r="BY643" s="89">
        <v>9417.6</v>
      </c>
      <c r="BZ643" s="112">
        <v>59.319727891156461</v>
      </c>
      <c r="CK643" s="88">
        <v>0</v>
      </c>
    </row>
    <row r="644" spans="1:89" x14ac:dyDescent="0.15">
      <c r="A644" s="84">
        <v>1</v>
      </c>
      <c r="C644" s="85" t="s">
        <v>338</v>
      </c>
      <c r="F644" s="85" t="s">
        <v>338</v>
      </c>
      <c r="G644" s="85">
        <v>43515</v>
      </c>
      <c r="H644" s="85" t="s">
        <v>338</v>
      </c>
      <c r="J644" s="84">
        <v>4</v>
      </c>
      <c r="L644" s="84">
        <v>0</v>
      </c>
      <c r="M644" s="85">
        <v>43516</v>
      </c>
      <c r="N644" s="85" t="s">
        <v>265</v>
      </c>
      <c r="O644" s="86" t="s">
        <v>340</v>
      </c>
      <c r="P644" s="84" t="s">
        <v>6</v>
      </c>
      <c r="Q644" s="86" t="s">
        <v>144</v>
      </c>
      <c r="R644" s="86" t="s">
        <v>2086</v>
      </c>
      <c r="S644" s="87" t="s">
        <v>646</v>
      </c>
      <c r="T644" s="87" t="s">
        <v>2087</v>
      </c>
      <c r="U644" s="88">
        <v>0</v>
      </c>
      <c r="V644" s="88">
        <v>0</v>
      </c>
      <c r="W644" s="88">
        <v>0</v>
      </c>
      <c r="X644" s="88">
        <v>0</v>
      </c>
      <c r="Y644" s="88">
        <v>0</v>
      </c>
      <c r="Z644" s="88">
        <v>0</v>
      </c>
      <c r="AA644" s="85">
        <v>43503</v>
      </c>
      <c r="AD644" s="84">
        <v>0</v>
      </c>
      <c r="AG644" s="84">
        <v>0</v>
      </c>
      <c r="AJ644" s="84">
        <v>0</v>
      </c>
      <c r="AY644" s="132">
        <f>ROUNDDOWN((0.96*U644),0)</f>
        <v>0</v>
      </c>
      <c r="AZ644" s="132">
        <f>ROUNDDOWN(AY644+(AY644*MASTER!$A$2/100),0)</f>
        <v>0</v>
      </c>
      <c r="BC644" s="88">
        <v>0</v>
      </c>
      <c r="BG644" s="88">
        <v>0</v>
      </c>
      <c r="BK644" s="88">
        <v>0</v>
      </c>
      <c r="BS644" s="88">
        <v>0</v>
      </c>
      <c r="BV644" s="89">
        <v>0</v>
      </c>
      <c r="BW644" s="89">
        <v>0</v>
      </c>
      <c r="BX644" s="89">
        <v>43516</v>
      </c>
      <c r="BY644" s="89">
        <v>0</v>
      </c>
      <c r="BZ644" s="112" t="s">
        <v>338</v>
      </c>
    </row>
    <row r="645" spans="1:89" x14ac:dyDescent="0.15">
      <c r="A645" s="84">
        <v>1</v>
      </c>
      <c r="B645" s="85">
        <v>43595</v>
      </c>
      <c r="C645" s="85">
        <v>43616</v>
      </c>
      <c r="F645" s="85" t="s">
        <v>338</v>
      </c>
      <c r="H645" s="85" t="s">
        <v>338</v>
      </c>
      <c r="J645" s="84">
        <v>2</v>
      </c>
      <c r="K645" s="85">
        <v>43580</v>
      </c>
      <c r="L645" s="84" t="s">
        <v>818</v>
      </c>
      <c r="M645" s="85">
        <v>43516</v>
      </c>
      <c r="N645" s="85" t="s">
        <v>265</v>
      </c>
      <c r="O645" s="86" t="s">
        <v>340</v>
      </c>
      <c r="P645" s="84" t="s">
        <v>272</v>
      </c>
      <c r="Q645" s="86" t="s">
        <v>144</v>
      </c>
      <c r="R645" s="86" t="s">
        <v>2088</v>
      </c>
      <c r="S645" s="87" t="s">
        <v>1278</v>
      </c>
      <c r="T645" s="87" t="s">
        <v>2089</v>
      </c>
      <c r="U645" s="88">
        <v>3000</v>
      </c>
      <c r="V645" s="88">
        <v>3240</v>
      </c>
      <c r="W645" s="88">
        <v>3000</v>
      </c>
      <c r="X645" s="88">
        <v>3240</v>
      </c>
      <c r="Y645" s="88">
        <v>0</v>
      </c>
      <c r="Z645" s="88">
        <v>0</v>
      </c>
      <c r="AA645" s="85">
        <v>43509</v>
      </c>
      <c r="AD645" s="84">
        <v>0</v>
      </c>
      <c r="AG645" s="84">
        <v>0</v>
      </c>
      <c r="AJ645" s="84">
        <v>0</v>
      </c>
      <c r="AR645" s="85">
        <v>43592</v>
      </c>
      <c r="AS645" s="84">
        <v>6001670917</v>
      </c>
      <c r="AT645" s="85">
        <v>43592</v>
      </c>
      <c r="AU645" s="84" t="s">
        <v>2090</v>
      </c>
      <c r="AV645" s="85">
        <v>43616</v>
      </c>
      <c r="AW645" s="123">
        <v>43616</v>
      </c>
      <c r="AX645" s="123">
        <v>43636</v>
      </c>
      <c r="AY645" s="132">
        <v>2880</v>
      </c>
      <c r="AZ645" s="132">
        <f>ROUNDDOWN(AY645+(AY645*MASTER!$A$2/100),0)</f>
        <v>3110</v>
      </c>
      <c r="BC645" s="88">
        <v>0</v>
      </c>
      <c r="BG645" s="88">
        <v>0</v>
      </c>
      <c r="BK645" s="88">
        <v>0</v>
      </c>
      <c r="BS645" s="88">
        <v>0</v>
      </c>
      <c r="BV645" s="89">
        <v>3240</v>
      </c>
      <c r="BW645" s="89">
        <v>0</v>
      </c>
      <c r="BX645" s="89">
        <v>0</v>
      </c>
      <c r="BY645" s="89">
        <v>43580</v>
      </c>
      <c r="BZ645" s="112">
        <v>100</v>
      </c>
    </row>
    <row r="646" spans="1:89" x14ac:dyDescent="0.15">
      <c r="A646" s="84">
        <v>1</v>
      </c>
      <c r="B646" s="85">
        <v>43537</v>
      </c>
      <c r="C646" s="85">
        <v>43544</v>
      </c>
      <c r="F646" s="85" t="s">
        <v>338</v>
      </c>
      <c r="H646" s="85" t="s">
        <v>338</v>
      </c>
      <c r="J646" s="84">
        <v>2</v>
      </c>
      <c r="L646" s="84">
        <v>0</v>
      </c>
      <c r="M646" s="85">
        <v>43516</v>
      </c>
      <c r="N646" s="85" t="s">
        <v>265</v>
      </c>
      <c r="O646" s="86" t="s">
        <v>340</v>
      </c>
      <c r="P646" s="84" t="s">
        <v>272</v>
      </c>
      <c r="Q646" s="86" t="s">
        <v>144</v>
      </c>
      <c r="R646" s="86" t="s">
        <v>2091</v>
      </c>
      <c r="S646" s="87" t="s">
        <v>643</v>
      </c>
      <c r="T646" s="87" t="s">
        <v>2092</v>
      </c>
      <c r="U646" s="88">
        <v>3000</v>
      </c>
      <c r="V646" s="88">
        <v>3240</v>
      </c>
      <c r="W646" s="88">
        <v>3000</v>
      </c>
      <c r="X646" s="88">
        <v>3240</v>
      </c>
      <c r="Z646" s="88">
        <v>0</v>
      </c>
      <c r="AA646" s="85">
        <v>43509</v>
      </c>
      <c r="AD646" s="84">
        <v>0</v>
      </c>
      <c r="AG646" s="84">
        <v>0</v>
      </c>
      <c r="AJ646" s="84">
        <v>0</v>
      </c>
      <c r="AR646" s="85">
        <v>43536</v>
      </c>
      <c r="AS646" s="84">
        <v>6001656350</v>
      </c>
      <c r="AT646" s="85">
        <v>43536</v>
      </c>
      <c r="AU646" s="84" t="s">
        <v>2093</v>
      </c>
      <c r="AV646" s="85">
        <v>43544</v>
      </c>
      <c r="AW646" s="123">
        <v>43555</v>
      </c>
      <c r="AX646" s="123">
        <v>43575</v>
      </c>
      <c r="AY646" s="132">
        <v>2880</v>
      </c>
      <c r="AZ646" s="132">
        <f>ROUNDDOWN(AY646+(AY646*MASTER!$A$2/100),0)</f>
        <v>3110</v>
      </c>
      <c r="BC646" s="88">
        <v>0</v>
      </c>
      <c r="BG646" s="88">
        <v>0</v>
      </c>
      <c r="BK646" s="88">
        <v>0</v>
      </c>
      <c r="BS646" s="88">
        <v>0</v>
      </c>
      <c r="BV646" s="89">
        <v>3240</v>
      </c>
      <c r="BW646" s="89">
        <v>0</v>
      </c>
      <c r="BX646" s="89">
        <v>43516</v>
      </c>
      <c r="BY646" s="89">
        <v>3240</v>
      </c>
      <c r="BZ646" s="112">
        <v>100</v>
      </c>
    </row>
    <row r="647" spans="1:89" x14ac:dyDescent="0.15">
      <c r="A647" s="84">
        <v>1</v>
      </c>
      <c r="C647" s="85" t="s">
        <v>338</v>
      </c>
      <c r="F647" s="85" t="s">
        <v>338</v>
      </c>
      <c r="H647" s="85" t="s">
        <v>338</v>
      </c>
      <c r="J647" s="84">
        <v>2</v>
      </c>
      <c r="L647" s="84">
        <v>0</v>
      </c>
      <c r="M647" s="85">
        <v>43516</v>
      </c>
      <c r="N647" s="85" t="s">
        <v>264</v>
      </c>
      <c r="O647" s="86" t="s">
        <v>340</v>
      </c>
      <c r="P647" s="84" t="s">
        <v>272</v>
      </c>
      <c r="Q647" s="86" t="s">
        <v>144</v>
      </c>
      <c r="R647" s="86" t="s">
        <v>2094</v>
      </c>
      <c r="S647" s="87" t="s">
        <v>387</v>
      </c>
      <c r="T647" s="87" t="s">
        <v>1526</v>
      </c>
      <c r="U647" s="88">
        <v>840000</v>
      </c>
      <c r="V647" s="88">
        <v>907200</v>
      </c>
      <c r="W647" s="88">
        <v>840000</v>
      </c>
      <c r="X647" s="88">
        <v>907200</v>
      </c>
      <c r="Z647" s="88">
        <v>0</v>
      </c>
      <c r="AD647" s="84">
        <v>0</v>
      </c>
      <c r="AG647" s="84">
        <v>0</v>
      </c>
      <c r="AJ647" s="84">
        <v>0</v>
      </c>
      <c r="AR647" s="85">
        <v>43518</v>
      </c>
      <c r="AS647" s="84">
        <v>6001650216</v>
      </c>
      <c r="AT647" s="85">
        <v>43521</v>
      </c>
      <c r="AU647" s="84" t="s">
        <v>2095</v>
      </c>
      <c r="AV647" s="85">
        <v>43521</v>
      </c>
      <c r="AW647" s="123">
        <v>43524</v>
      </c>
      <c r="AX647" s="123">
        <v>43544</v>
      </c>
      <c r="AY647" s="140">
        <v>840000</v>
      </c>
      <c r="AZ647" s="132">
        <f>ROUNDDOWN(AY647+(AY647*MASTER!$A$2/100),0)</f>
        <v>907200</v>
      </c>
      <c r="BC647" s="88">
        <v>0</v>
      </c>
      <c r="BG647" s="88">
        <v>0</v>
      </c>
      <c r="BK647" s="88">
        <v>0</v>
      </c>
      <c r="BS647" s="88">
        <v>0</v>
      </c>
      <c r="BV647" s="89">
        <v>907200</v>
      </c>
      <c r="BW647" s="89">
        <v>0</v>
      </c>
      <c r="BX647" s="89">
        <v>43516</v>
      </c>
      <c r="BY647" s="89">
        <v>907200</v>
      </c>
      <c r="BZ647" s="112">
        <v>100</v>
      </c>
    </row>
    <row r="648" spans="1:89" x14ac:dyDescent="0.15">
      <c r="A648" s="84">
        <v>1</v>
      </c>
      <c r="B648" s="85">
        <v>43739</v>
      </c>
      <c r="C648" s="85">
        <v>43769</v>
      </c>
      <c r="F648" s="85" t="s">
        <v>338</v>
      </c>
      <c r="H648" s="85" t="s">
        <v>338</v>
      </c>
      <c r="J648" s="84">
        <v>2</v>
      </c>
      <c r="K648" s="85">
        <v>43643</v>
      </c>
      <c r="L648" s="84" t="s">
        <v>659</v>
      </c>
      <c r="M648" s="85">
        <v>43517</v>
      </c>
      <c r="N648" s="85" t="s">
        <v>265</v>
      </c>
      <c r="O648" s="86" t="s">
        <v>340</v>
      </c>
      <c r="P648" s="84" t="s">
        <v>272</v>
      </c>
      <c r="Q648" s="86" t="s">
        <v>144</v>
      </c>
      <c r="R648" s="86" t="s">
        <v>2096</v>
      </c>
      <c r="S648" s="87" t="s">
        <v>676</v>
      </c>
      <c r="T648" s="87" t="s">
        <v>2097</v>
      </c>
      <c r="U648" s="88">
        <v>3000</v>
      </c>
      <c r="V648" s="88">
        <v>3240</v>
      </c>
      <c r="W648" s="88">
        <v>3000</v>
      </c>
      <c r="X648" s="88">
        <v>3240</v>
      </c>
      <c r="Z648" s="88">
        <v>0</v>
      </c>
      <c r="AA648" s="85">
        <v>43510</v>
      </c>
      <c r="AD648" s="84">
        <v>0</v>
      </c>
      <c r="AG648" s="84">
        <v>0</v>
      </c>
      <c r="AJ648" s="84">
        <v>0</v>
      </c>
      <c r="AR648" s="85">
        <v>43684</v>
      </c>
      <c r="AS648" s="84">
        <v>6001701363</v>
      </c>
      <c r="AT648" s="85">
        <v>43684</v>
      </c>
      <c r="AU648" s="84" t="s">
        <v>3421</v>
      </c>
      <c r="AV648" s="85">
        <v>43769</v>
      </c>
      <c r="AW648" s="123">
        <v>43769</v>
      </c>
      <c r="AX648" s="123">
        <v>43789</v>
      </c>
      <c r="AY648" s="132">
        <v>2880</v>
      </c>
      <c r="AZ648" s="132">
        <f>ROUNDDOWN(AY648+(AY648*0.1),0)</f>
        <v>3168</v>
      </c>
      <c r="BC648" s="88">
        <v>0</v>
      </c>
      <c r="BG648" s="88">
        <v>0</v>
      </c>
      <c r="BK648" s="88">
        <v>0</v>
      </c>
      <c r="BS648" s="88">
        <v>0</v>
      </c>
      <c r="BV648" s="89">
        <v>3240</v>
      </c>
      <c r="BW648" s="89">
        <v>0</v>
      </c>
      <c r="BX648" s="89">
        <v>0</v>
      </c>
      <c r="BY648" s="89">
        <v>3240</v>
      </c>
      <c r="BZ648" s="112">
        <v>43643</v>
      </c>
    </row>
    <row r="649" spans="1:89" x14ac:dyDescent="0.15">
      <c r="A649" s="84">
        <v>1</v>
      </c>
      <c r="B649" s="85">
        <v>43525</v>
      </c>
      <c r="C649" s="85">
        <v>43532</v>
      </c>
      <c r="F649" s="85" t="s">
        <v>338</v>
      </c>
      <c r="H649" s="85" t="s">
        <v>338</v>
      </c>
      <c r="J649" s="84">
        <v>2</v>
      </c>
      <c r="L649" s="84">
        <v>0</v>
      </c>
      <c r="M649" s="85">
        <v>43517</v>
      </c>
      <c r="N649" s="85" t="s">
        <v>265</v>
      </c>
      <c r="O649" s="86" t="s">
        <v>340</v>
      </c>
      <c r="P649" s="84" t="s">
        <v>78</v>
      </c>
      <c r="Q649" s="86" t="s">
        <v>144</v>
      </c>
      <c r="R649" s="86" t="s">
        <v>2098</v>
      </c>
      <c r="S649" s="87" t="s">
        <v>407</v>
      </c>
      <c r="T649" s="87" t="s">
        <v>408</v>
      </c>
      <c r="U649" s="88">
        <v>8300</v>
      </c>
      <c r="V649" s="88">
        <v>8964</v>
      </c>
      <c r="W649" s="88">
        <v>8300</v>
      </c>
      <c r="X649" s="88">
        <v>8964</v>
      </c>
      <c r="Z649" s="88">
        <v>0</v>
      </c>
      <c r="AD649" s="84">
        <v>0</v>
      </c>
      <c r="AG649" s="84">
        <v>0</v>
      </c>
      <c r="AJ649" s="84">
        <v>0</v>
      </c>
      <c r="AR649" s="85">
        <v>43517</v>
      </c>
      <c r="AS649" s="84">
        <v>6001649563</v>
      </c>
      <c r="AT649" s="85">
        <v>43517</v>
      </c>
      <c r="AU649" s="84" t="s">
        <v>2099</v>
      </c>
      <c r="AV649" s="85">
        <v>43532</v>
      </c>
      <c r="AW649" s="123">
        <v>43555</v>
      </c>
      <c r="AX649" s="123">
        <v>43575</v>
      </c>
      <c r="AY649" s="132">
        <v>7968</v>
      </c>
      <c r="AZ649" s="132">
        <f>ROUNDDOWN(AY649+(AY649*MASTER!$A$2/100),0)</f>
        <v>8605</v>
      </c>
      <c r="BC649" s="88">
        <v>0</v>
      </c>
      <c r="BG649" s="88">
        <v>0</v>
      </c>
      <c r="BK649" s="88">
        <v>0</v>
      </c>
      <c r="BS649" s="88">
        <v>0</v>
      </c>
      <c r="BV649" s="89">
        <v>8964</v>
      </c>
      <c r="BW649" s="89">
        <v>0</v>
      </c>
      <c r="BX649" s="89">
        <v>43517</v>
      </c>
      <c r="BY649" s="89">
        <v>8964</v>
      </c>
      <c r="BZ649" s="112">
        <v>100</v>
      </c>
      <c r="CK649" s="88">
        <v>0</v>
      </c>
    </row>
    <row r="650" spans="1:89" x14ac:dyDescent="0.15">
      <c r="A650" s="84">
        <v>2</v>
      </c>
      <c r="B650" s="85">
        <v>43535</v>
      </c>
      <c r="C650" s="85">
        <v>43544</v>
      </c>
      <c r="D650" s="85">
        <v>43553</v>
      </c>
      <c r="E650" s="85">
        <v>43551</v>
      </c>
      <c r="F650" s="85">
        <v>43551</v>
      </c>
      <c r="G650" s="85">
        <v>43543</v>
      </c>
      <c r="H650" s="85">
        <v>43547</v>
      </c>
      <c r="I650" s="84" t="s">
        <v>401</v>
      </c>
      <c r="J650" s="84">
        <v>1</v>
      </c>
      <c r="L650" s="84">
        <v>0</v>
      </c>
      <c r="M650" s="85">
        <v>43518</v>
      </c>
      <c r="N650" s="85" t="s">
        <v>265</v>
      </c>
      <c r="O650" s="86" t="s">
        <v>340</v>
      </c>
      <c r="P650" s="84" t="s">
        <v>26</v>
      </c>
      <c r="Q650" s="86" t="s">
        <v>144</v>
      </c>
      <c r="R650" s="86" t="s">
        <v>2100</v>
      </c>
      <c r="S650" s="87" t="s">
        <v>1103</v>
      </c>
      <c r="T650" s="87" t="s">
        <v>2101</v>
      </c>
      <c r="U650" s="88">
        <v>148500</v>
      </c>
      <c r="V650" s="88">
        <v>160380</v>
      </c>
      <c r="W650" s="88">
        <v>145500</v>
      </c>
      <c r="X650" s="88">
        <v>157140</v>
      </c>
      <c r="Y650" s="88">
        <v>3000</v>
      </c>
      <c r="Z650" s="88">
        <v>3240</v>
      </c>
      <c r="AA650" s="85">
        <v>43541</v>
      </c>
      <c r="AB650" s="85">
        <v>43544</v>
      </c>
      <c r="AC650" s="85">
        <v>43544</v>
      </c>
      <c r="AD650" s="84">
        <v>0</v>
      </c>
      <c r="AG650" s="84">
        <v>0</v>
      </c>
      <c r="AJ650" s="84">
        <v>0</v>
      </c>
      <c r="AM650" s="84" t="s">
        <v>290</v>
      </c>
      <c r="AN650" s="84" t="s">
        <v>2102</v>
      </c>
      <c r="AR650" s="85">
        <v>43529</v>
      </c>
      <c r="AS650" s="84">
        <v>6001653251</v>
      </c>
      <c r="AT650" s="85">
        <v>43531</v>
      </c>
      <c r="AU650" s="84" t="s">
        <v>1863</v>
      </c>
      <c r="AV650" s="85">
        <v>43544</v>
      </c>
      <c r="AW650" s="123">
        <v>43555</v>
      </c>
      <c r="AX650" s="123">
        <v>43575</v>
      </c>
      <c r="AY650" s="132">
        <v>142560</v>
      </c>
      <c r="AZ650" s="132">
        <f>ROUNDDOWN(AY650+(AY650*MASTER!$A$2/100),0)</f>
        <v>153964</v>
      </c>
      <c r="BA650" s="84" t="s">
        <v>543</v>
      </c>
      <c r="BB650" s="88">
        <v>26000</v>
      </c>
      <c r="BC650" s="88">
        <v>28080</v>
      </c>
      <c r="BD650" s="84" t="s">
        <v>1268</v>
      </c>
      <c r="BG650" s="88">
        <v>0</v>
      </c>
      <c r="BI650" s="84" t="s">
        <v>434</v>
      </c>
      <c r="BJ650" s="88">
        <v>1950</v>
      </c>
      <c r="BK650" s="88">
        <v>2106</v>
      </c>
      <c r="BL650" s="84" t="s">
        <v>1268</v>
      </c>
      <c r="BS650" s="88">
        <v>0</v>
      </c>
      <c r="BV650" s="89">
        <v>157140</v>
      </c>
      <c r="BW650" s="89">
        <v>30186</v>
      </c>
      <c r="BX650" s="89">
        <v>43518</v>
      </c>
      <c r="BY650" s="89">
        <v>126954</v>
      </c>
      <c r="BZ650" s="112">
        <v>80.790378006872857</v>
      </c>
      <c r="CK650" s="88">
        <v>31500</v>
      </c>
    </row>
    <row r="651" spans="1:89" x14ac:dyDescent="0.15">
      <c r="A651" s="84">
        <v>2</v>
      </c>
      <c r="B651" s="85">
        <v>43537</v>
      </c>
      <c r="C651" s="85">
        <v>43545</v>
      </c>
      <c r="D651" s="85">
        <v>43553</v>
      </c>
      <c r="E651" s="85">
        <v>43551</v>
      </c>
      <c r="F651" s="85">
        <v>43552</v>
      </c>
      <c r="G651" s="85">
        <v>43546</v>
      </c>
      <c r="H651" s="85">
        <v>43548</v>
      </c>
      <c r="I651" s="84" t="s">
        <v>401</v>
      </c>
      <c r="J651" s="84">
        <v>1</v>
      </c>
      <c r="L651" s="84">
        <v>0</v>
      </c>
      <c r="M651" s="85">
        <v>43518</v>
      </c>
      <c r="N651" s="85" t="s">
        <v>265</v>
      </c>
      <c r="O651" s="86" t="s">
        <v>340</v>
      </c>
      <c r="P651" s="84" t="s">
        <v>26</v>
      </c>
      <c r="Q651" s="86" t="s">
        <v>144</v>
      </c>
      <c r="R651" s="86" t="s">
        <v>2103</v>
      </c>
      <c r="S651" s="87" t="s">
        <v>2104</v>
      </c>
      <c r="T651" s="87" t="s">
        <v>2105</v>
      </c>
      <c r="U651" s="88">
        <v>290000</v>
      </c>
      <c r="V651" s="88">
        <v>313200</v>
      </c>
      <c r="W651" s="88">
        <v>270000</v>
      </c>
      <c r="X651" s="88">
        <v>291600</v>
      </c>
      <c r="Y651" s="88">
        <v>20000</v>
      </c>
      <c r="Z651" s="88">
        <v>21600</v>
      </c>
      <c r="AA651" s="85">
        <v>43541</v>
      </c>
      <c r="AB651" s="85">
        <v>43545</v>
      </c>
      <c r="AC651" s="85">
        <v>43545</v>
      </c>
      <c r="AD651" s="84">
        <v>0</v>
      </c>
      <c r="AG651" s="84">
        <v>0</v>
      </c>
      <c r="AJ651" s="84">
        <v>0</v>
      </c>
      <c r="AM651" s="84" t="s">
        <v>290</v>
      </c>
      <c r="AN651" s="84" t="s">
        <v>2106</v>
      </c>
      <c r="AR651" s="85">
        <v>43535</v>
      </c>
      <c r="AS651" s="84">
        <v>6001655856</v>
      </c>
      <c r="AT651" s="85">
        <v>43536</v>
      </c>
      <c r="AU651" s="84" t="s">
        <v>1930</v>
      </c>
      <c r="AV651" s="85">
        <v>43545</v>
      </c>
      <c r="AW651" s="123">
        <v>43555</v>
      </c>
      <c r="AX651" s="123">
        <v>43575</v>
      </c>
      <c r="AY651" s="132">
        <v>278400</v>
      </c>
      <c r="AZ651" s="132">
        <f>ROUNDDOWN(AY651+(AY651*MASTER!$A$2/100),0)</f>
        <v>300672</v>
      </c>
      <c r="BA651" s="84" t="s">
        <v>543</v>
      </c>
      <c r="BB651" s="88">
        <v>92400</v>
      </c>
      <c r="BC651" s="88">
        <v>99792</v>
      </c>
      <c r="BD651" s="84" t="s">
        <v>1268</v>
      </c>
      <c r="BG651" s="88">
        <v>0</v>
      </c>
      <c r="BI651" s="84" t="s">
        <v>276</v>
      </c>
      <c r="BJ651" s="88">
        <v>13000</v>
      </c>
      <c r="BK651" s="88">
        <v>14040</v>
      </c>
      <c r="BL651" s="84" t="s">
        <v>1659</v>
      </c>
      <c r="BS651" s="88">
        <v>0</v>
      </c>
      <c r="BV651" s="89">
        <v>291600</v>
      </c>
      <c r="BW651" s="89">
        <v>113832</v>
      </c>
      <c r="BX651" s="89">
        <v>43518</v>
      </c>
      <c r="BY651" s="89">
        <v>177768</v>
      </c>
      <c r="BZ651" s="112">
        <v>60.962962962962962</v>
      </c>
      <c r="CK651" s="88">
        <v>31500</v>
      </c>
    </row>
    <row r="652" spans="1:89" x14ac:dyDescent="0.15">
      <c r="A652" s="84">
        <v>1</v>
      </c>
      <c r="B652" s="85">
        <v>43543</v>
      </c>
      <c r="C652" s="85">
        <v>43545</v>
      </c>
      <c r="F652" s="85">
        <v>43552</v>
      </c>
      <c r="H652" s="85">
        <v>43548</v>
      </c>
      <c r="J652" s="84">
        <v>1</v>
      </c>
      <c r="L652" s="84">
        <v>0</v>
      </c>
      <c r="M652" s="85">
        <v>43518</v>
      </c>
      <c r="N652" s="85" t="s">
        <v>265</v>
      </c>
      <c r="O652" s="86" t="s">
        <v>340</v>
      </c>
      <c r="P652" s="84" t="s">
        <v>26</v>
      </c>
      <c r="Q652" s="86" t="s">
        <v>144</v>
      </c>
      <c r="R652" s="86" t="s">
        <v>2107</v>
      </c>
      <c r="S652" s="87" t="s">
        <v>2108</v>
      </c>
      <c r="T652" s="87" t="s">
        <v>2109</v>
      </c>
      <c r="U652" s="88">
        <v>136000</v>
      </c>
      <c r="V652" s="88">
        <v>146880</v>
      </c>
      <c r="W652" s="88">
        <v>124000</v>
      </c>
      <c r="X652" s="88">
        <v>133920</v>
      </c>
      <c r="Y652" s="88">
        <v>12000</v>
      </c>
      <c r="Z652" s="88">
        <v>12960</v>
      </c>
      <c r="AA652" s="85">
        <v>43541</v>
      </c>
      <c r="AB652" s="85">
        <v>43545</v>
      </c>
      <c r="AC652" s="85">
        <v>43545</v>
      </c>
      <c r="AD652" s="84">
        <v>0</v>
      </c>
      <c r="AG652" s="84">
        <v>0</v>
      </c>
      <c r="AJ652" s="84">
        <v>0</v>
      </c>
      <c r="AM652" s="84" t="s">
        <v>290</v>
      </c>
      <c r="AN652" s="84" t="s">
        <v>2110</v>
      </c>
      <c r="AR652" s="85">
        <v>43538</v>
      </c>
      <c r="AS652" s="84">
        <v>6001657296</v>
      </c>
      <c r="AT652" s="85">
        <v>43542</v>
      </c>
      <c r="AU652" s="84" t="s">
        <v>1578</v>
      </c>
      <c r="AV652" s="85">
        <v>43545</v>
      </c>
      <c r="AW652" s="123">
        <v>43555</v>
      </c>
      <c r="AX652" s="123">
        <v>43575</v>
      </c>
      <c r="AY652" s="132">
        <v>130560</v>
      </c>
      <c r="AZ652" s="132">
        <f>ROUNDDOWN(AY652+(AY652*MASTER!$A$2/100),0)</f>
        <v>141004</v>
      </c>
      <c r="BA652" s="84" t="s">
        <v>778</v>
      </c>
      <c r="BC652" s="88">
        <v>0</v>
      </c>
      <c r="BG652" s="88">
        <v>0</v>
      </c>
      <c r="BI652" s="84" t="s">
        <v>276</v>
      </c>
      <c r="BJ652" s="88">
        <v>7800</v>
      </c>
      <c r="BK652" s="88">
        <v>8424</v>
      </c>
      <c r="BL652" s="84" t="s">
        <v>1659</v>
      </c>
      <c r="BS652" s="88">
        <v>0</v>
      </c>
      <c r="BV652" s="89">
        <v>133920</v>
      </c>
      <c r="BW652" s="89">
        <v>8424</v>
      </c>
      <c r="BX652" s="89">
        <v>43518</v>
      </c>
      <c r="BY652" s="89">
        <v>125496</v>
      </c>
      <c r="BZ652" s="112">
        <v>93.709677419354847</v>
      </c>
      <c r="CK652" s="88">
        <v>31500</v>
      </c>
    </row>
    <row r="653" spans="1:89" x14ac:dyDescent="0.15">
      <c r="A653" s="84">
        <v>2</v>
      </c>
      <c r="B653" s="85">
        <v>43537</v>
      </c>
      <c r="C653" s="85">
        <v>43545</v>
      </c>
      <c r="D653" s="85">
        <v>43552</v>
      </c>
      <c r="E653" s="85">
        <v>43552</v>
      </c>
      <c r="F653" s="85">
        <v>43552</v>
      </c>
      <c r="G653" s="85">
        <v>43546</v>
      </c>
      <c r="H653" s="85">
        <v>43548</v>
      </c>
      <c r="I653" s="84" t="s">
        <v>401</v>
      </c>
      <c r="J653" s="84">
        <v>2</v>
      </c>
      <c r="L653" s="84">
        <v>0</v>
      </c>
      <c r="M653" s="85">
        <v>43518</v>
      </c>
      <c r="N653" s="85" t="s">
        <v>265</v>
      </c>
      <c r="O653" s="86" t="s">
        <v>340</v>
      </c>
      <c r="P653" s="84" t="s">
        <v>26</v>
      </c>
      <c r="Q653" s="86" t="s">
        <v>144</v>
      </c>
      <c r="R653" s="86" t="s">
        <v>2111</v>
      </c>
      <c r="S653" s="87" t="s">
        <v>2112</v>
      </c>
      <c r="T653" s="87" t="s">
        <v>2113</v>
      </c>
      <c r="U653" s="88">
        <v>222000</v>
      </c>
      <c r="V653" s="88">
        <v>239760</v>
      </c>
      <c r="W653" s="88">
        <v>222000</v>
      </c>
      <c r="X653" s="88">
        <v>239760</v>
      </c>
      <c r="Z653" s="88">
        <v>0</v>
      </c>
      <c r="AA653" s="85">
        <v>43543</v>
      </c>
      <c r="AB653" s="85">
        <v>43545</v>
      </c>
      <c r="AC653" s="85">
        <v>43545</v>
      </c>
      <c r="AD653" s="84">
        <v>0</v>
      </c>
      <c r="AG653" s="84">
        <v>0</v>
      </c>
      <c r="AJ653" s="84">
        <v>0</v>
      </c>
      <c r="AM653" s="84" t="s">
        <v>290</v>
      </c>
      <c r="AN653" s="84" t="s">
        <v>2114</v>
      </c>
      <c r="AR653" s="85">
        <v>43535</v>
      </c>
      <c r="AS653" s="84">
        <v>6001655856</v>
      </c>
      <c r="AT653" s="85">
        <v>43536</v>
      </c>
      <c r="AU653" s="84" t="s">
        <v>1930</v>
      </c>
      <c r="AV653" s="85">
        <v>43545</v>
      </c>
      <c r="AW653" s="123">
        <v>43555</v>
      </c>
      <c r="AX653" s="123">
        <v>43575</v>
      </c>
      <c r="AY653" s="132">
        <v>213120</v>
      </c>
      <c r="AZ653" s="132">
        <f>ROUNDDOWN(AY653+(AY653*MASTER!$A$2/100),0)</f>
        <v>230169</v>
      </c>
      <c r="BA653" s="84" t="s">
        <v>745</v>
      </c>
      <c r="BB653" s="88">
        <v>75600</v>
      </c>
      <c r="BC653" s="88">
        <v>81648</v>
      </c>
      <c r="BD653" s="84" t="s">
        <v>1268</v>
      </c>
      <c r="BG653" s="88">
        <v>0</v>
      </c>
      <c r="BK653" s="88">
        <v>0</v>
      </c>
      <c r="BS653" s="88">
        <v>0</v>
      </c>
      <c r="BV653" s="89">
        <v>239760</v>
      </c>
      <c r="BW653" s="89">
        <v>81648</v>
      </c>
      <c r="BX653" s="89">
        <v>43518</v>
      </c>
      <c r="BY653" s="89">
        <v>158112</v>
      </c>
      <c r="BZ653" s="112">
        <v>65.945945945945951</v>
      </c>
      <c r="CK653" s="88">
        <v>31500</v>
      </c>
    </row>
    <row r="654" spans="1:89" x14ac:dyDescent="0.15">
      <c r="A654" s="84">
        <v>1</v>
      </c>
      <c r="B654" s="85">
        <v>43537</v>
      </c>
      <c r="C654" s="85">
        <v>43543</v>
      </c>
      <c r="F654" s="85">
        <v>43550</v>
      </c>
      <c r="H654" s="85">
        <v>43546</v>
      </c>
      <c r="I654" s="84" t="s">
        <v>401</v>
      </c>
      <c r="J654" s="84">
        <v>1</v>
      </c>
      <c r="L654" s="84">
        <v>0</v>
      </c>
      <c r="M654" s="85">
        <v>43518</v>
      </c>
      <c r="N654" s="85" t="s">
        <v>265</v>
      </c>
      <c r="O654" s="86" t="s">
        <v>340</v>
      </c>
      <c r="P654" s="84" t="s">
        <v>26</v>
      </c>
      <c r="Q654" s="86" t="s">
        <v>144</v>
      </c>
      <c r="R654" s="86" t="s">
        <v>2115</v>
      </c>
      <c r="S654" s="87" t="s">
        <v>2116</v>
      </c>
      <c r="T654" s="87" t="s">
        <v>2117</v>
      </c>
      <c r="U654" s="88">
        <v>129200</v>
      </c>
      <c r="V654" s="88">
        <v>139536</v>
      </c>
      <c r="W654" s="88">
        <v>108000</v>
      </c>
      <c r="X654" s="88">
        <v>116640</v>
      </c>
      <c r="Y654" s="88">
        <v>21200</v>
      </c>
      <c r="Z654" s="88">
        <v>22896</v>
      </c>
      <c r="AA654" s="85">
        <v>43541</v>
      </c>
      <c r="AB654" s="85">
        <v>43543</v>
      </c>
      <c r="AC654" s="85">
        <v>43543</v>
      </c>
      <c r="AD654" s="84">
        <v>0</v>
      </c>
      <c r="AG654" s="84">
        <v>0</v>
      </c>
      <c r="AJ654" s="84">
        <v>0</v>
      </c>
      <c r="AM654" s="84" t="s">
        <v>290</v>
      </c>
      <c r="AN654" s="84" t="s">
        <v>2118</v>
      </c>
      <c r="AR654" s="85">
        <v>43535</v>
      </c>
      <c r="AS654" s="84">
        <v>6001655856</v>
      </c>
      <c r="AT654" s="85">
        <v>43536</v>
      </c>
      <c r="AU654" s="84" t="s">
        <v>1930</v>
      </c>
      <c r="AV654" s="85">
        <v>43543</v>
      </c>
      <c r="AW654" s="123">
        <v>43555</v>
      </c>
      <c r="AX654" s="123">
        <v>43575</v>
      </c>
      <c r="AY654" s="132">
        <v>124032</v>
      </c>
      <c r="AZ654" s="132">
        <f>ROUNDDOWN(AY654+(AY654*MASTER!$A$2/100),0)</f>
        <v>133954</v>
      </c>
      <c r="BA654" s="84" t="s">
        <v>778</v>
      </c>
      <c r="BC654" s="88">
        <v>0</v>
      </c>
      <c r="BG654" s="88">
        <v>0</v>
      </c>
      <c r="BI654" s="84" t="s">
        <v>276</v>
      </c>
      <c r="BJ654" s="88">
        <v>13780</v>
      </c>
      <c r="BK654" s="88">
        <v>14882.4</v>
      </c>
      <c r="BL654" s="84" t="s">
        <v>1567</v>
      </c>
      <c r="BS654" s="88">
        <v>0</v>
      </c>
      <c r="BV654" s="89">
        <v>116640</v>
      </c>
      <c r="BW654" s="89">
        <v>14882.4</v>
      </c>
      <c r="BX654" s="89">
        <v>43518</v>
      </c>
      <c r="BY654" s="89">
        <v>101757.6</v>
      </c>
      <c r="BZ654" s="112">
        <v>87.240740740740748</v>
      </c>
      <c r="CK654" s="88">
        <v>31500</v>
      </c>
    </row>
    <row r="655" spans="1:89" x14ac:dyDescent="0.15">
      <c r="A655" s="84">
        <v>2</v>
      </c>
      <c r="B655" s="85">
        <v>43537</v>
      </c>
      <c r="C655" s="85">
        <v>43544</v>
      </c>
      <c r="E655" s="85">
        <v>43551</v>
      </c>
      <c r="F655" s="85">
        <v>43551</v>
      </c>
      <c r="G655" s="85">
        <v>43546</v>
      </c>
      <c r="H655" s="85">
        <v>43547</v>
      </c>
      <c r="I655" s="84" t="s">
        <v>401</v>
      </c>
      <c r="J655" s="84">
        <v>1</v>
      </c>
      <c r="L655" s="84">
        <v>0</v>
      </c>
      <c r="M655" s="85">
        <v>43518</v>
      </c>
      <c r="N655" s="85" t="s">
        <v>265</v>
      </c>
      <c r="O655" s="86" t="s">
        <v>340</v>
      </c>
      <c r="P655" s="84" t="s">
        <v>26</v>
      </c>
      <c r="Q655" s="86" t="s">
        <v>144</v>
      </c>
      <c r="R655" s="86" t="s">
        <v>2119</v>
      </c>
      <c r="S655" s="87" t="s">
        <v>2120</v>
      </c>
      <c r="T655" s="87" t="s">
        <v>2121</v>
      </c>
      <c r="U655" s="88">
        <v>120000</v>
      </c>
      <c r="V655" s="88">
        <v>129600</v>
      </c>
      <c r="W655" s="88">
        <v>108000</v>
      </c>
      <c r="X655" s="88">
        <v>116640</v>
      </c>
      <c r="Y655" s="88">
        <v>12000</v>
      </c>
      <c r="Z655" s="88">
        <v>12960</v>
      </c>
      <c r="AA655" s="85">
        <v>43541</v>
      </c>
      <c r="AB655" s="85">
        <v>43544</v>
      </c>
      <c r="AC655" s="85">
        <v>43544</v>
      </c>
      <c r="AD655" s="84">
        <v>0</v>
      </c>
      <c r="AG655" s="84">
        <v>0</v>
      </c>
      <c r="AJ655" s="84">
        <v>0</v>
      </c>
      <c r="AM655" s="84" t="s">
        <v>290</v>
      </c>
      <c r="AN655" s="84" t="s">
        <v>2122</v>
      </c>
      <c r="AR655" s="85">
        <v>43535</v>
      </c>
      <c r="AS655" s="84">
        <v>6001655856</v>
      </c>
      <c r="AT655" s="85">
        <v>43536</v>
      </c>
      <c r="AU655" s="84" t="s">
        <v>1930</v>
      </c>
      <c r="AV655" s="85">
        <v>43544</v>
      </c>
      <c r="AW655" s="123">
        <v>43555</v>
      </c>
      <c r="AX655" s="123">
        <v>43575</v>
      </c>
      <c r="AY655" s="132">
        <v>115200</v>
      </c>
      <c r="AZ655" s="132">
        <f>ROUNDDOWN(AY655+(AY655*MASTER!$A$2/100),0)</f>
        <v>124416</v>
      </c>
      <c r="BA655" s="84" t="s">
        <v>778</v>
      </c>
      <c r="BC655" s="88">
        <v>0</v>
      </c>
      <c r="BG655" s="88">
        <v>0</v>
      </c>
      <c r="BI655" s="84" t="s">
        <v>434</v>
      </c>
      <c r="BJ655" s="88">
        <v>7800</v>
      </c>
      <c r="BK655" s="88">
        <v>8424</v>
      </c>
      <c r="BL655" s="84" t="s">
        <v>1268</v>
      </c>
      <c r="BS655" s="88">
        <v>0</v>
      </c>
      <c r="BV655" s="89">
        <v>116640</v>
      </c>
      <c r="BW655" s="89">
        <v>8424</v>
      </c>
      <c r="BX655" s="89">
        <v>43518</v>
      </c>
      <c r="BY655" s="89">
        <v>108216</v>
      </c>
      <c r="BZ655" s="112">
        <v>92.777777777777786</v>
      </c>
      <c r="CK655" s="88">
        <v>31500</v>
      </c>
    </row>
    <row r="656" spans="1:89" x14ac:dyDescent="0.15">
      <c r="A656" s="84">
        <v>2</v>
      </c>
      <c r="B656" s="85">
        <v>43537</v>
      </c>
      <c r="C656" s="85">
        <v>43544</v>
      </c>
      <c r="D656" s="85">
        <v>43549</v>
      </c>
      <c r="E656" s="85">
        <v>43551</v>
      </c>
      <c r="F656" s="85">
        <v>43551</v>
      </c>
      <c r="H656" s="85">
        <v>43547</v>
      </c>
      <c r="I656" s="84" t="s">
        <v>401</v>
      </c>
      <c r="J656" s="84">
        <v>2</v>
      </c>
      <c r="L656" s="84">
        <v>0</v>
      </c>
      <c r="M656" s="85">
        <v>43518</v>
      </c>
      <c r="N656" s="85" t="s">
        <v>265</v>
      </c>
      <c r="O656" s="86" t="s">
        <v>340</v>
      </c>
      <c r="P656" s="84" t="s">
        <v>26</v>
      </c>
      <c r="Q656" s="86" t="s">
        <v>144</v>
      </c>
      <c r="R656" s="86" t="s">
        <v>2123</v>
      </c>
      <c r="S656" s="87" t="s">
        <v>2124</v>
      </c>
      <c r="T656" s="87" t="s">
        <v>2038</v>
      </c>
      <c r="U656" s="88">
        <v>238000</v>
      </c>
      <c r="V656" s="88">
        <v>257040</v>
      </c>
      <c r="W656" s="88">
        <v>238000</v>
      </c>
      <c r="X656" s="88">
        <v>257040</v>
      </c>
      <c r="Z656" s="88">
        <v>0</v>
      </c>
      <c r="AA656" s="85">
        <v>43541</v>
      </c>
      <c r="AB656" s="85">
        <v>43544</v>
      </c>
      <c r="AC656" s="85">
        <v>43544</v>
      </c>
      <c r="AD656" s="84">
        <v>0</v>
      </c>
      <c r="AG656" s="84">
        <v>0</v>
      </c>
      <c r="AJ656" s="84">
        <v>0</v>
      </c>
      <c r="AM656" s="84" t="s">
        <v>290</v>
      </c>
      <c r="AN656" s="84" t="s">
        <v>2125</v>
      </c>
      <c r="AR656" s="85">
        <v>43535</v>
      </c>
      <c r="AS656" s="84">
        <v>6001655856</v>
      </c>
      <c r="AT656" s="85">
        <v>43536</v>
      </c>
      <c r="AU656" s="84" t="s">
        <v>1930</v>
      </c>
      <c r="AV656" s="85">
        <v>43544</v>
      </c>
      <c r="AW656" s="123">
        <v>43555</v>
      </c>
      <c r="AX656" s="123">
        <v>43575</v>
      </c>
      <c r="AY656" s="132">
        <v>228480</v>
      </c>
      <c r="AZ656" s="132">
        <f>ROUNDDOWN(AY656+(AY656*MASTER!$A$2/100),0)</f>
        <v>246758</v>
      </c>
      <c r="BA656" s="84" t="s">
        <v>286</v>
      </c>
      <c r="BB656" s="88">
        <v>50360</v>
      </c>
      <c r="BC656" s="88">
        <v>54388.800000000003</v>
      </c>
      <c r="BD656" s="84" t="s">
        <v>1268</v>
      </c>
      <c r="BG656" s="88">
        <v>0</v>
      </c>
      <c r="BK656" s="88">
        <v>0</v>
      </c>
      <c r="BS656" s="88">
        <v>0</v>
      </c>
      <c r="BV656" s="89">
        <v>257040</v>
      </c>
      <c r="BW656" s="89">
        <v>54388.800000000003</v>
      </c>
      <c r="BX656" s="89">
        <v>43518</v>
      </c>
      <c r="BY656" s="89">
        <v>202651.2</v>
      </c>
      <c r="BZ656" s="112">
        <v>78.840336134453779</v>
      </c>
      <c r="CK656" s="88">
        <v>31500</v>
      </c>
    </row>
    <row r="657" spans="1:89" x14ac:dyDescent="0.15">
      <c r="A657" s="84">
        <v>2</v>
      </c>
      <c r="B657" s="85">
        <v>43537</v>
      </c>
      <c r="C657" s="85">
        <v>43542</v>
      </c>
      <c r="D657" s="85">
        <v>43571</v>
      </c>
      <c r="E657" s="85">
        <v>43559</v>
      </c>
      <c r="F657" s="85">
        <v>43549</v>
      </c>
      <c r="G657" s="85">
        <v>43549</v>
      </c>
      <c r="H657" s="85">
        <v>43545</v>
      </c>
      <c r="I657" s="84" t="s">
        <v>1191</v>
      </c>
      <c r="J657" s="84">
        <v>1</v>
      </c>
      <c r="L657" s="84">
        <v>0</v>
      </c>
      <c r="M657" s="85">
        <v>43518</v>
      </c>
      <c r="N657" s="85" t="s">
        <v>265</v>
      </c>
      <c r="O657" s="86" t="s">
        <v>340</v>
      </c>
      <c r="P657" s="84" t="s">
        <v>26</v>
      </c>
      <c r="Q657" s="86" t="s">
        <v>144</v>
      </c>
      <c r="R657" s="86" t="s">
        <v>2126</v>
      </c>
      <c r="S657" s="87" t="s">
        <v>1108</v>
      </c>
      <c r="T657" s="87" t="s">
        <v>1275</v>
      </c>
      <c r="U657" s="88">
        <v>148500</v>
      </c>
      <c r="V657" s="88">
        <v>160380</v>
      </c>
      <c r="W657" s="88">
        <v>145500</v>
      </c>
      <c r="X657" s="88">
        <v>157140</v>
      </c>
      <c r="Y657" s="88">
        <v>3000</v>
      </c>
      <c r="Z657" s="88">
        <v>3240</v>
      </c>
      <c r="AA657" s="85">
        <v>43541</v>
      </c>
      <c r="AB657" s="85">
        <v>43542</v>
      </c>
      <c r="AC657" s="85">
        <v>43542</v>
      </c>
      <c r="AD657" s="84">
        <v>0</v>
      </c>
      <c r="AG657" s="84">
        <v>0</v>
      </c>
      <c r="AJ657" s="84">
        <v>0</v>
      </c>
      <c r="AM657" s="84" t="s">
        <v>290</v>
      </c>
      <c r="AN657" s="84" t="s">
        <v>2127</v>
      </c>
      <c r="AR657" s="85">
        <v>43535</v>
      </c>
      <c r="AS657" s="84">
        <v>6001655856</v>
      </c>
      <c r="AT657" s="85">
        <v>43536</v>
      </c>
      <c r="AU657" s="84" t="s">
        <v>1930</v>
      </c>
      <c r="AV657" s="85">
        <v>43542</v>
      </c>
      <c r="AW657" s="123">
        <v>43555</v>
      </c>
      <c r="AX657" s="123">
        <v>43575</v>
      </c>
      <c r="AY657" s="132">
        <v>142560</v>
      </c>
      <c r="AZ657" s="132">
        <f>ROUNDDOWN(AY657+(AY657*MASTER!$A$2/100),0)</f>
        <v>153964</v>
      </c>
      <c r="BA657" s="84" t="s">
        <v>778</v>
      </c>
      <c r="BC657" s="88">
        <v>0</v>
      </c>
      <c r="BG657" s="88">
        <v>0</v>
      </c>
      <c r="BI657" s="84" t="s">
        <v>434</v>
      </c>
      <c r="BJ657" s="88">
        <v>1950</v>
      </c>
      <c r="BK657" s="88">
        <v>2106</v>
      </c>
      <c r="BL657" s="84" t="s">
        <v>1268</v>
      </c>
      <c r="BS657" s="88">
        <v>0</v>
      </c>
      <c r="BV657" s="89">
        <v>157140</v>
      </c>
      <c r="BW657" s="89">
        <v>2106</v>
      </c>
      <c r="BX657" s="89">
        <v>43518</v>
      </c>
      <c r="BY657" s="89">
        <v>155034</v>
      </c>
      <c r="BZ657" s="112">
        <v>98.659793814432987</v>
      </c>
      <c r="CK657" s="88">
        <v>31500</v>
      </c>
    </row>
    <row r="658" spans="1:89" x14ac:dyDescent="0.15">
      <c r="A658" s="84">
        <v>2</v>
      </c>
      <c r="B658" s="85">
        <v>43537</v>
      </c>
      <c r="C658" s="85">
        <v>43545</v>
      </c>
      <c r="D658" s="85">
        <v>43571</v>
      </c>
      <c r="E658" s="85">
        <v>43559</v>
      </c>
      <c r="F658" s="85">
        <v>43552</v>
      </c>
      <c r="G658" s="85">
        <v>43549</v>
      </c>
      <c r="H658" s="85">
        <v>43548</v>
      </c>
      <c r="I658" s="84" t="s">
        <v>1191</v>
      </c>
      <c r="J658" s="84">
        <v>2</v>
      </c>
      <c r="L658" s="84">
        <v>0</v>
      </c>
      <c r="M658" s="85">
        <v>43518</v>
      </c>
      <c r="N658" s="85" t="s">
        <v>265</v>
      </c>
      <c r="O658" s="86" t="s">
        <v>340</v>
      </c>
      <c r="P658" s="84" t="s">
        <v>26</v>
      </c>
      <c r="Q658" s="86" t="s">
        <v>144</v>
      </c>
      <c r="R658" s="86" t="s">
        <v>2128</v>
      </c>
      <c r="S658" s="87" t="s">
        <v>1142</v>
      </c>
      <c r="T658" s="87" t="s">
        <v>2129</v>
      </c>
      <c r="U658" s="88">
        <v>238000</v>
      </c>
      <c r="V658" s="88">
        <v>257040</v>
      </c>
      <c r="W658" s="88">
        <v>238000</v>
      </c>
      <c r="X658" s="88">
        <v>257040</v>
      </c>
      <c r="Z658" s="88">
        <v>0</v>
      </c>
      <c r="AA658" s="85">
        <v>43543</v>
      </c>
      <c r="AB658" s="85">
        <v>43545</v>
      </c>
      <c r="AC658" s="85">
        <v>43545</v>
      </c>
      <c r="AD658" s="84">
        <v>0</v>
      </c>
      <c r="AG658" s="84">
        <v>0</v>
      </c>
      <c r="AJ658" s="84">
        <v>0</v>
      </c>
      <c r="AM658" s="84" t="s">
        <v>290</v>
      </c>
      <c r="AN658" s="84" t="s">
        <v>2130</v>
      </c>
      <c r="AR658" s="85">
        <v>43535</v>
      </c>
      <c r="AS658" s="84">
        <v>6001655856</v>
      </c>
      <c r="AT658" s="85">
        <v>43536</v>
      </c>
      <c r="AU658" s="84" t="s">
        <v>1930</v>
      </c>
      <c r="AV658" s="85">
        <v>43545</v>
      </c>
      <c r="AW658" s="123">
        <v>43555</v>
      </c>
      <c r="AX658" s="123">
        <v>43575</v>
      </c>
      <c r="AY658" s="132">
        <v>228480</v>
      </c>
      <c r="AZ658" s="132">
        <f>ROUNDDOWN(AY658+(AY658*MASTER!$A$2/100),0)</f>
        <v>246758</v>
      </c>
      <c r="BA658" s="84" t="s">
        <v>287</v>
      </c>
      <c r="BB658" s="88">
        <v>74600</v>
      </c>
      <c r="BC658" s="88">
        <v>80568</v>
      </c>
      <c r="BD658" s="84" t="s">
        <v>1268</v>
      </c>
      <c r="BG658" s="88">
        <v>0</v>
      </c>
      <c r="BK658" s="88">
        <v>0</v>
      </c>
      <c r="BS658" s="88">
        <v>0</v>
      </c>
      <c r="BV658" s="89">
        <v>257040</v>
      </c>
      <c r="BW658" s="89">
        <v>80568</v>
      </c>
      <c r="BX658" s="89">
        <v>43518</v>
      </c>
      <c r="BY658" s="89">
        <v>176472</v>
      </c>
      <c r="BZ658" s="112">
        <v>68.655462184873954</v>
      </c>
      <c r="CK658" s="88">
        <v>31500</v>
      </c>
    </row>
    <row r="659" spans="1:89" x14ac:dyDescent="0.15">
      <c r="A659" s="84">
        <v>2</v>
      </c>
      <c r="B659" s="85">
        <v>43537</v>
      </c>
      <c r="C659" s="85">
        <v>43545</v>
      </c>
      <c r="D659" s="85">
        <v>43559</v>
      </c>
      <c r="E659" s="85">
        <v>43549</v>
      </c>
      <c r="F659" s="85">
        <v>43552</v>
      </c>
      <c r="G659" s="85">
        <v>43546</v>
      </c>
      <c r="H659" s="85">
        <v>43548</v>
      </c>
      <c r="I659" s="84" t="s">
        <v>1191</v>
      </c>
      <c r="J659" s="84">
        <v>1</v>
      </c>
      <c r="L659" s="84">
        <v>0</v>
      </c>
      <c r="M659" s="85">
        <v>43518</v>
      </c>
      <c r="N659" s="85" t="s">
        <v>265</v>
      </c>
      <c r="O659" s="86" t="s">
        <v>340</v>
      </c>
      <c r="P659" s="84" t="s">
        <v>26</v>
      </c>
      <c r="Q659" s="86" t="s">
        <v>144</v>
      </c>
      <c r="R659" s="86" t="s">
        <v>2131</v>
      </c>
      <c r="S659" s="87" t="s">
        <v>2132</v>
      </c>
      <c r="T659" s="87" t="s">
        <v>1635</v>
      </c>
      <c r="U659" s="88">
        <v>171700</v>
      </c>
      <c r="V659" s="88">
        <v>185436</v>
      </c>
      <c r="W659" s="88">
        <v>145500</v>
      </c>
      <c r="X659" s="88">
        <v>157140</v>
      </c>
      <c r="Y659" s="88">
        <v>26200</v>
      </c>
      <c r="Z659" s="88">
        <v>28296</v>
      </c>
      <c r="AA659" s="85">
        <v>43542</v>
      </c>
      <c r="AB659" s="85">
        <v>43545</v>
      </c>
      <c r="AC659" s="85">
        <v>43545</v>
      </c>
      <c r="AD659" s="84">
        <v>0</v>
      </c>
      <c r="AG659" s="84">
        <v>0</v>
      </c>
      <c r="AJ659" s="84">
        <v>0</v>
      </c>
      <c r="AM659" s="84" t="s">
        <v>290</v>
      </c>
      <c r="AN659" s="84" t="s">
        <v>961</v>
      </c>
      <c r="AR659" s="85">
        <v>43535</v>
      </c>
      <c r="AS659" s="84">
        <v>6001655856</v>
      </c>
      <c r="AT659" s="85">
        <v>43536</v>
      </c>
      <c r="AU659" s="84" t="s">
        <v>1930</v>
      </c>
      <c r="AV659" s="85">
        <v>43545</v>
      </c>
      <c r="AW659" s="123">
        <v>43555</v>
      </c>
      <c r="AX659" s="123">
        <v>43575</v>
      </c>
      <c r="AY659" s="132">
        <v>164832</v>
      </c>
      <c r="AZ659" s="132">
        <f>ROUNDDOWN(AY659+(AY659*MASTER!$A$2/100),0)</f>
        <v>178018</v>
      </c>
      <c r="BA659" s="84" t="s">
        <v>14</v>
      </c>
      <c r="BB659" s="88">
        <v>53000</v>
      </c>
      <c r="BC659" s="88">
        <v>57240</v>
      </c>
      <c r="BD659" s="84" t="s">
        <v>1268</v>
      </c>
      <c r="BG659" s="88">
        <v>0</v>
      </c>
      <c r="BI659" s="84" t="s">
        <v>276</v>
      </c>
      <c r="BJ659" s="88">
        <v>17030</v>
      </c>
      <c r="BK659" s="88">
        <v>18392.400000000001</v>
      </c>
      <c r="BL659" s="84" t="s">
        <v>1659</v>
      </c>
      <c r="BS659" s="88">
        <v>0</v>
      </c>
      <c r="BV659" s="89">
        <v>157140</v>
      </c>
      <c r="BW659" s="89">
        <v>75632.399999999994</v>
      </c>
      <c r="BX659" s="89">
        <v>43518</v>
      </c>
      <c r="BY659" s="89">
        <v>81507.600000000006</v>
      </c>
      <c r="BZ659" s="112">
        <v>51.869415807560138</v>
      </c>
      <c r="CK659" s="88">
        <v>31500</v>
      </c>
    </row>
    <row r="660" spans="1:89" x14ac:dyDescent="0.15">
      <c r="A660" s="84">
        <v>2</v>
      </c>
      <c r="B660" s="85">
        <v>43537</v>
      </c>
      <c r="C660" s="85">
        <v>43544</v>
      </c>
      <c r="D660" s="85">
        <v>43559</v>
      </c>
      <c r="E660" s="85">
        <v>43549</v>
      </c>
      <c r="F660" s="85">
        <v>43551</v>
      </c>
      <c r="G660" s="85">
        <v>43546</v>
      </c>
      <c r="H660" s="85">
        <v>43547</v>
      </c>
      <c r="I660" s="84" t="s">
        <v>1191</v>
      </c>
      <c r="J660" s="84">
        <v>2</v>
      </c>
      <c r="L660" s="84">
        <v>0</v>
      </c>
      <c r="M660" s="85">
        <v>43518</v>
      </c>
      <c r="N660" s="85" t="s">
        <v>265</v>
      </c>
      <c r="O660" s="86" t="s">
        <v>340</v>
      </c>
      <c r="P660" s="84" t="s">
        <v>26</v>
      </c>
      <c r="Q660" s="86" t="s">
        <v>144</v>
      </c>
      <c r="R660" s="86" t="s">
        <v>2133</v>
      </c>
      <c r="S660" s="87" t="s">
        <v>593</v>
      </c>
      <c r="T660" s="87" t="s">
        <v>1918</v>
      </c>
      <c r="U660" s="88">
        <v>238000</v>
      </c>
      <c r="V660" s="88">
        <v>257040</v>
      </c>
      <c r="W660" s="88">
        <v>238000</v>
      </c>
      <c r="X660" s="88">
        <v>257040</v>
      </c>
      <c r="Z660" s="88">
        <v>0</v>
      </c>
      <c r="AA660" s="85">
        <v>43541</v>
      </c>
      <c r="AB660" s="85">
        <v>43544</v>
      </c>
      <c r="AC660" s="85">
        <v>43544</v>
      </c>
      <c r="AD660" s="84">
        <v>0</v>
      </c>
      <c r="AG660" s="84">
        <v>0</v>
      </c>
      <c r="AJ660" s="84">
        <v>0</v>
      </c>
      <c r="AM660" s="84" t="s">
        <v>290</v>
      </c>
      <c r="AN660" s="84" t="s">
        <v>2134</v>
      </c>
      <c r="AR660" s="85">
        <v>43535</v>
      </c>
      <c r="AS660" s="84">
        <v>6001655856</v>
      </c>
      <c r="AT660" s="85">
        <v>43536</v>
      </c>
      <c r="AU660" s="84" t="s">
        <v>1930</v>
      </c>
      <c r="AV660" s="85">
        <v>43544</v>
      </c>
      <c r="AW660" s="123">
        <v>43555</v>
      </c>
      <c r="AX660" s="123">
        <v>43575</v>
      </c>
      <c r="AY660" s="132">
        <v>228480</v>
      </c>
      <c r="AZ660" s="132">
        <f>ROUNDDOWN(AY660+(AY660*MASTER!$A$2/100),0)</f>
        <v>246758</v>
      </c>
      <c r="BA660" s="84" t="s">
        <v>14</v>
      </c>
      <c r="BB660" s="88">
        <v>98800</v>
      </c>
      <c r="BC660" s="88">
        <v>106704</v>
      </c>
      <c r="BD660" s="84" t="s">
        <v>1268</v>
      </c>
      <c r="BG660" s="88">
        <v>0</v>
      </c>
      <c r="BK660" s="88">
        <v>0</v>
      </c>
      <c r="BS660" s="88">
        <v>0</v>
      </c>
      <c r="BV660" s="89">
        <v>257040</v>
      </c>
      <c r="BW660" s="89">
        <v>106704</v>
      </c>
      <c r="BX660" s="89">
        <v>43518</v>
      </c>
      <c r="BY660" s="89">
        <v>150336</v>
      </c>
      <c r="BZ660" s="112">
        <v>58.487394957983199</v>
      </c>
      <c r="CK660" s="88">
        <v>31500</v>
      </c>
    </row>
    <row r="661" spans="1:89" x14ac:dyDescent="0.15">
      <c r="A661" s="84">
        <v>1</v>
      </c>
      <c r="B661" s="85">
        <v>43536</v>
      </c>
      <c r="C661" s="85">
        <v>43536</v>
      </c>
      <c r="F661" s="85" t="s">
        <v>338</v>
      </c>
      <c r="H661" s="85" t="s">
        <v>338</v>
      </c>
      <c r="J661" s="84">
        <v>3</v>
      </c>
      <c r="L661" s="84">
        <v>0</v>
      </c>
      <c r="M661" s="85">
        <v>43518</v>
      </c>
      <c r="N661" s="85" t="s">
        <v>265</v>
      </c>
      <c r="O661" s="86" t="s">
        <v>340</v>
      </c>
      <c r="P661" s="84" t="s">
        <v>6</v>
      </c>
      <c r="Q661" s="86" t="s">
        <v>144</v>
      </c>
      <c r="R661" s="86" t="s">
        <v>2135</v>
      </c>
      <c r="S661" s="87" t="s">
        <v>598</v>
      </c>
      <c r="T661" s="87" t="s">
        <v>2136</v>
      </c>
      <c r="U661" s="88">
        <v>15000</v>
      </c>
      <c r="V661" s="88">
        <v>16200</v>
      </c>
      <c r="W661" s="88">
        <v>0</v>
      </c>
      <c r="X661" s="88">
        <v>0</v>
      </c>
      <c r="Y661" s="88">
        <v>15000</v>
      </c>
      <c r="Z661" s="88">
        <v>16200</v>
      </c>
      <c r="AD661" s="84">
        <v>0</v>
      </c>
      <c r="AG661" s="84">
        <v>0</v>
      </c>
      <c r="AJ661" s="84">
        <v>0</v>
      </c>
      <c r="AR661" s="85">
        <v>43532</v>
      </c>
      <c r="AS661" s="84">
        <v>6001655449</v>
      </c>
      <c r="AT661" s="85">
        <v>43535</v>
      </c>
      <c r="AU661" s="84" t="s">
        <v>1623</v>
      </c>
      <c r="AV661" s="85">
        <v>43536</v>
      </c>
      <c r="AW661" s="123">
        <v>43555</v>
      </c>
      <c r="AX661" s="123">
        <v>43575</v>
      </c>
      <c r="AY661" s="132">
        <v>14400</v>
      </c>
      <c r="AZ661" s="132">
        <f>ROUNDDOWN(AY661+(AY661*MASTER!$A$2/100),0)</f>
        <v>15552</v>
      </c>
      <c r="BC661" s="88">
        <v>0</v>
      </c>
      <c r="BG661" s="88">
        <v>0</v>
      </c>
      <c r="BK661" s="88">
        <v>0</v>
      </c>
      <c r="BS661" s="88">
        <v>0</v>
      </c>
      <c r="BV661" s="89">
        <v>0</v>
      </c>
      <c r="BW661" s="89">
        <v>0</v>
      </c>
      <c r="BX661" s="89">
        <v>43518</v>
      </c>
      <c r="BY661" s="89">
        <v>0</v>
      </c>
      <c r="BZ661" s="112" t="s">
        <v>338</v>
      </c>
    </row>
    <row r="662" spans="1:89" x14ac:dyDescent="0.15">
      <c r="A662" s="84">
        <v>2</v>
      </c>
      <c r="C662" s="85" t="s">
        <v>338</v>
      </c>
      <c r="F662" s="85" t="s">
        <v>338</v>
      </c>
      <c r="H662" s="85" t="s">
        <v>338</v>
      </c>
      <c r="J662" s="84">
        <v>4</v>
      </c>
      <c r="L662" s="84">
        <v>0</v>
      </c>
      <c r="M662" s="85">
        <v>43518</v>
      </c>
      <c r="N662" s="85" t="s">
        <v>265</v>
      </c>
      <c r="O662" s="86" t="s">
        <v>340</v>
      </c>
      <c r="P662" s="84" t="s">
        <v>78</v>
      </c>
      <c r="Q662" s="86" t="s">
        <v>144</v>
      </c>
      <c r="R662" s="86" t="s">
        <v>2137</v>
      </c>
      <c r="S662" s="87" t="s">
        <v>562</v>
      </c>
      <c r="T662" s="87" t="s">
        <v>2138</v>
      </c>
      <c r="U662" s="88">
        <v>0</v>
      </c>
      <c r="V662" s="88">
        <v>0</v>
      </c>
      <c r="W662" s="88">
        <v>0</v>
      </c>
      <c r="X662" s="88">
        <v>0</v>
      </c>
      <c r="Y662" s="88">
        <v>0</v>
      </c>
      <c r="Z662" s="88">
        <v>0</v>
      </c>
      <c r="AA662" s="85">
        <v>43486</v>
      </c>
      <c r="AB662" s="85">
        <v>43516</v>
      </c>
      <c r="AD662" s="84">
        <v>0</v>
      </c>
      <c r="AG662" s="84">
        <v>0</v>
      </c>
      <c r="AJ662" s="84">
        <v>0</v>
      </c>
      <c r="AN662" s="84" t="s">
        <v>338</v>
      </c>
      <c r="AY662" s="132">
        <f>ROUNDDOWN((0.96*U662),0)</f>
        <v>0</v>
      </c>
      <c r="AZ662" s="132">
        <f>ROUNDDOWN(AY662+(AY662*MASTER!$A$2/100),0)</f>
        <v>0</v>
      </c>
      <c r="BA662" s="84" t="s">
        <v>289</v>
      </c>
      <c r="BB662" s="88">
        <v>575223</v>
      </c>
      <c r="BC662" s="88">
        <v>621240.84</v>
      </c>
      <c r="BD662" s="84" t="s">
        <v>1233</v>
      </c>
      <c r="BG662" s="88">
        <v>0</v>
      </c>
      <c r="BK662" s="88">
        <v>0</v>
      </c>
      <c r="BS662" s="88">
        <v>0</v>
      </c>
      <c r="BV662" s="89">
        <v>0</v>
      </c>
      <c r="BW662" s="89">
        <v>621240.84</v>
      </c>
      <c r="BX662" s="89">
        <v>43518</v>
      </c>
      <c r="BY662" s="89">
        <v>-621240.84</v>
      </c>
      <c r="BZ662" s="112" t="s">
        <v>338</v>
      </c>
    </row>
    <row r="663" spans="1:89" x14ac:dyDescent="0.15">
      <c r="A663" s="84">
        <v>2</v>
      </c>
      <c r="C663" s="85" t="s">
        <v>338</v>
      </c>
      <c r="F663" s="85" t="s">
        <v>338</v>
      </c>
      <c r="H663" s="85" t="s">
        <v>338</v>
      </c>
      <c r="J663" s="84">
        <v>4</v>
      </c>
      <c r="L663" s="84">
        <v>0</v>
      </c>
      <c r="M663" s="85">
        <v>43518</v>
      </c>
      <c r="N663" s="85" t="s">
        <v>265</v>
      </c>
      <c r="O663" s="86" t="s">
        <v>340</v>
      </c>
      <c r="P663" s="84" t="s">
        <v>6</v>
      </c>
      <c r="Q663" s="86" t="s">
        <v>144</v>
      </c>
      <c r="R663" s="86" t="s">
        <v>2139</v>
      </c>
      <c r="S663" s="87" t="s">
        <v>955</v>
      </c>
      <c r="T663" s="87" t="s">
        <v>2140</v>
      </c>
      <c r="U663" s="88">
        <v>0</v>
      </c>
      <c r="V663" s="88">
        <v>0</v>
      </c>
      <c r="W663" s="88">
        <v>0</v>
      </c>
      <c r="X663" s="88">
        <v>0</v>
      </c>
      <c r="Y663" s="88">
        <v>0</v>
      </c>
      <c r="Z663" s="88">
        <v>0</v>
      </c>
      <c r="AA663" s="85">
        <v>43514</v>
      </c>
      <c r="AB663" s="85">
        <v>43504</v>
      </c>
      <c r="AD663" s="84">
        <v>0</v>
      </c>
      <c r="AG663" s="84">
        <v>0</v>
      </c>
      <c r="AJ663" s="84">
        <v>0</v>
      </c>
      <c r="AN663" s="84" t="s">
        <v>338</v>
      </c>
      <c r="AY663" s="132">
        <v>0</v>
      </c>
      <c r="AZ663" s="132">
        <f>ROUNDDOWN(AY663+(AY663*MASTER!$A$2/100),0)</f>
        <v>0</v>
      </c>
      <c r="BA663" s="84" t="s">
        <v>400</v>
      </c>
      <c r="BB663" s="88">
        <v>21000</v>
      </c>
      <c r="BC663" s="88">
        <v>22680</v>
      </c>
      <c r="BD663" s="84" t="s">
        <v>1233</v>
      </c>
      <c r="BG663" s="88">
        <v>0</v>
      </c>
      <c r="BK663" s="88">
        <v>0</v>
      </c>
      <c r="BS663" s="88">
        <v>0</v>
      </c>
      <c r="BV663" s="89">
        <v>0</v>
      </c>
      <c r="BW663" s="89">
        <v>22680</v>
      </c>
      <c r="BX663" s="89">
        <v>43518</v>
      </c>
      <c r="BY663" s="89">
        <v>-22680</v>
      </c>
      <c r="BZ663" s="112" t="s">
        <v>338</v>
      </c>
    </row>
    <row r="664" spans="1:89" x14ac:dyDescent="0.15">
      <c r="A664" s="84">
        <v>2</v>
      </c>
      <c r="C664" s="85" t="s">
        <v>338</v>
      </c>
      <c r="F664" s="85" t="s">
        <v>338</v>
      </c>
      <c r="H664" s="85" t="s">
        <v>338</v>
      </c>
      <c r="J664" s="84">
        <v>4</v>
      </c>
      <c r="L664" s="84">
        <v>0</v>
      </c>
      <c r="M664" s="85">
        <v>43518</v>
      </c>
      <c r="N664" s="85" t="s">
        <v>265</v>
      </c>
      <c r="O664" s="86" t="s">
        <v>340</v>
      </c>
      <c r="P664" s="84" t="s">
        <v>6</v>
      </c>
      <c r="Q664" s="86" t="s">
        <v>144</v>
      </c>
      <c r="R664" s="86" t="s">
        <v>2141</v>
      </c>
      <c r="S664" s="87" t="s">
        <v>676</v>
      </c>
      <c r="T664" s="87" t="s">
        <v>2142</v>
      </c>
      <c r="U664" s="88">
        <v>0</v>
      </c>
      <c r="V664" s="88">
        <v>0</v>
      </c>
      <c r="X664" s="88">
        <v>0</v>
      </c>
      <c r="Z664" s="88">
        <v>0</v>
      </c>
      <c r="AA664" s="85">
        <v>43503</v>
      </c>
      <c r="AB664" s="85">
        <v>43503</v>
      </c>
      <c r="AD664" s="84">
        <v>0</v>
      </c>
      <c r="AG664" s="84">
        <v>0</v>
      </c>
      <c r="AJ664" s="84">
        <v>0</v>
      </c>
      <c r="AN664" s="84" t="s">
        <v>338</v>
      </c>
      <c r="AY664" s="132">
        <f>ROUNDDOWN((0.96*U664),0)</f>
        <v>0</v>
      </c>
      <c r="AZ664" s="132">
        <f>ROUNDDOWN(AY664+(AY664*MASTER!$A$2/100),0)</f>
        <v>0</v>
      </c>
      <c r="BA664" s="84" t="s">
        <v>400</v>
      </c>
      <c r="BB664" s="88">
        <v>23000</v>
      </c>
      <c r="BC664" s="88">
        <v>24840</v>
      </c>
      <c r="BD664" s="84" t="s">
        <v>1233</v>
      </c>
      <c r="BG664" s="88">
        <v>0</v>
      </c>
      <c r="BK664" s="88">
        <v>0</v>
      </c>
      <c r="BS664" s="88">
        <v>0</v>
      </c>
      <c r="BV664" s="89">
        <v>0</v>
      </c>
      <c r="BW664" s="89">
        <v>24840</v>
      </c>
      <c r="BX664" s="89">
        <v>43518</v>
      </c>
      <c r="BY664" s="89">
        <v>-24840</v>
      </c>
      <c r="BZ664" s="112" t="s">
        <v>338</v>
      </c>
    </row>
    <row r="665" spans="1:89" x14ac:dyDescent="0.15">
      <c r="A665" s="84">
        <v>2</v>
      </c>
      <c r="C665" s="85" t="s">
        <v>338</v>
      </c>
      <c r="F665" s="85" t="s">
        <v>338</v>
      </c>
      <c r="H665" s="85" t="s">
        <v>338</v>
      </c>
      <c r="J665" s="84">
        <v>4</v>
      </c>
      <c r="L665" s="84">
        <v>0</v>
      </c>
      <c r="M665" s="85">
        <v>43518</v>
      </c>
      <c r="N665" s="85" t="s">
        <v>265</v>
      </c>
      <c r="O665" s="86" t="s">
        <v>340</v>
      </c>
      <c r="P665" s="84" t="s">
        <v>6</v>
      </c>
      <c r="Q665" s="86" t="s">
        <v>144</v>
      </c>
      <c r="R665" s="86" t="s">
        <v>2143</v>
      </c>
      <c r="S665" s="87" t="s">
        <v>924</v>
      </c>
      <c r="T665" s="87" t="s">
        <v>2144</v>
      </c>
      <c r="U665" s="88">
        <v>0</v>
      </c>
      <c r="V665" s="88">
        <v>0</v>
      </c>
      <c r="W665" s="88">
        <v>0</v>
      </c>
      <c r="X665" s="88">
        <v>0</v>
      </c>
      <c r="Y665" s="88">
        <v>0</v>
      </c>
      <c r="Z665" s="88">
        <v>0</v>
      </c>
      <c r="AA665" s="85">
        <v>43499</v>
      </c>
      <c r="AB665" s="85">
        <v>43500</v>
      </c>
      <c r="AD665" s="84">
        <v>0</v>
      </c>
      <c r="AG665" s="84">
        <v>0</v>
      </c>
      <c r="AJ665" s="84">
        <v>0</v>
      </c>
      <c r="AN665" s="84" t="s">
        <v>338</v>
      </c>
      <c r="AY665" s="132">
        <f>ROUNDDOWN((0.96*U665),0)</f>
        <v>0</v>
      </c>
      <c r="AZ665" s="132">
        <f>ROUNDDOWN(AY665+(AY665*MASTER!$A$2/100),0)</f>
        <v>0</v>
      </c>
      <c r="BA665" s="84" t="s">
        <v>14</v>
      </c>
      <c r="BB665" s="88">
        <v>74000</v>
      </c>
      <c r="BC665" s="88">
        <v>79920</v>
      </c>
      <c r="BD665" s="84" t="s">
        <v>1233</v>
      </c>
      <c r="BG665" s="88">
        <v>0</v>
      </c>
      <c r="BK665" s="88">
        <v>0</v>
      </c>
      <c r="BS665" s="88">
        <v>0</v>
      </c>
      <c r="BV665" s="89">
        <v>0</v>
      </c>
      <c r="BW665" s="89">
        <v>79920</v>
      </c>
      <c r="BX665" s="89">
        <v>43518</v>
      </c>
      <c r="BY665" s="89">
        <v>-79920</v>
      </c>
      <c r="BZ665" s="112" t="s">
        <v>338</v>
      </c>
    </row>
    <row r="666" spans="1:89" x14ac:dyDescent="0.15">
      <c r="A666" s="84">
        <v>1</v>
      </c>
      <c r="C666" s="85" t="s">
        <v>338</v>
      </c>
      <c r="F666" s="85" t="s">
        <v>338</v>
      </c>
      <c r="H666" s="85" t="s">
        <v>338</v>
      </c>
      <c r="J666" s="84">
        <v>2</v>
      </c>
      <c r="L666" s="84">
        <v>0</v>
      </c>
      <c r="M666" s="85">
        <v>43521</v>
      </c>
      <c r="N666" s="85" t="s">
        <v>264</v>
      </c>
      <c r="O666" s="86" t="s">
        <v>340</v>
      </c>
      <c r="P666" s="84" t="s">
        <v>272</v>
      </c>
      <c r="Q666" s="86" t="s">
        <v>144</v>
      </c>
      <c r="R666" s="86" t="s">
        <v>2145</v>
      </c>
      <c r="S666" s="87" t="s">
        <v>387</v>
      </c>
      <c r="T666" s="87" t="s">
        <v>2146</v>
      </c>
      <c r="U666" s="88">
        <v>460000</v>
      </c>
      <c r="V666" s="88">
        <v>496800</v>
      </c>
      <c r="W666" s="88">
        <v>460000</v>
      </c>
      <c r="X666" s="88">
        <v>496800</v>
      </c>
      <c r="Z666" s="88">
        <v>0</v>
      </c>
      <c r="AD666" s="84">
        <v>0</v>
      </c>
      <c r="AG666" s="84">
        <v>0</v>
      </c>
      <c r="AJ666" s="84">
        <v>0</v>
      </c>
      <c r="AR666" s="85">
        <v>43523</v>
      </c>
      <c r="AS666" s="84">
        <v>6001651486</v>
      </c>
      <c r="AT666" s="85">
        <v>43523</v>
      </c>
      <c r="AU666" s="84" t="s">
        <v>2147</v>
      </c>
      <c r="AV666" s="85">
        <v>43539</v>
      </c>
      <c r="AW666" s="123">
        <v>43555</v>
      </c>
      <c r="AX666" s="123">
        <v>43575</v>
      </c>
      <c r="AY666" s="140">
        <v>460000</v>
      </c>
      <c r="AZ666" s="132">
        <f>ROUNDDOWN(AY666+(AY666*MASTER!$A$2/100),0)</f>
        <v>496800</v>
      </c>
      <c r="BC666" s="88">
        <v>0</v>
      </c>
      <c r="BG666" s="88">
        <v>0</v>
      </c>
      <c r="BK666" s="88">
        <v>0</v>
      </c>
      <c r="BS666" s="88">
        <v>0</v>
      </c>
      <c r="BV666" s="89">
        <v>496800</v>
      </c>
      <c r="BW666" s="89">
        <v>0</v>
      </c>
      <c r="BX666" s="89">
        <v>43521</v>
      </c>
      <c r="BY666" s="89">
        <v>496800</v>
      </c>
      <c r="BZ666" s="112">
        <v>100</v>
      </c>
    </row>
    <row r="667" spans="1:89" s="151" customFormat="1" x14ac:dyDescent="0.15">
      <c r="A667" s="141">
        <v>3</v>
      </c>
      <c r="B667" s="142"/>
      <c r="C667" s="142" t="s">
        <v>338</v>
      </c>
      <c r="D667" s="142"/>
      <c r="E667" s="142"/>
      <c r="F667" s="142" t="s">
        <v>338</v>
      </c>
      <c r="G667" s="142"/>
      <c r="H667" s="142" t="s">
        <v>338</v>
      </c>
      <c r="I667" s="141"/>
      <c r="J667" s="141">
        <v>2</v>
      </c>
      <c r="K667" s="142"/>
      <c r="L667" s="141">
        <v>0</v>
      </c>
      <c r="M667" s="142">
        <v>43521</v>
      </c>
      <c r="N667" s="142" t="s">
        <v>264</v>
      </c>
      <c r="O667" s="143" t="s">
        <v>340</v>
      </c>
      <c r="P667" s="141" t="s">
        <v>272</v>
      </c>
      <c r="Q667" s="143" t="s">
        <v>144</v>
      </c>
      <c r="R667" s="143" t="s">
        <v>2148</v>
      </c>
      <c r="S667" s="144" t="s">
        <v>387</v>
      </c>
      <c r="T667" s="144" t="s">
        <v>2149</v>
      </c>
      <c r="U667" s="145">
        <v>495000</v>
      </c>
      <c r="V667" s="145">
        <v>534600</v>
      </c>
      <c r="W667" s="145">
        <v>495000</v>
      </c>
      <c r="X667" s="145">
        <v>534600</v>
      </c>
      <c r="Y667" s="145"/>
      <c r="Z667" s="145">
        <v>0</v>
      </c>
      <c r="AA667" s="142"/>
      <c r="AB667" s="142"/>
      <c r="AC667" s="142"/>
      <c r="AD667" s="141">
        <v>0</v>
      </c>
      <c r="AE667" s="141"/>
      <c r="AF667" s="141"/>
      <c r="AG667" s="141">
        <v>0</v>
      </c>
      <c r="AH667" s="141"/>
      <c r="AI667" s="141"/>
      <c r="AJ667" s="141">
        <v>0</v>
      </c>
      <c r="AK667" s="141"/>
      <c r="AL667" s="141"/>
      <c r="AM667" s="141"/>
      <c r="AN667" s="141"/>
      <c r="AO667" s="142"/>
      <c r="AP667" s="141"/>
      <c r="AQ667" s="141"/>
      <c r="AR667" s="142"/>
      <c r="AS667" s="141"/>
      <c r="AT667" s="142"/>
      <c r="AU667" s="141"/>
      <c r="AV667" s="142"/>
      <c r="AW667" s="146"/>
      <c r="AX667" s="146"/>
      <c r="AY667" s="147">
        <v>495000</v>
      </c>
      <c r="AZ667" s="132">
        <f>ROUNDDOWN(AY667+(AY667*MASTER!$A$2/100),0)</f>
        <v>534600</v>
      </c>
      <c r="BA667" s="141"/>
      <c r="BB667" s="145"/>
      <c r="BC667" s="145">
        <v>0</v>
      </c>
      <c r="BD667" s="141"/>
      <c r="BE667" s="141"/>
      <c r="BF667" s="145"/>
      <c r="BG667" s="145">
        <v>0</v>
      </c>
      <c r="BH667" s="141"/>
      <c r="BI667" s="141"/>
      <c r="BJ667" s="145"/>
      <c r="BK667" s="145">
        <v>0</v>
      </c>
      <c r="BL667" s="141"/>
      <c r="BM667" s="145"/>
      <c r="BN667" s="145"/>
      <c r="BO667" s="145"/>
      <c r="BP667" s="145"/>
      <c r="BQ667" s="145"/>
      <c r="BR667" s="145"/>
      <c r="BS667" s="145">
        <v>0</v>
      </c>
      <c r="BT667" s="148"/>
      <c r="BU667" s="148"/>
      <c r="BV667" s="149">
        <v>534600</v>
      </c>
      <c r="BW667" s="149">
        <v>0</v>
      </c>
      <c r="BX667" s="149">
        <v>43521</v>
      </c>
      <c r="BY667" s="149">
        <v>534600</v>
      </c>
      <c r="BZ667" s="150">
        <v>100</v>
      </c>
      <c r="CA667" s="141"/>
      <c r="CB667" s="141"/>
      <c r="CC667" s="141"/>
      <c r="CD667" s="144"/>
      <c r="CE667" s="142"/>
      <c r="CF667" s="142"/>
      <c r="CG667" s="142"/>
      <c r="CH667" s="142"/>
      <c r="CI667" s="142"/>
      <c r="CJ667" s="142"/>
      <c r="CK667" s="145"/>
    </row>
    <row r="668" spans="1:89" s="151" customFormat="1" x14ac:dyDescent="0.15">
      <c r="A668" s="141">
        <v>3</v>
      </c>
      <c r="B668" s="142"/>
      <c r="C668" s="142" t="s">
        <v>338</v>
      </c>
      <c r="D668" s="142"/>
      <c r="E668" s="142"/>
      <c r="F668" s="142" t="s">
        <v>338</v>
      </c>
      <c r="G668" s="142"/>
      <c r="H668" s="142" t="s">
        <v>338</v>
      </c>
      <c r="I668" s="141"/>
      <c r="J668" s="141">
        <v>2</v>
      </c>
      <c r="K668" s="142"/>
      <c r="L668" s="141">
        <v>0</v>
      </c>
      <c r="M668" s="142">
        <v>43521</v>
      </c>
      <c r="N668" s="142" t="s">
        <v>264</v>
      </c>
      <c r="O668" s="143" t="s">
        <v>340</v>
      </c>
      <c r="P668" s="141" t="s">
        <v>272</v>
      </c>
      <c r="Q668" s="143" t="s">
        <v>144</v>
      </c>
      <c r="R668" s="143" t="s">
        <v>2150</v>
      </c>
      <c r="S668" s="144" t="s">
        <v>387</v>
      </c>
      <c r="T668" s="144" t="s">
        <v>2151</v>
      </c>
      <c r="U668" s="145">
        <v>450000</v>
      </c>
      <c r="V668" s="145">
        <v>486000</v>
      </c>
      <c r="W668" s="145">
        <v>450000</v>
      </c>
      <c r="X668" s="145">
        <v>486000</v>
      </c>
      <c r="Y668" s="145"/>
      <c r="Z668" s="145">
        <v>0</v>
      </c>
      <c r="AA668" s="142"/>
      <c r="AB668" s="142"/>
      <c r="AC668" s="142"/>
      <c r="AD668" s="141">
        <v>0</v>
      </c>
      <c r="AE668" s="141"/>
      <c r="AF668" s="141"/>
      <c r="AG668" s="141">
        <v>0</v>
      </c>
      <c r="AH668" s="141"/>
      <c r="AI668" s="141"/>
      <c r="AJ668" s="141">
        <v>0</v>
      </c>
      <c r="AK668" s="141"/>
      <c r="AL668" s="141"/>
      <c r="AM668" s="141"/>
      <c r="AN668" s="141"/>
      <c r="AO668" s="142"/>
      <c r="AP668" s="141"/>
      <c r="AQ668" s="141"/>
      <c r="AR668" s="142"/>
      <c r="AS668" s="141"/>
      <c r="AT668" s="142"/>
      <c r="AU668" s="141"/>
      <c r="AV668" s="142"/>
      <c r="AW668" s="146"/>
      <c r="AX668" s="146"/>
      <c r="AY668" s="147">
        <v>450000</v>
      </c>
      <c r="AZ668" s="132">
        <f>ROUNDDOWN(AY668+(AY668*MASTER!$A$2/100),0)</f>
        <v>486000</v>
      </c>
      <c r="BA668" s="141"/>
      <c r="BB668" s="145"/>
      <c r="BC668" s="145">
        <v>0</v>
      </c>
      <c r="BD668" s="141"/>
      <c r="BE668" s="141"/>
      <c r="BF668" s="145"/>
      <c r="BG668" s="145">
        <v>0</v>
      </c>
      <c r="BH668" s="141"/>
      <c r="BI668" s="141"/>
      <c r="BJ668" s="145"/>
      <c r="BK668" s="145">
        <v>0</v>
      </c>
      <c r="BL668" s="141"/>
      <c r="BM668" s="145"/>
      <c r="BN668" s="145"/>
      <c r="BO668" s="145"/>
      <c r="BP668" s="145"/>
      <c r="BQ668" s="145"/>
      <c r="BR668" s="145"/>
      <c r="BS668" s="145">
        <v>0</v>
      </c>
      <c r="BT668" s="148"/>
      <c r="BU668" s="148"/>
      <c r="BV668" s="149">
        <v>486000</v>
      </c>
      <c r="BW668" s="149">
        <v>0</v>
      </c>
      <c r="BX668" s="149">
        <v>43521</v>
      </c>
      <c r="BY668" s="149">
        <v>486000</v>
      </c>
      <c r="BZ668" s="150">
        <v>100</v>
      </c>
      <c r="CA668" s="141"/>
      <c r="CB668" s="141"/>
      <c r="CC668" s="141"/>
      <c r="CD668" s="144"/>
      <c r="CE668" s="142"/>
      <c r="CF668" s="142"/>
      <c r="CG668" s="142"/>
      <c r="CH668" s="142"/>
      <c r="CI668" s="142"/>
      <c r="CJ668" s="142"/>
      <c r="CK668" s="145"/>
    </row>
    <row r="669" spans="1:89" x14ac:dyDescent="0.15">
      <c r="A669" s="84">
        <v>2</v>
      </c>
      <c r="B669" s="85">
        <v>43542</v>
      </c>
      <c r="C669" s="85">
        <v>43551</v>
      </c>
      <c r="D669" s="85" t="s">
        <v>374</v>
      </c>
      <c r="E669" s="85">
        <v>43596</v>
      </c>
      <c r="F669" s="85">
        <v>43558</v>
      </c>
      <c r="G669" s="85">
        <v>43552</v>
      </c>
      <c r="H669" s="85">
        <v>43554</v>
      </c>
      <c r="I669" s="84" t="s">
        <v>1191</v>
      </c>
      <c r="J669" s="84">
        <v>1</v>
      </c>
      <c r="L669" s="84">
        <v>0</v>
      </c>
      <c r="M669" s="85">
        <v>43521</v>
      </c>
      <c r="N669" s="85" t="s">
        <v>265</v>
      </c>
      <c r="O669" s="86" t="s">
        <v>340</v>
      </c>
      <c r="P669" s="84" t="s">
        <v>26</v>
      </c>
      <c r="Q669" s="86" t="s">
        <v>144</v>
      </c>
      <c r="R669" s="86" t="s">
        <v>2152</v>
      </c>
      <c r="S669" s="87" t="s">
        <v>1741</v>
      </c>
      <c r="T669" s="87" t="s">
        <v>794</v>
      </c>
      <c r="U669" s="88">
        <v>23900</v>
      </c>
      <c r="V669" s="88">
        <v>25812</v>
      </c>
      <c r="W669" s="88">
        <v>14700</v>
      </c>
      <c r="X669" s="88">
        <v>15876</v>
      </c>
      <c r="Y669" s="88">
        <v>9200</v>
      </c>
      <c r="Z669" s="88">
        <v>9936</v>
      </c>
      <c r="AA669" s="85">
        <v>43550</v>
      </c>
      <c r="AB669" s="85">
        <v>43551</v>
      </c>
      <c r="AC669" s="85">
        <v>43551</v>
      </c>
      <c r="AD669" s="84">
        <v>0</v>
      </c>
      <c r="AG669" s="84">
        <v>0</v>
      </c>
      <c r="AJ669" s="84">
        <v>0</v>
      </c>
      <c r="AM669" s="84" t="s">
        <v>290</v>
      </c>
      <c r="AN669" s="84" t="s">
        <v>2153</v>
      </c>
      <c r="AR669" s="85">
        <v>43530</v>
      </c>
      <c r="AS669" s="84">
        <v>6001653823</v>
      </c>
      <c r="AT669" s="85">
        <v>43531</v>
      </c>
      <c r="AU669" s="84" t="s">
        <v>1784</v>
      </c>
      <c r="AV669" s="85">
        <v>43551</v>
      </c>
      <c r="AW669" s="123">
        <v>43555</v>
      </c>
      <c r="AX669" s="123">
        <v>43575</v>
      </c>
      <c r="AY669" s="132">
        <v>22944</v>
      </c>
      <c r="AZ669" s="132">
        <f>ROUNDDOWN(AY669+(AY669*MASTER!$A$2/100),0)</f>
        <v>24779</v>
      </c>
      <c r="BA669" s="84" t="s">
        <v>778</v>
      </c>
      <c r="BC669" s="88">
        <v>0</v>
      </c>
      <c r="BG669" s="88">
        <v>0</v>
      </c>
      <c r="BI669" s="84" t="s">
        <v>434</v>
      </c>
      <c r="BJ669" s="88">
        <v>5980</v>
      </c>
      <c r="BK669" s="88">
        <v>6458.4</v>
      </c>
      <c r="BL669" s="84" t="s">
        <v>1579</v>
      </c>
      <c r="BS669" s="88">
        <v>0</v>
      </c>
      <c r="BV669" s="89">
        <v>15876</v>
      </c>
      <c r="BW669" s="89">
        <v>6458.4</v>
      </c>
      <c r="BX669" s="89">
        <v>43521</v>
      </c>
      <c r="BY669" s="89">
        <v>9417.6</v>
      </c>
      <c r="BZ669" s="112">
        <v>59.319727891156461</v>
      </c>
      <c r="CK669" s="88">
        <v>0</v>
      </c>
    </row>
    <row r="670" spans="1:89" x14ac:dyDescent="0.15">
      <c r="A670" s="84">
        <v>1</v>
      </c>
      <c r="B670" s="85">
        <v>43523</v>
      </c>
      <c r="C670" s="85">
        <v>43531</v>
      </c>
      <c r="F670" s="85" t="s">
        <v>338</v>
      </c>
      <c r="H670" s="85" t="s">
        <v>338</v>
      </c>
      <c r="J670" s="84">
        <v>2</v>
      </c>
      <c r="L670" s="84">
        <v>0</v>
      </c>
      <c r="M670" s="85">
        <v>43521</v>
      </c>
      <c r="N670" s="85" t="s">
        <v>265</v>
      </c>
      <c r="O670" s="86" t="s">
        <v>340</v>
      </c>
      <c r="P670" s="84" t="s">
        <v>78</v>
      </c>
      <c r="Q670" s="86" t="s">
        <v>144</v>
      </c>
      <c r="R670" s="86" t="s">
        <v>2154</v>
      </c>
      <c r="S670" s="87" t="s">
        <v>1923</v>
      </c>
      <c r="T670" s="87" t="s">
        <v>491</v>
      </c>
      <c r="U670" s="88">
        <v>65000</v>
      </c>
      <c r="V670" s="88">
        <v>70200</v>
      </c>
      <c r="W670" s="88">
        <v>65000</v>
      </c>
      <c r="X670" s="88">
        <v>70200</v>
      </c>
      <c r="Z670" s="88">
        <v>0</v>
      </c>
      <c r="AA670" s="85">
        <v>43530</v>
      </c>
      <c r="AB670" s="85">
        <v>43531</v>
      </c>
      <c r="AD670" s="84">
        <v>0</v>
      </c>
      <c r="AG670" s="84">
        <v>0</v>
      </c>
      <c r="AJ670" s="84">
        <v>0</v>
      </c>
      <c r="AN670" s="84" t="s">
        <v>338</v>
      </c>
      <c r="AR670" s="85">
        <v>43522</v>
      </c>
      <c r="AS670" s="84">
        <v>6001651126</v>
      </c>
      <c r="AT670" s="85">
        <v>43522</v>
      </c>
      <c r="AU670" s="84" t="s">
        <v>1751</v>
      </c>
      <c r="AV670" s="85">
        <v>43531</v>
      </c>
      <c r="AW670" s="123">
        <v>43555</v>
      </c>
      <c r="AX670" s="123">
        <v>43575</v>
      </c>
      <c r="AY670" s="132">
        <v>62400</v>
      </c>
      <c r="AZ670" s="132">
        <f>ROUNDDOWN(AY670+(AY670*MASTER!$A$2/100),0)</f>
        <v>67392</v>
      </c>
      <c r="BC670" s="88">
        <v>0</v>
      </c>
      <c r="BG670" s="88">
        <v>0</v>
      </c>
      <c r="BK670" s="88">
        <v>0</v>
      </c>
      <c r="BS670" s="88">
        <v>0</v>
      </c>
      <c r="BV670" s="89">
        <v>70200</v>
      </c>
      <c r="BW670" s="89">
        <v>0</v>
      </c>
      <c r="BX670" s="89">
        <v>43521</v>
      </c>
      <c r="BY670" s="89">
        <v>70200</v>
      </c>
      <c r="BZ670" s="112">
        <v>100</v>
      </c>
      <c r="CK670" s="88">
        <v>0</v>
      </c>
    </row>
    <row r="671" spans="1:89" x14ac:dyDescent="0.15">
      <c r="A671" s="84">
        <v>1</v>
      </c>
      <c r="B671" s="85">
        <v>43523</v>
      </c>
      <c r="C671" s="85">
        <v>43536</v>
      </c>
      <c r="F671" s="85" t="s">
        <v>338</v>
      </c>
      <c r="H671" s="85" t="s">
        <v>338</v>
      </c>
      <c r="J671" s="84">
        <v>2</v>
      </c>
      <c r="L671" s="84">
        <v>0</v>
      </c>
      <c r="M671" s="85">
        <v>43521</v>
      </c>
      <c r="N671" s="85" t="s">
        <v>265</v>
      </c>
      <c r="O671" s="86" t="s">
        <v>340</v>
      </c>
      <c r="P671" s="84" t="s">
        <v>78</v>
      </c>
      <c r="Q671" s="86" t="s">
        <v>144</v>
      </c>
      <c r="R671" s="86" t="s">
        <v>2155</v>
      </c>
      <c r="S671" s="87" t="s">
        <v>2156</v>
      </c>
      <c r="T671" s="87" t="s">
        <v>726</v>
      </c>
      <c r="U671" s="88">
        <v>65000</v>
      </c>
      <c r="V671" s="88">
        <v>70200</v>
      </c>
      <c r="W671" s="88">
        <v>65000</v>
      </c>
      <c r="X671" s="88">
        <v>70200</v>
      </c>
      <c r="Z671" s="88">
        <v>0</v>
      </c>
      <c r="AA671" s="85">
        <v>43535</v>
      </c>
      <c r="AB671" s="85">
        <v>43536</v>
      </c>
      <c r="AD671" s="84">
        <v>0</v>
      </c>
      <c r="AG671" s="84">
        <v>0</v>
      </c>
      <c r="AJ671" s="84">
        <v>0</v>
      </c>
      <c r="AN671" s="84" t="s">
        <v>338</v>
      </c>
      <c r="AR671" s="85">
        <v>43522</v>
      </c>
      <c r="AS671" s="84">
        <v>6001651126</v>
      </c>
      <c r="AT671" s="85">
        <v>43522</v>
      </c>
      <c r="AU671" s="84" t="s">
        <v>1751</v>
      </c>
      <c r="AV671" s="85">
        <v>43536</v>
      </c>
      <c r="AW671" s="123">
        <v>43555</v>
      </c>
      <c r="AX671" s="123">
        <v>43575</v>
      </c>
      <c r="AY671" s="132">
        <v>62400</v>
      </c>
      <c r="AZ671" s="132">
        <f>ROUNDDOWN(AY671+(AY671*MASTER!$A$2/100),0)</f>
        <v>67392</v>
      </c>
      <c r="BC671" s="88">
        <v>0</v>
      </c>
      <c r="BG671" s="88">
        <v>0</v>
      </c>
      <c r="BK671" s="88">
        <v>0</v>
      </c>
      <c r="BS671" s="88">
        <v>0</v>
      </c>
      <c r="BV671" s="89">
        <v>70200</v>
      </c>
      <c r="BW671" s="89">
        <v>0</v>
      </c>
      <c r="BX671" s="89">
        <v>43521</v>
      </c>
      <c r="BY671" s="89">
        <v>70200</v>
      </c>
      <c r="BZ671" s="112">
        <v>100</v>
      </c>
      <c r="CK671" s="88">
        <v>0</v>
      </c>
    </row>
    <row r="672" spans="1:89" x14ac:dyDescent="0.15">
      <c r="A672" s="84">
        <v>1</v>
      </c>
      <c r="B672" s="85">
        <v>43523</v>
      </c>
      <c r="C672" s="85">
        <v>43537</v>
      </c>
      <c r="F672" s="85" t="s">
        <v>338</v>
      </c>
      <c r="H672" s="85" t="s">
        <v>338</v>
      </c>
      <c r="J672" s="84">
        <v>2</v>
      </c>
      <c r="L672" s="84">
        <v>0</v>
      </c>
      <c r="M672" s="85">
        <v>43521</v>
      </c>
      <c r="N672" s="85" t="s">
        <v>265</v>
      </c>
      <c r="O672" s="86" t="s">
        <v>340</v>
      </c>
      <c r="P672" s="84" t="s">
        <v>78</v>
      </c>
      <c r="Q672" s="86" t="s">
        <v>144</v>
      </c>
      <c r="R672" s="86" t="s">
        <v>2157</v>
      </c>
      <c r="S672" s="87" t="s">
        <v>924</v>
      </c>
      <c r="T672" s="87" t="s">
        <v>726</v>
      </c>
      <c r="U672" s="88">
        <v>65000</v>
      </c>
      <c r="V672" s="88">
        <v>70200</v>
      </c>
      <c r="W672" s="88">
        <v>65000</v>
      </c>
      <c r="X672" s="88">
        <v>70200</v>
      </c>
      <c r="Z672" s="88">
        <v>0</v>
      </c>
      <c r="AA672" s="85">
        <v>43536</v>
      </c>
      <c r="AB672" s="85">
        <v>43537</v>
      </c>
      <c r="AD672" s="84">
        <v>0</v>
      </c>
      <c r="AG672" s="84">
        <v>0</v>
      </c>
      <c r="AJ672" s="84">
        <v>0</v>
      </c>
      <c r="AN672" s="84" t="s">
        <v>338</v>
      </c>
      <c r="AR672" s="85">
        <v>43522</v>
      </c>
      <c r="AS672" s="84">
        <v>6001651126</v>
      </c>
      <c r="AT672" s="85">
        <v>43522</v>
      </c>
      <c r="AU672" s="84" t="s">
        <v>1751</v>
      </c>
      <c r="AV672" s="85">
        <v>43537</v>
      </c>
      <c r="AW672" s="123">
        <v>43555</v>
      </c>
      <c r="AX672" s="123">
        <v>43575</v>
      </c>
      <c r="AY672" s="132">
        <v>62400</v>
      </c>
      <c r="AZ672" s="132">
        <f>ROUNDDOWN(AY672+(AY672*MASTER!$A$2/100),0)</f>
        <v>67392</v>
      </c>
      <c r="BC672" s="88">
        <v>0</v>
      </c>
      <c r="BG672" s="88">
        <v>0</v>
      </c>
      <c r="BK672" s="88">
        <v>0</v>
      </c>
      <c r="BS672" s="88">
        <v>0</v>
      </c>
      <c r="BV672" s="89">
        <v>70200</v>
      </c>
      <c r="BW672" s="89">
        <v>0</v>
      </c>
      <c r="BX672" s="89">
        <v>43521</v>
      </c>
      <c r="BY672" s="89">
        <v>70200</v>
      </c>
      <c r="BZ672" s="112">
        <v>100</v>
      </c>
      <c r="CK672" s="88">
        <v>0</v>
      </c>
    </row>
    <row r="673" spans="1:89" x14ac:dyDescent="0.15">
      <c r="A673" s="84">
        <v>1</v>
      </c>
      <c r="B673" s="85">
        <v>43523</v>
      </c>
      <c r="C673" s="85">
        <v>43538</v>
      </c>
      <c r="F673" s="85" t="s">
        <v>338</v>
      </c>
      <c r="H673" s="85" t="s">
        <v>338</v>
      </c>
      <c r="J673" s="84">
        <v>2</v>
      </c>
      <c r="L673" s="84">
        <v>0</v>
      </c>
      <c r="M673" s="85">
        <v>43521</v>
      </c>
      <c r="N673" s="85" t="s">
        <v>265</v>
      </c>
      <c r="O673" s="86" t="s">
        <v>340</v>
      </c>
      <c r="P673" s="84" t="s">
        <v>78</v>
      </c>
      <c r="Q673" s="86" t="s">
        <v>144</v>
      </c>
      <c r="R673" s="86" t="s">
        <v>2158</v>
      </c>
      <c r="S673" s="87" t="s">
        <v>793</v>
      </c>
      <c r="T673" s="87" t="s">
        <v>726</v>
      </c>
      <c r="U673" s="88">
        <v>65000</v>
      </c>
      <c r="V673" s="88">
        <v>70200</v>
      </c>
      <c r="W673" s="88">
        <v>65000</v>
      </c>
      <c r="X673" s="88">
        <v>70200</v>
      </c>
      <c r="Z673" s="88">
        <v>0</v>
      </c>
      <c r="AA673" s="85">
        <v>43537</v>
      </c>
      <c r="AB673" s="85">
        <v>43538</v>
      </c>
      <c r="AD673" s="84">
        <v>0</v>
      </c>
      <c r="AG673" s="84">
        <v>0</v>
      </c>
      <c r="AJ673" s="84">
        <v>0</v>
      </c>
      <c r="AN673" s="84" t="s">
        <v>338</v>
      </c>
      <c r="AR673" s="85">
        <v>43522</v>
      </c>
      <c r="AS673" s="84">
        <v>6001651126</v>
      </c>
      <c r="AT673" s="85">
        <v>43522</v>
      </c>
      <c r="AU673" s="84" t="s">
        <v>1751</v>
      </c>
      <c r="AV673" s="85">
        <v>43538</v>
      </c>
      <c r="AW673" s="123">
        <v>43555</v>
      </c>
      <c r="AX673" s="123">
        <v>43575</v>
      </c>
      <c r="AY673" s="132">
        <v>62400</v>
      </c>
      <c r="AZ673" s="132">
        <f>ROUNDDOWN(AY673+(AY673*MASTER!$A$2/100),0)</f>
        <v>67392</v>
      </c>
      <c r="BC673" s="88">
        <v>0</v>
      </c>
      <c r="BG673" s="88">
        <v>0</v>
      </c>
      <c r="BK673" s="88">
        <v>0</v>
      </c>
      <c r="BS673" s="88">
        <v>0</v>
      </c>
      <c r="BV673" s="89">
        <v>70200</v>
      </c>
      <c r="BW673" s="89">
        <v>0</v>
      </c>
      <c r="BX673" s="89">
        <v>43521</v>
      </c>
      <c r="BY673" s="89">
        <v>70200</v>
      </c>
      <c r="BZ673" s="112">
        <v>100</v>
      </c>
      <c r="CK673" s="88">
        <v>0</v>
      </c>
    </row>
    <row r="674" spans="1:89" x14ac:dyDescent="0.15">
      <c r="A674" s="84">
        <v>1</v>
      </c>
      <c r="B674" s="85">
        <v>43523</v>
      </c>
      <c r="C674" s="85">
        <v>43539</v>
      </c>
      <c r="F674" s="85" t="s">
        <v>338</v>
      </c>
      <c r="H674" s="85" t="s">
        <v>338</v>
      </c>
      <c r="J674" s="84">
        <v>2</v>
      </c>
      <c r="L674" s="84">
        <v>0</v>
      </c>
      <c r="M674" s="85">
        <v>43521</v>
      </c>
      <c r="N674" s="85" t="s">
        <v>265</v>
      </c>
      <c r="O674" s="86" t="s">
        <v>340</v>
      </c>
      <c r="P674" s="84" t="s">
        <v>78</v>
      </c>
      <c r="Q674" s="86" t="s">
        <v>144</v>
      </c>
      <c r="R674" s="86" t="s">
        <v>2159</v>
      </c>
      <c r="S674" s="87" t="s">
        <v>341</v>
      </c>
      <c r="T674" s="87" t="s">
        <v>726</v>
      </c>
      <c r="U674" s="88">
        <v>65000</v>
      </c>
      <c r="V674" s="88">
        <v>70200</v>
      </c>
      <c r="W674" s="88">
        <v>65000</v>
      </c>
      <c r="X674" s="88">
        <v>70200</v>
      </c>
      <c r="Z674" s="88">
        <v>0</v>
      </c>
      <c r="AA674" s="85">
        <v>43538</v>
      </c>
      <c r="AB674" s="85">
        <v>43539</v>
      </c>
      <c r="AD674" s="84">
        <v>0</v>
      </c>
      <c r="AG674" s="84">
        <v>0</v>
      </c>
      <c r="AJ674" s="84">
        <v>0</v>
      </c>
      <c r="AN674" s="84" t="s">
        <v>338</v>
      </c>
      <c r="AR674" s="85">
        <v>43522</v>
      </c>
      <c r="AS674" s="84">
        <v>6001651126</v>
      </c>
      <c r="AT674" s="85">
        <v>43522</v>
      </c>
      <c r="AU674" s="84" t="s">
        <v>1751</v>
      </c>
      <c r="AV674" s="85">
        <v>43539</v>
      </c>
      <c r="AW674" s="123">
        <v>43555</v>
      </c>
      <c r="AX674" s="123">
        <v>43575</v>
      </c>
      <c r="AY674" s="132">
        <v>62400</v>
      </c>
      <c r="AZ674" s="132">
        <f>ROUNDDOWN(AY674+(AY674*MASTER!$A$2/100),0)</f>
        <v>67392</v>
      </c>
      <c r="BC674" s="88">
        <v>0</v>
      </c>
      <c r="BG674" s="88">
        <v>0</v>
      </c>
      <c r="BK674" s="88">
        <v>0</v>
      </c>
      <c r="BS674" s="88">
        <v>0</v>
      </c>
      <c r="BV674" s="89">
        <v>70200</v>
      </c>
      <c r="BW674" s="89">
        <v>0</v>
      </c>
      <c r="BX674" s="89">
        <v>43521</v>
      </c>
      <c r="BY674" s="89">
        <v>70200</v>
      </c>
      <c r="BZ674" s="112">
        <v>100</v>
      </c>
      <c r="CK674" s="88">
        <v>0</v>
      </c>
    </row>
    <row r="675" spans="1:89" x14ac:dyDescent="0.15">
      <c r="A675" s="84">
        <v>1</v>
      </c>
      <c r="B675" s="85">
        <v>43523</v>
      </c>
      <c r="C675" s="85">
        <v>43540</v>
      </c>
      <c r="F675" s="85" t="s">
        <v>338</v>
      </c>
      <c r="H675" s="85" t="s">
        <v>338</v>
      </c>
      <c r="J675" s="84">
        <v>2</v>
      </c>
      <c r="L675" s="84">
        <v>0</v>
      </c>
      <c r="M675" s="85">
        <v>43521</v>
      </c>
      <c r="N675" s="85" t="s">
        <v>265</v>
      </c>
      <c r="O675" s="86" t="s">
        <v>340</v>
      </c>
      <c r="P675" s="84" t="s">
        <v>78</v>
      </c>
      <c r="Q675" s="86" t="s">
        <v>144</v>
      </c>
      <c r="R675" s="86" t="s">
        <v>2160</v>
      </c>
      <c r="S675" s="87" t="s">
        <v>2161</v>
      </c>
      <c r="T675" s="87" t="s">
        <v>726</v>
      </c>
      <c r="U675" s="88">
        <v>65000</v>
      </c>
      <c r="V675" s="88">
        <v>70200</v>
      </c>
      <c r="W675" s="88">
        <v>65000</v>
      </c>
      <c r="X675" s="88">
        <v>70200</v>
      </c>
      <c r="Z675" s="88">
        <v>0</v>
      </c>
      <c r="AA675" s="85">
        <v>43539</v>
      </c>
      <c r="AB675" s="85">
        <v>43540</v>
      </c>
      <c r="AD675" s="84">
        <v>0</v>
      </c>
      <c r="AG675" s="84">
        <v>0</v>
      </c>
      <c r="AJ675" s="84">
        <v>0</v>
      </c>
      <c r="AN675" s="84" t="s">
        <v>338</v>
      </c>
      <c r="AR675" s="85">
        <v>43522</v>
      </c>
      <c r="AS675" s="84">
        <v>6001651126</v>
      </c>
      <c r="AT675" s="85">
        <v>43522</v>
      </c>
      <c r="AU675" s="84" t="s">
        <v>1751</v>
      </c>
      <c r="AV675" s="85">
        <v>43540</v>
      </c>
      <c r="AW675" s="123">
        <v>43555</v>
      </c>
      <c r="AX675" s="123">
        <v>43575</v>
      </c>
      <c r="AY675" s="132">
        <v>62400</v>
      </c>
      <c r="AZ675" s="132">
        <f>ROUNDDOWN(AY675+(AY675*MASTER!$A$2/100),0)</f>
        <v>67392</v>
      </c>
      <c r="BC675" s="88">
        <v>0</v>
      </c>
      <c r="BG675" s="88">
        <v>0</v>
      </c>
      <c r="BK675" s="88">
        <v>0</v>
      </c>
      <c r="BS675" s="88">
        <v>0</v>
      </c>
      <c r="BV675" s="89">
        <v>70200</v>
      </c>
      <c r="BW675" s="89">
        <v>0</v>
      </c>
      <c r="BX675" s="89">
        <v>43521</v>
      </c>
      <c r="BY675" s="89">
        <v>70200</v>
      </c>
      <c r="BZ675" s="112">
        <v>100</v>
      </c>
      <c r="CK675" s="88">
        <v>0</v>
      </c>
    </row>
    <row r="676" spans="1:89" x14ac:dyDescent="0.15">
      <c r="A676" s="84">
        <v>1</v>
      </c>
      <c r="B676" s="85">
        <v>43523</v>
      </c>
      <c r="C676" s="85">
        <v>43553</v>
      </c>
      <c r="F676" s="85" t="s">
        <v>338</v>
      </c>
      <c r="H676" s="85" t="s">
        <v>338</v>
      </c>
      <c r="J676" s="84">
        <v>2</v>
      </c>
      <c r="L676" s="84">
        <v>0</v>
      </c>
      <c r="M676" s="85">
        <v>43521</v>
      </c>
      <c r="N676" s="85" t="s">
        <v>265</v>
      </c>
      <c r="O676" s="86" t="s">
        <v>340</v>
      </c>
      <c r="P676" s="84" t="s">
        <v>78</v>
      </c>
      <c r="Q676" s="86" t="s">
        <v>144</v>
      </c>
      <c r="R676" s="86" t="s">
        <v>2162</v>
      </c>
      <c r="S676" s="87" t="s">
        <v>1840</v>
      </c>
      <c r="T676" s="87" t="s">
        <v>726</v>
      </c>
      <c r="U676" s="88">
        <v>65000</v>
      </c>
      <c r="V676" s="88">
        <v>70200</v>
      </c>
      <c r="W676" s="88">
        <v>65000</v>
      </c>
      <c r="X676" s="88">
        <v>70200</v>
      </c>
      <c r="Z676" s="88">
        <v>0</v>
      </c>
      <c r="AA676" s="85">
        <v>43552</v>
      </c>
      <c r="AB676" s="85">
        <v>43553</v>
      </c>
      <c r="AD676" s="84">
        <v>0</v>
      </c>
      <c r="AG676" s="84">
        <v>0</v>
      </c>
      <c r="AJ676" s="84">
        <v>0</v>
      </c>
      <c r="AN676" s="84" t="s">
        <v>338</v>
      </c>
      <c r="AR676" s="85">
        <v>43522</v>
      </c>
      <c r="AS676" s="84">
        <v>6001651126</v>
      </c>
      <c r="AT676" s="85">
        <v>43522</v>
      </c>
      <c r="AU676" s="84" t="s">
        <v>1751</v>
      </c>
      <c r="AV676" s="85">
        <v>43553</v>
      </c>
      <c r="AW676" s="123">
        <v>43555</v>
      </c>
      <c r="AX676" s="123">
        <v>43575</v>
      </c>
      <c r="AY676" s="132">
        <v>62400</v>
      </c>
      <c r="AZ676" s="132">
        <f>ROUNDDOWN(AY676+(AY676*MASTER!$A$2/100),0)</f>
        <v>67392</v>
      </c>
      <c r="BC676" s="88">
        <v>0</v>
      </c>
      <c r="BG676" s="88">
        <v>0</v>
      </c>
      <c r="BK676" s="88">
        <v>0</v>
      </c>
      <c r="BS676" s="88">
        <v>0</v>
      </c>
      <c r="BV676" s="89">
        <v>70200</v>
      </c>
      <c r="BW676" s="89">
        <v>0</v>
      </c>
      <c r="BX676" s="89">
        <v>43521</v>
      </c>
      <c r="BY676" s="89">
        <v>70200</v>
      </c>
      <c r="BZ676" s="112">
        <v>100</v>
      </c>
      <c r="CK676" s="88">
        <v>0</v>
      </c>
    </row>
    <row r="677" spans="1:89" x14ac:dyDescent="0.15">
      <c r="A677" s="84">
        <v>1</v>
      </c>
      <c r="B677" s="85">
        <v>43523</v>
      </c>
      <c r="C677" s="85">
        <v>43554</v>
      </c>
      <c r="F677" s="85" t="s">
        <v>338</v>
      </c>
      <c r="H677" s="85" t="s">
        <v>338</v>
      </c>
      <c r="J677" s="84">
        <v>2</v>
      </c>
      <c r="L677" s="84">
        <v>0</v>
      </c>
      <c r="M677" s="85">
        <v>43521</v>
      </c>
      <c r="N677" s="85" t="s">
        <v>265</v>
      </c>
      <c r="O677" s="86" t="s">
        <v>340</v>
      </c>
      <c r="P677" s="84" t="s">
        <v>78</v>
      </c>
      <c r="Q677" s="86" t="s">
        <v>144</v>
      </c>
      <c r="R677" s="86" t="s">
        <v>2163</v>
      </c>
      <c r="S677" s="87" t="s">
        <v>800</v>
      </c>
      <c r="T677" s="87" t="s">
        <v>491</v>
      </c>
      <c r="U677" s="88">
        <v>65000</v>
      </c>
      <c r="V677" s="88">
        <v>70200</v>
      </c>
      <c r="W677" s="88">
        <v>65000</v>
      </c>
      <c r="X677" s="88">
        <v>70200</v>
      </c>
      <c r="Z677" s="88">
        <v>0</v>
      </c>
      <c r="AA677" s="85">
        <v>43553</v>
      </c>
      <c r="AB677" s="85">
        <v>43554</v>
      </c>
      <c r="AD677" s="84">
        <v>0</v>
      </c>
      <c r="AG677" s="84">
        <v>0</v>
      </c>
      <c r="AJ677" s="84">
        <v>0</v>
      </c>
      <c r="AN677" s="84" t="s">
        <v>338</v>
      </c>
      <c r="AR677" s="85">
        <v>43522</v>
      </c>
      <c r="AS677" s="84">
        <v>6001651126</v>
      </c>
      <c r="AT677" s="85">
        <v>43522</v>
      </c>
      <c r="AU677" s="84" t="s">
        <v>1751</v>
      </c>
      <c r="AV677" s="85">
        <v>43554</v>
      </c>
      <c r="AW677" s="123">
        <v>43555</v>
      </c>
      <c r="AX677" s="123">
        <v>43575</v>
      </c>
      <c r="AY677" s="132">
        <v>62400</v>
      </c>
      <c r="AZ677" s="132">
        <f>ROUNDDOWN(AY677+(AY677*MASTER!$A$2/100),0)</f>
        <v>67392</v>
      </c>
      <c r="BC677" s="88">
        <v>0</v>
      </c>
      <c r="BG677" s="88">
        <v>0</v>
      </c>
      <c r="BK677" s="88">
        <v>0</v>
      </c>
      <c r="BS677" s="88">
        <v>0</v>
      </c>
      <c r="BV677" s="89">
        <v>70200</v>
      </c>
      <c r="BW677" s="89">
        <v>0</v>
      </c>
      <c r="BX677" s="89">
        <v>43521</v>
      </c>
      <c r="BY677" s="89">
        <v>70200</v>
      </c>
      <c r="BZ677" s="112">
        <v>100</v>
      </c>
      <c r="CK677" s="88">
        <v>0</v>
      </c>
    </row>
    <row r="678" spans="1:89" x14ac:dyDescent="0.15">
      <c r="A678" s="84">
        <v>1</v>
      </c>
      <c r="B678" s="85">
        <v>43523</v>
      </c>
      <c r="C678" s="85">
        <v>43555</v>
      </c>
      <c r="F678" s="85" t="s">
        <v>338</v>
      </c>
      <c r="H678" s="85" t="s">
        <v>338</v>
      </c>
      <c r="J678" s="84">
        <v>2</v>
      </c>
      <c r="L678" s="84">
        <v>0</v>
      </c>
      <c r="M678" s="85">
        <v>43521</v>
      </c>
      <c r="N678" s="85" t="s">
        <v>265</v>
      </c>
      <c r="O678" s="86" t="s">
        <v>340</v>
      </c>
      <c r="P678" s="84" t="s">
        <v>78</v>
      </c>
      <c r="Q678" s="86" t="s">
        <v>144</v>
      </c>
      <c r="R678" s="86" t="s">
        <v>2164</v>
      </c>
      <c r="S678" s="87" t="s">
        <v>1530</v>
      </c>
      <c r="T678" s="87" t="s">
        <v>491</v>
      </c>
      <c r="U678" s="88">
        <v>65000</v>
      </c>
      <c r="V678" s="88">
        <v>70200</v>
      </c>
      <c r="W678" s="88">
        <v>65000</v>
      </c>
      <c r="X678" s="88">
        <v>70200</v>
      </c>
      <c r="Z678" s="88">
        <v>0</v>
      </c>
      <c r="AA678" s="85">
        <v>43554</v>
      </c>
      <c r="AB678" s="85">
        <v>43555</v>
      </c>
      <c r="AD678" s="84">
        <v>0</v>
      </c>
      <c r="AG678" s="84">
        <v>0</v>
      </c>
      <c r="AJ678" s="84">
        <v>0</v>
      </c>
      <c r="AN678" s="84" t="s">
        <v>338</v>
      </c>
      <c r="AR678" s="85">
        <v>43522</v>
      </c>
      <c r="AS678" s="84">
        <v>6001651126</v>
      </c>
      <c r="AT678" s="85">
        <v>43522</v>
      </c>
      <c r="AU678" s="84" t="s">
        <v>1751</v>
      </c>
      <c r="AV678" s="85">
        <v>43555</v>
      </c>
      <c r="AW678" s="123">
        <v>43555</v>
      </c>
      <c r="AX678" s="123">
        <v>43575</v>
      </c>
      <c r="AY678" s="132">
        <v>62400</v>
      </c>
      <c r="AZ678" s="132">
        <f>ROUNDDOWN(AY678+(AY678*MASTER!$A$2/100),0)</f>
        <v>67392</v>
      </c>
      <c r="BC678" s="88">
        <v>0</v>
      </c>
      <c r="BG678" s="88">
        <v>0</v>
      </c>
      <c r="BK678" s="88">
        <v>0</v>
      </c>
      <c r="BS678" s="88">
        <v>0</v>
      </c>
      <c r="BV678" s="89">
        <v>70200</v>
      </c>
      <c r="BW678" s="89">
        <v>0</v>
      </c>
      <c r="BX678" s="89">
        <v>43521</v>
      </c>
      <c r="BY678" s="89">
        <v>70200</v>
      </c>
      <c r="BZ678" s="112">
        <v>100</v>
      </c>
      <c r="CK678" s="88">
        <v>0</v>
      </c>
    </row>
    <row r="679" spans="1:89" x14ac:dyDescent="0.15">
      <c r="A679" s="84">
        <v>2</v>
      </c>
      <c r="B679" s="85">
        <v>43531</v>
      </c>
      <c r="C679" s="85">
        <v>43531</v>
      </c>
      <c r="D679" s="85">
        <v>43529</v>
      </c>
      <c r="E679" s="85">
        <v>43529</v>
      </c>
      <c r="F679" s="85" t="s">
        <v>338</v>
      </c>
      <c r="G679" s="85">
        <v>43529</v>
      </c>
      <c r="H679" s="85" t="s">
        <v>338</v>
      </c>
      <c r="I679" s="84" t="s">
        <v>547</v>
      </c>
      <c r="J679" s="84">
        <v>2</v>
      </c>
      <c r="L679" s="84">
        <v>0</v>
      </c>
      <c r="M679" s="85">
        <v>43521</v>
      </c>
      <c r="N679" s="85" t="s">
        <v>265</v>
      </c>
      <c r="O679" s="86" t="s">
        <v>340</v>
      </c>
      <c r="P679" s="84" t="s">
        <v>6</v>
      </c>
      <c r="Q679" s="86" t="s">
        <v>144</v>
      </c>
      <c r="R679" s="86" t="s">
        <v>2165</v>
      </c>
      <c r="S679" s="87" t="s">
        <v>605</v>
      </c>
      <c r="T679" s="87" t="s">
        <v>342</v>
      </c>
      <c r="U679" s="88">
        <v>35000</v>
      </c>
      <c r="V679" s="88">
        <v>37800</v>
      </c>
      <c r="W679" s="88">
        <v>35000</v>
      </c>
      <c r="X679" s="88">
        <v>37800</v>
      </c>
      <c r="Z679" s="88">
        <v>0</v>
      </c>
      <c r="AA679" s="85">
        <v>43524</v>
      </c>
      <c r="AB679" s="85">
        <v>43524</v>
      </c>
      <c r="AD679" s="84">
        <v>0</v>
      </c>
      <c r="AG679" s="84">
        <v>0</v>
      </c>
      <c r="AJ679" s="84">
        <v>0</v>
      </c>
      <c r="AR679" s="85">
        <v>43529</v>
      </c>
      <c r="AS679" s="84">
        <v>6001653251</v>
      </c>
      <c r="AT679" s="85">
        <v>43531</v>
      </c>
      <c r="AU679" s="84" t="s">
        <v>1863</v>
      </c>
      <c r="AV679" s="85">
        <v>43531</v>
      </c>
      <c r="AW679" s="123">
        <v>43555</v>
      </c>
      <c r="AX679" s="123">
        <v>43575</v>
      </c>
      <c r="AY679" s="132">
        <v>33600</v>
      </c>
      <c r="AZ679" s="132">
        <f>ROUNDDOWN(AY679+(AY679*MASTER!$A$2/100),0)</f>
        <v>36288</v>
      </c>
      <c r="BA679" s="84" t="s">
        <v>486</v>
      </c>
      <c r="BB679" s="88">
        <v>24000</v>
      </c>
      <c r="BC679" s="88">
        <v>25920</v>
      </c>
      <c r="BD679" s="84" t="s">
        <v>1567</v>
      </c>
      <c r="BG679" s="88">
        <v>0</v>
      </c>
      <c r="BK679" s="88">
        <v>0</v>
      </c>
      <c r="BS679" s="88">
        <v>0</v>
      </c>
      <c r="BV679" s="89">
        <v>37800</v>
      </c>
      <c r="BW679" s="89">
        <v>25920</v>
      </c>
      <c r="BX679" s="89">
        <v>43521</v>
      </c>
      <c r="BY679" s="89">
        <v>11880</v>
      </c>
      <c r="BZ679" s="112">
        <v>31.428571428571427</v>
      </c>
    </row>
    <row r="680" spans="1:89" x14ac:dyDescent="0.15">
      <c r="A680" s="84">
        <v>2</v>
      </c>
      <c r="B680" s="85">
        <v>43536</v>
      </c>
      <c r="C680" s="85">
        <v>43539</v>
      </c>
      <c r="F680" s="85">
        <v>43537</v>
      </c>
      <c r="G680" s="85">
        <v>43534</v>
      </c>
      <c r="H680" s="85">
        <v>43533</v>
      </c>
      <c r="I680" s="84" t="s">
        <v>569</v>
      </c>
      <c r="J680" s="84">
        <v>2</v>
      </c>
      <c r="L680" s="84">
        <v>0</v>
      </c>
      <c r="M680" s="85">
        <v>43522</v>
      </c>
      <c r="N680" s="85" t="s">
        <v>265</v>
      </c>
      <c r="O680" s="86" t="s">
        <v>340</v>
      </c>
      <c r="P680" s="84" t="s">
        <v>6</v>
      </c>
      <c r="Q680" s="86" t="s">
        <v>144</v>
      </c>
      <c r="R680" s="86" t="s">
        <v>2166</v>
      </c>
      <c r="S680" s="87" t="s">
        <v>1120</v>
      </c>
      <c r="T680" s="87" t="s">
        <v>2167</v>
      </c>
      <c r="U680" s="88">
        <v>39200</v>
      </c>
      <c r="V680" s="88">
        <v>42336</v>
      </c>
      <c r="W680" s="88">
        <v>39200</v>
      </c>
      <c r="X680" s="88">
        <v>42336</v>
      </c>
      <c r="Z680" s="88">
        <v>0</v>
      </c>
      <c r="AA680" s="85">
        <v>43529</v>
      </c>
      <c r="AB680" s="85">
        <v>43530</v>
      </c>
      <c r="AC680" s="85">
        <v>43530</v>
      </c>
      <c r="AD680" s="84">
        <v>0</v>
      </c>
      <c r="AG680" s="84">
        <v>0</v>
      </c>
      <c r="AJ680" s="84">
        <v>0</v>
      </c>
      <c r="AN680" s="84" t="s">
        <v>338</v>
      </c>
      <c r="AR680" s="85">
        <v>43532</v>
      </c>
      <c r="AS680" s="84">
        <v>6001655449</v>
      </c>
      <c r="AT680" s="85">
        <v>43535</v>
      </c>
      <c r="AU680" s="84" t="s">
        <v>1623</v>
      </c>
      <c r="AV680" s="85">
        <v>43539</v>
      </c>
      <c r="AW680" s="123">
        <v>43555</v>
      </c>
      <c r="AX680" s="123">
        <v>43575</v>
      </c>
      <c r="AY680" s="132">
        <v>37632</v>
      </c>
      <c r="AZ680" s="132">
        <f>ROUNDDOWN(AY680+(AY680*MASTER!$A$2/100),0)</f>
        <v>40642</v>
      </c>
      <c r="BA680" s="84" t="s">
        <v>778</v>
      </c>
      <c r="BC680" s="88">
        <v>0</v>
      </c>
      <c r="BG680" s="88">
        <v>0</v>
      </c>
      <c r="BK680" s="88">
        <v>0</v>
      </c>
      <c r="BS680" s="88">
        <v>0</v>
      </c>
      <c r="BV680" s="89">
        <v>42336</v>
      </c>
      <c r="BW680" s="89">
        <v>0</v>
      </c>
      <c r="BX680" s="89">
        <v>43522</v>
      </c>
      <c r="BY680" s="89">
        <v>42336</v>
      </c>
      <c r="BZ680" s="112">
        <v>100</v>
      </c>
      <c r="CK680" s="88">
        <v>0</v>
      </c>
    </row>
    <row r="681" spans="1:89" x14ac:dyDescent="0.15">
      <c r="A681" s="84">
        <v>1</v>
      </c>
      <c r="C681" s="85" t="s">
        <v>338</v>
      </c>
      <c r="F681" s="85" t="s">
        <v>338</v>
      </c>
      <c r="H681" s="85" t="s">
        <v>338</v>
      </c>
      <c r="J681" s="84">
        <v>2</v>
      </c>
      <c r="L681" s="84">
        <v>0</v>
      </c>
      <c r="M681" s="85">
        <v>43522</v>
      </c>
      <c r="N681" s="85" t="s">
        <v>264</v>
      </c>
      <c r="O681" s="86" t="s">
        <v>340</v>
      </c>
      <c r="P681" s="84" t="s">
        <v>272</v>
      </c>
      <c r="Q681" s="86" t="s">
        <v>144</v>
      </c>
      <c r="R681" s="86" t="s">
        <v>2168</v>
      </c>
      <c r="S681" s="87" t="s">
        <v>387</v>
      </c>
      <c r="T681" s="87" t="s">
        <v>2169</v>
      </c>
      <c r="U681" s="88">
        <v>600000</v>
      </c>
      <c r="V681" s="88">
        <v>648000</v>
      </c>
      <c r="W681" s="88">
        <v>600000</v>
      </c>
      <c r="X681" s="88">
        <v>648000</v>
      </c>
      <c r="Z681" s="88">
        <v>0</v>
      </c>
      <c r="AD681" s="84">
        <v>0</v>
      </c>
      <c r="AG681" s="84">
        <v>0</v>
      </c>
      <c r="AJ681" s="84">
        <v>0</v>
      </c>
      <c r="AR681" s="85">
        <v>43524</v>
      </c>
      <c r="AS681" s="84">
        <v>6001651946</v>
      </c>
      <c r="AT681" s="85">
        <v>43525</v>
      </c>
      <c r="AU681" s="84" t="s">
        <v>2170</v>
      </c>
      <c r="AV681" s="85">
        <v>43549</v>
      </c>
      <c r="AW681" s="123">
        <v>43555</v>
      </c>
      <c r="AX681" s="123">
        <v>43575</v>
      </c>
      <c r="AY681" s="140">
        <v>600000</v>
      </c>
      <c r="AZ681" s="132">
        <f>ROUNDDOWN(AY681+(AY681*MASTER!$A$2/100),0)</f>
        <v>648000</v>
      </c>
      <c r="BC681" s="88">
        <v>0</v>
      </c>
      <c r="BG681" s="88">
        <v>0</v>
      </c>
      <c r="BK681" s="88">
        <v>0</v>
      </c>
      <c r="BS681" s="88">
        <v>0</v>
      </c>
      <c r="BV681" s="89">
        <v>648000</v>
      </c>
      <c r="BW681" s="89">
        <v>0</v>
      </c>
      <c r="BX681" s="89">
        <v>43522</v>
      </c>
      <c r="BY681" s="89">
        <v>648000</v>
      </c>
      <c r="BZ681" s="112">
        <v>100</v>
      </c>
    </row>
    <row r="682" spans="1:89" x14ac:dyDescent="0.15">
      <c r="A682" s="84">
        <v>1</v>
      </c>
      <c r="C682" s="85" t="s">
        <v>338</v>
      </c>
      <c r="F682" s="85" t="s">
        <v>338</v>
      </c>
      <c r="H682" s="85" t="s">
        <v>338</v>
      </c>
      <c r="J682" s="84">
        <v>2</v>
      </c>
      <c r="L682" s="84">
        <v>0</v>
      </c>
      <c r="M682" s="85">
        <v>43522</v>
      </c>
      <c r="N682" s="85" t="s">
        <v>264</v>
      </c>
      <c r="O682" s="86" t="s">
        <v>340</v>
      </c>
      <c r="P682" s="84" t="s">
        <v>272</v>
      </c>
      <c r="Q682" s="86" t="s">
        <v>144</v>
      </c>
      <c r="R682" s="86" t="s">
        <v>2171</v>
      </c>
      <c r="S682" s="87" t="s">
        <v>387</v>
      </c>
      <c r="T682" s="87" t="s">
        <v>2172</v>
      </c>
      <c r="U682" s="88">
        <v>480000</v>
      </c>
      <c r="V682" s="88">
        <v>518400</v>
      </c>
      <c r="W682" s="88">
        <v>480000</v>
      </c>
      <c r="X682" s="88">
        <v>518400</v>
      </c>
      <c r="Z682" s="88">
        <v>0</v>
      </c>
      <c r="AD682" s="84">
        <v>0</v>
      </c>
      <c r="AG682" s="84">
        <v>0</v>
      </c>
      <c r="AJ682" s="84">
        <v>0</v>
      </c>
      <c r="AR682" s="85">
        <v>43524</v>
      </c>
      <c r="AS682" s="84">
        <v>6001651946</v>
      </c>
      <c r="AT682" s="85">
        <v>43525</v>
      </c>
      <c r="AU682" s="84" t="s">
        <v>2170</v>
      </c>
      <c r="AV682" s="85">
        <v>43549</v>
      </c>
      <c r="AW682" s="123">
        <v>43555</v>
      </c>
      <c r="AX682" s="123">
        <v>43575</v>
      </c>
      <c r="AY682" s="140">
        <v>480000</v>
      </c>
      <c r="AZ682" s="132">
        <f>ROUNDDOWN(AY682+(AY682*MASTER!$A$2/100),0)</f>
        <v>518400</v>
      </c>
      <c r="BC682" s="88">
        <v>0</v>
      </c>
      <c r="BG682" s="88">
        <v>0</v>
      </c>
      <c r="BK682" s="88">
        <v>0</v>
      </c>
      <c r="BS682" s="88">
        <v>0</v>
      </c>
      <c r="BV682" s="89">
        <v>518400</v>
      </c>
      <c r="BW682" s="89">
        <v>0</v>
      </c>
      <c r="BX682" s="89">
        <v>43522</v>
      </c>
      <c r="BY682" s="89">
        <v>518400</v>
      </c>
      <c r="BZ682" s="112">
        <v>100</v>
      </c>
    </row>
    <row r="683" spans="1:89" x14ac:dyDescent="0.15">
      <c r="A683" s="84">
        <v>1</v>
      </c>
      <c r="C683" s="85" t="s">
        <v>338</v>
      </c>
      <c r="F683" s="85" t="s">
        <v>338</v>
      </c>
      <c r="H683" s="85" t="s">
        <v>338</v>
      </c>
      <c r="J683" s="84">
        <v>4</v>
      </c>
      <c r="L683" s="84">
        <v>0</v>
      </c>
      <c r="M683" s="85">
        <v>43522</v>
      </c>
      <c r="N683" s="85" t="s">
        <v>265</v>
      </c>
      <c r="O683" s="86" t="s">
        <v>340</v>
      </c>
      <c r="P683" s="84" t="s">
        <v>268</v>
      </c>
      <c r="Q683" s="86" t="s">
        <v>144</v>
      </c>
      <c r="R683" s="86" t="s">
        <v>2173</v>
      </c>
      <c r="S683" s="87" t="s">
        <v>2174</v>
      </c>
      <c r="T683" s="87" t="s">
        <v>2175</v>
      </c>
      <c r="U683" s="88">
        <v>0</v>
      </c>
      <c r="V683" s="88">
        <v>0</v>
      </c>
      <c r="W683" s="88">
        <v>0</v>
      </c>
      <c r="X683" s="88">
        <v>0</v>
      </c>
      <c r="Y683" s="88">
        <v>0</v>
      </c>
      <c r="Z683" s="88">
        <v>0</v>
      </c>
      <c r="AA683" s="85">
        <v>43523</v>
      </c>
      <c r="AD683" s="84">
        <v>0</v>
      </c>
      <c r="AG683" s="84">
        <v>0</v>
      </c>
      <c r="AJ683" s="84">
        <v>0</v>
      </c>
      <c r="AY683" s="132">
        <f>ROUNDDOWN((0.96*U683),0)</f>
        <v>0</v>
      </c>
      <c r="AZ683" s="132">
        <f>ROUNDDOWN(AY683+(AY683*MASTER!$A$2/100),0)</f>
        <v>0</v>
      </c>
      <c r="BC683" s="88">
        <v>0</v>
      </c>
      <c r="BG683" s="88">
        <v>0</v>
      </c>
      <c r="BK683" s="88">
        <v>0</v>
      </c>
      <c r="BS683" s="88">
        <v>0</v>
      </c>
      <c r="BV683" s="89">
        <v>0</v>
      </c>
      <c r="BW683" s="89">
        <v>0</v>
      </c>
      <c r="BX683" s="89">
        <v>43522</v>
      </c>
      <c r="BY683" s="89">
        <v>0</v>
      </c>
      <c r="BZ683" s="112" t="s">
        <v>338</v>
      </c>
      <c r="CD683" s="87" t="s">
        <v>2176</v>
      </c>
    </row>
    <row r="684" spans="1:89" x14ac:dyDescent="0.15">
      <c r="A684" s="84">
        <v>2</v>
      </c>
      <c r="C684" s="85" t="s">
        <v>338</v>
      </c>
      <c r="F684" s="85" t="s">
        <v>338</v>
      </c>
      <c r="H684" s="85" t="s">
        <v>338</v>
      </c>
      <c r="J684" s="84">
        <v>4</v>
      </c>
      <c r="L684" s="84">
        <v>0</v>
      </c>
      <c r="M684" s="85">
        <v>43522</v>
      </c>
      <c r="N684" s="85" t="s">
        <v>265</v>
      </c>
      <c r="O684" s="86" t="s">
        <v>340</v>
      </c>
      <c r="P684" s="84" t="s">
        <v>272</v>
      </c>
      <c r="Q684" s="86" t="s">
        <v>144</v>
      </c>
      <c r="R684" s="86" t="s">
        <v>2177</v>
      </c>
      <c r="S684" s="87" t="s">
        <v>351</v>
      </c>
      <c r="T684" s="87" t="s">
        <v>2178</v>
      </c>
      <c r="U684" s="88">
        <v>0</v>
      </c>
      <c r="V684" s="88">
        <v>0</v>
      </c>
      <c r="W684" s="88">
        <v>0</v>
      </c>
      <c r="X684" s="88">
        <v>0</v>
      </c>
      <c r="Y684" s="88">
        <v>0</v>
      </c>
      <c r="Z684" s="88">
        <v>0</v>
      </c>
      <c r="AA684" s="85">
        <v>43486</v>
      </c>
      <c r="AB684" s="85">
        <v>43516</v>
      </c>
      <c r="AD684" s="84">
        <v>0</v>
      </c>
      <c r="AG684" s="84">
        <v>0</v>
      </c>
      <c r="AJ684" s="84">
        <v>0</v>
      </c>
      <c r="AN684" s="84" t="s">
        <v>338</v>
      </c>
      <c r="AY684" s="132">
        <f>ROUNDDOWN((0.96*U684),0)</f>
        <v>0</v>
      </c>
      <c r="AZ684" s="132">
        <f>ROUNDDOWN(AY684+(AY684*MASTER!$A$2/100),0)</f>
        <v>0</v>
      </c>
      <c r="BA684" s="84" t="s">
        <v>1045</v>
      </c>
      <c r="BB684" s="88">
        <v>665000</v>
      </c>
      <c r="BC684" s="88">
        <v>718200</v>
      </c>
      <c r="BD684" s="84" t="s">
        <v>1233</v>
      </c>
      <c r="BG684" s="88">
        <v>0</v>
      </c>
      <c r="BK684" s="88">
        <v>0</v>
      </c>
      <c r="BS684" s="88">
        <v>0</v>
      </c>
      <c r="BV684" s="89">
        <v>0</v>
      </c>
      <c r="BW684" s="89">
        <v>718200</v>
      </c>
      <c r="BX684" s="89">
        <v>43522</v>
      </c>
      <c r="BY684" s="89">
        <v>-718200</v>
      </c>
      <c r="BZ684" s="112" t="s">
        <v>338</v>
      </c>
    </row>
    <row r="685" spans="1:89" s="151" customFormat="1" x14ac:dyDescent="0.15">
      <c r="A685" s="141">
        <v>3</v>
      </c>
      <c r="B685" s="142"/>
      <c r="C685" s="142" t="s">
        <v>338</v>
      </c>
      <c r="D685" s="142"/>
      <c r="E685" s="142"/>
      <c r="F685" s="142" t="s">
        <v>338</v>
      </c>
      <c r="G685" s="142"/>
      <c r="H685" s="142" t="s">
        <v>338</v>
      </c>
      <c r="I685" s="141"/>
      <c r="J685" s="141">
        <v>1</v>
      </c>
      <c r="K685" s="142"/>
      <c r="L685" s="141">
        <v>0</v>
      </c>
      <c r="M685" s="142">
        <v>43523</v>
      </c>
      <c r="N685" s="142" t="s">
        <v>265</v>
      </c>
      <c r="O685" s="143" t="s">
        <v>340</v>
      </c>
      <c r="P685" s="141" t="s">
        <v>26</v>
      </c>
      <c r="Q685" s="143" t="s">
        <v>144</v>
      </c>
      <c r="R685" s="143" t="s">
        <v>2179</v>
      </c>
      <c r="S685" s="144" t="s">
        <v>1739</v>
      </c>
      <c r="T685" s="144" t="s">
        <v>1030</v>
      </c>
      <c r="U685" s="145">
        <v>222800</v>
      </c>
      <c r="V685" s="145">
        <v>240624</v>
      </c>
      <c r="W685" s="145">
        <v>110800</v>
      </c>
      <c r="X685" s="145">
        <v>119664</v>
      </c>
      <c r="Y685" s="145">
        <v>112000</v>
      </c>
      <c r="Z685" s="145">
        <v>120960</v>
      </c>
      <c r="AA685" s="142"/>
      <c r="AB685" s="142"/>
      <c r="AC685" s="142"/>
      <c r="AD685" s="141">
        <v>0</v>
      </c>
      <c r="AE685" s="141"/>
      <c r="AF685" s="141"/>
      <c r="AG685" s="141">
        <v>0</v>
      </c>
      <c r="AH685" s="141"/>
      <c r="AI685" s="141"/>
      <c r="AJ685" s="141">
        <v>0</v>
      </c>
      <c r="AK685" s="141"/>
      <c r="AL685" s="141"/>
      <c r="AM685" s="141"/>
      <c r="AN685" s="141" t="s">
        <v>338</v>
      </c>
      <c r="AO685" s="142"/>
      <c r="AP685" s="141"/>
      <c r="AQ685" s="141"/>
      <c r="AR685" s="142"/>
      <c r="AS685" s="141"/>
      <c r="AT685" s="142"/>
      <c r="AU685" s="141"/>
      <c r="AV685" s="142"/>
      <c r="AW685" s="146"/>
      <c r="AX685" s="146"/>
      <c r="AY685" s="147">
        <v>213888</v>
      </c>
      <c r="AZ685" s="132">
        <f>ROUNDDOWN(AY685+(AY685*MASTER!$A$2/100),0)</f>
        <v>230999</v>
      </c>
      <c r="BA685" s="141"/>
      <c r="BB685" s="145"/>
      <c r="BC685" s="145">
        <v>0</v>
      </c>
      <c r="BD685" s="141"/>
      <c r="BE685" s="141"/>
      <c r="BF685" s="145"/>
      <c r="BG685" s="145">
        <v>0</v>
      </c>
      <c r="BH685" s="141"/>
      <c r="BI685" s="141"/>
      <c r="BJ685" s="145"/>
      <c r="BK685" s="145">
        <v>0</v>
      </c>
      <c r="BL685" s="141"/>
      <c r="BM685" s="145"/>
      <c r="BN685" s="145"/>
      <c r="BO685" s="145"/>
      <c r="BP685" s="145"/>
      <c r="BQ685" s="145"/>
      <c r="BR685" s="145"/>
      <c r="BS685" s="145">
        <v>0</v>
      </c>
      <c r="BT685" s="148"/>
      <c r="BU685" s="148"/>
      <c r="BV685" s="149">
        <v>119664</v>
      </c>
      <c r="BW685" s="149">
        <v>0</v>
      </c>
      <c r="BX685" s="149">
        <v>43523</v>
      </c>
      <c r="BY685" s="149">
        <v>119664</v>
      </c>
      <c r="BZ685" s="150">
        <v>100</v>
      </c>
      <c r="CA685" s="141"/>
      <c r="CB685" s="141"/>
      <c r="CC685" s="141"/>
      <c r="CD685" s="144" t="s">
        <v>2180</v>
      </c>
      <c r="CE685" s="142"/>
      <c r="CF685" s="142"/>
      <c r="CG685" s="142"/>
      <c r="CH685" s="142"/>
      <c r="CI685" s="142"/>
      <c r="CJ685" s="142"/>
      <c r="CK685" s="145">
        <v>6300</v>
      </c>
    </row>
    <row r="686" spans="1:89" s="151" customFormat="1" x14ac:dyDescent="0.15">
      <c r="A686" s="141">
        <v>3</v>
      </c>
      <c r="B686" s="142"/>
      <c r="C686" s="142" t="s">
        <v>338</v>
      </c>
      <c r="D686" s="142"/>
      <c r="E686" s="142"/>
      <c r="F686" s="142" t="s">
        <v>338</v>
      </c>
      <c r="G686" s="142"/>
      <c r="H686" s="142" t="s">
        <v>338</v>
      </c>
      <c r="I686" s="141"/>
      <c r="J686" s="141">
        <v>2</v>
      </c>
      <c r="K686" s="142"/>
      <c r="L686" s="141">
        <v>0</v>
      </c>
      <c r="M686" s="142">
        <v>43523</v>
      </c>
      <c r="N686" s="142" t="s">
        <v>264</v>
      </c>
      <c r="O686" s="143" t="s">
        <v>340</v>
      </c>
      <c r="P686" s="141" t="s">
        <v>272</v>
      </c>
      <c r="Q686" s="143" t="s">
        <v>144</v>
      </c>
      <c r="R686" s="143" t="s">
        <v>2181</v>
      </c>
      <c r="S686" s="144" t="s">
        <v>387</v>
      </c>
      <c r="T686" s="144" t="s">
        <v>2182</v>
      </c>
      <c r="U686" s="145">
        <v>200000</v>
      </c>
      <c r="V686" s="145">
        <v>216000</v>
      </c>
      <c r="W686" s="145">
        <v>200000</v>
      </c>
      <c r="X686" s="145">
        <v>216000</v>
      </c>
      <c r="Y686" s="145"/>
      <c r="Z686" s="145">
        <v>0</v>
      </c>
      <c r="AA686" s="142"/>
      <c r="AB686" s="142"/>
      <c r="AC686" s="142"/>
      <c r="AD686" s="141">
        <v>0</v>
      </c>
      <c r="AE686" s="141"/>
      <c r="AF686" s="141"/>
      <c r="AG686" s="141">
        <v>0</v>
      </c>
      <c r="AH686" s="141"/>
      <c r="AI686" s="141"/>
      <c r="AJ686" s="141">
        <v>0</v>
      </c>
      <c r="AK686" s="141"/>
      <c r="AL686" s="141"/>
      <c r="AM686" s="141"/>
      <c r="AN686" s="141"/>
      <c r="AO686" s="142"/>
      <c r="AP686" s="141"/>
      <c r="AQ686" s="141"/>
      <c r="AR686" s="142"/>
      <c r="AS686" s="141"/>
      <c r="AT686" s="142"/>
      <c r="AU686" s="141"/>
      <c r="AV686" s="142"/>
      <c r="AW686" s="146"/>
      <c r="AX686" s="146"/>
      <c r="AY686" s="147">
        <v>200000</v>
      </c>
      <c r="AZ686" s="147">
        <f>ROUNDDOWN(AY686+(AY686*MASTER!$A$2/100),0)</f>
        <v>216000</v>
      </c>
      <c r="BA686" s="141"/>
      <c r="BB686" s="145"/>
      <c r="BC686" s="145">
        <v>0</v>
      </c>
      <c r="BD686" s="141"/>
      <c r="BE686" s="141"/>
      <c r="BF686" s="145"/>
      <c r="BG686" s="145">
        <v>0</v>
      </c>
      <c r="BH686" s="141"/>
      <c r="BI686" s="141"/>
      <c r="BJ686" s="145"/>
      <c r="BK686" s="145">
        <v>0</v>
      </c>
      <c r="BL686" s="141"/>
      <c r="BM686" s="145"/>
      <c r="BN686" s="145"/>
      <c r="BO686" s="145"/>
      <c r="BP686" s="145"/>
      <c r="BQ686" s="145"/>
      <c r="BR686" s="145"/>
      <c r="BS686" s="145">
        <v>0</v>
      </c>
      <c r="BT686" s="148"/>
      <c r="BU686" s="148"/>
      <c r="BV686" s="149">
        <v>216000</v>
      </c>
      <c r="BW686" s="149">
        <v>0</v>
      </c>
      <c r="BX686" s="149">
        <v>43523</v>
      </c>
      <c r="BY686" s="149">
        <v>216000</v>
      </c>
      <c r="BZ686" s="150">
        <v>100</v>
      </c>
      <c r="CA686" s="141"/>
      <c r="CB686" s="141"/>
      <c r="CC686" s="141"/>
      <c r="CD686" s="144"/>
      <c r="CE686" s="142"/>
      <c r="CF686" s="142"/>
      <c r="CG686" s="142"/>
      <c r="CH686" s="142"/>
      <c r="CI686" s="142"/>
      <c r="CJ686" s="142"/>
      <c r="CK686" s="145"/>
    </row>
    <row r="687" spans="1:89" x14ac:dyDescent="0.15">
      <c r="A687" s="84">
        <v>1</v>
      </c>
      <c r="B687" s="85">
        <v>43542</v>
      </c>
      <c r="C687" s="85">
        <v>43544</v>
      </c>
      <c r="F687" s="85" t="s">
        <v>338</v>
      </c>
      <c r="G687" s="85">
        <v>43539</v>
      </c>
      <c r="H687" s="85" t="s">
        <v>338</v>
      </c>
      <c r="J687" s="84">
        <v>1</v>
      </c>
      <c r="L687" s="84">
        <v>0</v>
      </c>
      <c r="M687" s="85">
        <v>43523</v>
      </c>
      <c r="N687" s="85" t="s">
        <v>265</v>
      </c>
      <c r="O687" s="86" t="s">
        <v>340</v>
      </c>
      <c r="P687" s="84" t="s">
        <v>26</v>
      </c>
      <c r="Q687" s="86" t="s">
        <v>144</v>
      </c>
      <c r="R687" s="86" t="s">
        <v>2183</v>
      </c>
      <c r="S687" s="87" t="s">
        <v>2184</v>
      </c>
      <c r="T687" s="87" t="s">
        <v>2185</v>
      </c>
      <c r="U687" s="88">
        <v>186300</v>
      </c>
      <c r="V687" s="88">
        <v>201204</v>
      </c>
      <c r="W687" s="88">
        <v>121300</v>
      </c>
      <c r="X687" s="88">
        <v>131004</v>
      </c>
      <c r="Y687" s="88">
        <v>65000</v>
      </c>
      <c r="Z687" s="88">
        <v>70200</v>
      </c>
      <c r="AA687" s="85">
        <v>43521</v>
      </c>
      <c r="AB687" s="85">
        <v>43522</v>
      </c>
      <c r="AD687" s="84">
        <v>0</v>
      </c>
      <c r="AG687" s="84">
        <v>0</v>
      </c>
      <c r="AJ687" s="84">
        <v>0</v>
      </c>
      <c r="AN687" s="84" t="s">
        <v>338</v>
      </c>
      <c r="AR687" s="85">
        <v>43539</v>
      </c>
      <c r="AS687" s="84">
        <v>6001657831</v>
      </c>
      <c r="AT687" s="85">
        <v>43539</v>
      </c>
      <c r="AU687" s="84" t="s">
        <v>1955</v>
      </c>
      <c r="AV687" s="85">
        <v>43544</v>
      </c>
      <c r="AW687" s="123">
        <v>43555</v>
      </c>
      <c r="AX687" s="123">
        <v>43575</v>
      </c>
      <c r="AY687" s="132">
        <v>178848</v>
      </c>
      <c r="AZ687" s="132">
        <f>ROUNDDOWN(AY687+(AY687*MASTER!$A$2/100),0)</f>
        <v>193155</v>
      </c>
      <c r="BC687" s="88">
        <v>0</v>
      </c>
      <c r="BG687" s="88">
        <v>0</v>
      </c>
      <c r="BI687" s="84" t="s">
        <v>434</v>
      </c>
      <c r="BJ687" s="88">
        <v>42250</v>
      </c>
      <c r="BK687" s="88">
        <v>45630</v>
      </c>
      <c r="BL687" s="84" t="s">
        <v>1268</v>
      </c>
      <c r="BS687" s="88">
        <v>0</v>
      </c>
      <c r="BV687" s="89">
        <v>131004</v>
      </c>
      <c r="BW687" s="89">
        <v>45630</v>
      </c>
      <c r="BX687" s="89">
        <v>43523</v>
      </c>
      <c r="BY687" s="89">
        <v>85374</v>
      </c>
      <c r="BZ687" s="112">
        <v>65.16900247320693</v>
      </c>
      <c r="CK687" s="88">
        <v>6300</v>
      </c>
    </row>
    <row r="688" spans="1:89" s="151" customFormat="1" x14ac:dyDescent="0.15">
      <c r="A688" s="141">
        <v>3</v>
      </c>
      <c r="B688" s="142"/>
      <c r="C688" s="142" t="s">
        <v>338</v>
      </c>
      <c r="D688" s="142"/>
      <c r="E688" s="142"/>
      <c r="F688" s="142" t="s">
        <v>338</v>
      </c>
      <c r="G688" s="142"/>
      <c r="H688" s="142" t="s">
        <v>338</v>
      </c>
      <c r="I688" s="141"/>
      <c r="J688" s="141">
        <v>2</v>
      </c>
      <c r="K688" s="142"/>
      <c r="L688" s="141">
        <v>0</v>
      </c>
      <c r="M688" s="142">
        <v>43523</v>
      </c>
      <c r="N688" s="142" t="s">
        <v>265</v>
      </c>
      <c r="O688" s="143" t="s">
        <v>340</v>
      </c>
      <c r="P688" s="141" t="s">
        <v>26</v>
      </c>
      <c r="Q688" s="143" t="s">
        <v>144</v>
      </c>
      <c r="R688" s="143" t="s">
        <v>2186</v>
      </c>
      <c r="S688" s="144" t="s">
        <v>415</v>
      </c>
      <c r="T688" s="144" t="s">
        <v>1075</v>
      </c>
      <c r="U688" s="145">
        <v>81900</v>
      </c>
      <c r="V688" s="145">
        <v>88452</v>
      </c>
      <c r="W688" s="145">
        <v>81900</v>
      </c>
      <c r="X688" s="145">
        <v>88452</v>
      </c>
      <c r="Y688" s="145"/>
      <c r="Z688" s="145">
        <v>0</v>
      </c>
      <c r="AA688" s="142"/>
      <c r="AB688" s="142"/>
      <c r="AC688" s="142"/>
      <c r="AD688" s="141">
        <v>0</v>
      </c>
      <c r="AE688" s="141"/>
      <c r="AF688" s="141"/>
      <c r="AG688" s="141">
        <v>0</v>
      </c>
      <c r="AH688" s="141"/>
      <c r="AI688" s="141"/>
      <c r="AJ688" s="141">
        <v>0</v>
      </c>
      <c r="AK688" s="141"/>
      <c r="AL688" s="141"/>
      <c r="AM688" s="141" t="s">
        <v>290</v>
      </c>
      <c r="AN688" s="141" t="s">
        <v>2187</v>
      </c>
      <c r="AO688" s="142"/>
      <c r="AP688" s="141"/>
      <c r="AQ688" s="141"/>
      <c r="AR688" s="142"/>
      <c r="AS688" s="141"/>
      <c r="AT688" s="142"/>
      <c r="AU688" s="141"/>
      <c r="AV688" s="142"/>
      <c r="AW688" s="146"/>
      <c r="AX688" s="146"/>
      <c r="AY688" s="147">
        <v>78624</v>
      </c>
      <c r="AZ688" s="132">
        <f>ROUNDDOWN(AY688+(AY688*MASTER!$A$2/100),0)</f>
        <v>84913</v>
      </c>
      <c r="BA688" s="141"/>
      <c r="BB688" s="145"/>
      <c r="BC688" s="145">
        <v>0</v>
      </c>
      <c r="BD688" s="141"/>
      <c r="BE688" s="141"/>
      <c r="BF688" s="145"/>
      <c r="BG688" s="145">
        <v>0</v>
      </c>
      <c r="BH688" s="141"/>
      <c r="BI688" s="141"/>
      <c r="BJ688" s="145"/>
      <c r="BK688" s="145">
        <v>0</v>
      </c>
      <c r="BL688" s="141"/>
      <c r="BM688" s="145"/>
      <c r="BN688" s="145"/>
      <c r="BO688" s="145"/>
      <c r="BP688" s="145"/>
      <c r="BQ688" s="145"/>
      <c r="BR688" s="145"/>
      <c r="BS688" s="145">
        <v>0</v>
      </c>
      <c r="BT688" s="148"/>
      <c r="BU688" s="148"/>
      <c r="BV688" s="149">
        <v>88452</v>
      </c>
      <c r="BW688" s="149">
        <v>0</v>
      </c>
      <c r="BX688" s="149">
        <v>43523</v>
      </c>
      <c r="BY688" s="149">
        <v>88452</v>
      </c>
      <c r="BZ688" s="150">
        <v>100</v>
      </c>
      <c r="CA688" s="141"/>
      <c r="CB688" s="141"/>
      <c r="CC688" s="141"/>
      <c r="CD688" s="144"/>
      <c r="CE688" s="142"/>
      <c r="CF688" s="142"/>
      <c r="CG688" s="142"/>
      <c r="CH688" s="142"/>
      <c r="CI688" s="142"/>
      <c r="CJ688" s="142"/>
      <c r="CK688" s="145">
        <v>0</v>
      </c>
    </row>
    <row r="689" spans="1:89" x14ac:dyDescent="0.15">
      <c r="A689" s="84">
        <v>2</v>
      </c>
      <c r="B689" s="85">
        <v>43537</v>
      </c>
      <c r="C689" s="85">
        <v>43545</v>
      </c>
      <c r="E689" s="85">
        <v>43549</v>
      </c>
      <c r="F689" s="85">
        <v>43552</v>
      </c>
      <c r="G689" s="85">
        <v>43546</v>
      </c>
      <c r="H689" s="85">
        <v>43548</v>
      </c>
      <c r="I689" s="84" t="s">
        <v>1191</v>
      </c>
      <c r="J689" s="84">
        <v>1</v>
      </c>
      <c r="L689" s="84">
        <v>0</v>
      </c>
      <c r="M689" s="85">
        <v>43523</v>
      </c>
      <c r="N689" s="85" t="s">
        <v>265</v>
      </c>
      <c r="O689" s="86" t="s">
        <v>340</v>
      </c>
      <c r="P689" s="84" t="s">
        <v>26</v>
      </c>
      <c r="Q689" s="86" t="s">
        <v>144</v>
      </c>
      <c r="R689" s="86" t="s">
        <v>2188</v>
      </c>
      <c r="S689" s="87" t="s">
        <v>2132</v>
      </c>
      <c r="T689" s="87" t="s">
        <v>2189</v>
      </c>
      <c r="U689" s="88">
        <v>136000</v>
      </c>
      <c r="V689" s="88">
        <v>146880</v>
      </c>
      <c r="W689" s="88">
        <v>124000</v>
      </c>
      <c r="X689" s="88">
        <v>133920</v>
      </c>
      <c r="Y689" s="88">
        <v>12000</v>
      </c>
      <c r="Z689" s="88">
        <v>12960</v>
      </c>
      <c r="AA689" s="85">
        <v>43542</v>
      </c>
      <c r="AB689" s="85">
        <v>43545</v>
      </c>
      <c r="AC689" s="85">
        <v>43545</v>
      </c>
      <c r="AD689" s="84">
        <v>0</v>
      </c>
      <c r="AG689" s="84">
        <v>0</v>
      </c>
      <c r="AJ689" s="84">
        <v>0</v>
      </c>
      <c r="AM689" s="84" t="s">
        <v>290</v>
      </c>
      <c r="AN689" s="84" t="s">
        <v>2190</v>
      </c>
      <c r="AR689" s="85">
        <v>43535</v>
      </c>
      <c r="AS689" s="84">
        <v>6001655856</v>
      </c>
      <c r="AT689" s="85">
        <v>43536</v>
      </c>
      <c r="AU689" s="84" t="s">
        <v>1930</v>
      </c>
      <c r="AV689" s="85">
        <v>43545</v>
      </c>
      <c r="AW689" s="123">
        <v>43555</v>
      </c>
      <c r="AX689" s="123">
        <v>43575</v>
      </c>
      <c r="AY689" s="132">
        <v>130560</v>
      </c>
      <c r="AZ689" s="132">
        <f>ROUNDDOWN(AY689+(AY689*MASTER!$A$2/100),0)</f>
        <v>141004</v>
      </c>
      <c r="BA689" s="84" t="s">
        <v>778</v>
      </c>
      <c r="BC689" s="88">
        <v>0</v>
      </c>
      <c r="BG689" s="88">
        <v>0</v>
      </c>
      <c r="BK689" s="88">
        <v>0</v>
      </c>
      <c r="BS689" s="88">
        <v>0</v>
      </c>
      <c r="BV689" s="89">
        <v>133920</v>
      </c>
      <c r="BW689" s="89">
        <v>0</v>
      </c>
      <c r="BX689" s="89">
        <v>43523</v>
      </c>
      <c r="BY689" s="89">
        <v>133920</v>
      </c>
      <c r="BZ689" s="112">
        <v>100</v>
      </c>
      <c r="CK689" s="88">
        <v>31500</v>
      </c>
    </row>
    <row r="690" spans="1:89" x14ac:dyDescent="0.15">
      <c r="A690" s="84">
        <v>2</v>
      </c>
      <c r="B690" s="85">
        <v>43542</v>
      </c>
      <c r="C690" s="85">
        <v>43550</v>
      </c>
      <c r="F690" s="85">
        <v>43581</v>
      </c>
      <c r="G690" s="85">
        <v>43577</v>
      </c>
      <c r="H690" s="85">
        <v>43577</v>
      </c>
      <c r="I690" s="84" t="s">
        <v>401</v>
      </c>
      <c r="J690" s="84">
        <v>1</v>
      </c>
      <c r="L690" s="84">
        <v>0</v>
      </c>
      <c r="M690" s="85">
        <v>43523</v>
      </c>
      <c r="N690" s="85" t="s">
        <v>265</v>
      </c>
      <c r="O690" s="86" t="s">
        <v>340</v>
      </c>
      <c r="P690" s="84" t="s">
        <v>170</v>
      </c>
      <c r="Q690" s="86" t="s">
        <v>144</v>
      </c>
      <c r="R690" s="86" t="s">
        <v>2191</v>
      </c>
      <c r="S690" s="87" t="s">
        <v>2192</v>
      </c>
      <c r="T690" s="87" t="s">
        <v>2193</v>
      </c>
      <c r="U690" s="88">
        <v>4061200</v>
      </c>
      <c r="V690" s="88">
        <v>4386096</v>
      </c>
      <c r="W690" s="88">
        <v>3793700</v>
      </c>
      <c r="X690" s="88">
        <v>4097196</v>
      </c>
      <c r="Y690" s="88">
        <v>267500</v>
      </c>
      <c r="Z690" s="88">
        <v>288900</v>
      </c>
      <c r="AA690" s="85">
        <v>43542</v>
      </c>
      <c r="AB690" s="85">
        <v>43550</v>
      </c>
      <c r="AC690" s="85">
        <v>43574</v>
      </c>
      <c r="AD690" s="84">
        <v>1007</v>
      </c>
      <c r="AE690" s="84">
        <v>574</v>
      </c>
      <c r="AF690" s="84">
        <v>433</v>
      </c>
      <c r="AG690" s="84">
        <v>0</v>
      </c>
      <c r="AJ690" s="84">
        <v>0</v>
      </c>
      <c r="AN690" s="84" t="s">
        <v>338</v>
      </c>
      <c r="AR690" s="85">
        <v>43525</v>
      </c>
      <c r="AS690" s="84">
        <v>6001652289</v>
      </c>
      <c r="AT690" s="85">
        <v>43525</v>
      </c>
      <c r="AU690" s="84" t="s">
        <v>2194</v>
      </c>
      <c r="AV690" s="85">
        <v>43550</v>
      </c>
      <c r="AW690" s="123">
        <v>43555</v>
      </c>
      <c r="AX690" s="123">
        <v>43575</v>
      </c>
      <c r="AY690" s="132">
        <v>3898752</v>
      </c>
      <c r="AZ690" s="132">
        <f>ROUNDDOWN(AY690+(AY690*MASTER!$A$2/100),0)</f>
        <v>4210652</v>
      </c>
      <c r="BA690" s="84" t="s">
        <v>287</v>
      </c>
      <c r="BB690" s="88">
        <v>500000</v>
      </c>
      <c r="BC690" s="88">
        <v>540000</v>
      </c>
      <c r="BD690" s="84" t="s">
        <v>1579</v>
      </c>
      <c r="BG690" s="88">
        <v>0</v>
      </c>
      <c r="BI690" s="84" t="s">
        <v>434</v>
      </c>
      <c r="BJ690" s="88">
        <v>173875</v>
      </c>
      <c r="BK690" s="88">
        <v>187785</v>
      </c>
      <c r="BL690" s="84" t="s">
        <v>1579</v>
      </c>
      <c r="BS690" s="88">
        <v>0</v>
      </c>
      <c r="BV690" s="89">
        <v>4097196</v>
      </c>
      <c r="BW690" s="89">
        <v>727785</v>
      </c>
      <c r="BX690" s="89">
        <v>43523</v>
      </c>
      <c r="BY690" s="89">
        <v>3369411</v>
      </c>
      <c r="BZ690" s="112">
        <v>82.236998181195148</v>
      </c>
      <c r="CK690" s="88">
        <v>0</v>
      </c>
    </row>
    <row r="691" spans="1:89" x14ac:dyDescent="0.15">
      <c r="A691" s="84">
        <v>2</v>
      </c>
      <c r="B691" s="85">
        <v>43571</v>
      </c>
      <c r="C691" s="85">
        <v>43577</v>
      </c>
      <c r="F691" s="85">
        <v>43591</v>
      </c>
      <c r="G691" s="85">
        <v>43577</v>
      </c>
      <c r="H691" s="85">
        <v>43587</v>
      </c>
      <c r="I691" s="84" t="s">
        <v>401</v>
      </c>
      <c r="J691" s="84">
        <v>2</v>
      </c>
      <c r="L691" s="84">
        <v>0</v>
      </c>
      <c r="M691" s="85">
        <v>43523</v>
      </c>
      <c r="N691" s="85" t="s">
        <v>265</v>
      </c>
      <c r="O691" s="86" t="s">
        <v>340</v>
      </c>
      <c r="P691" s="84" t="s">
        <v>38</v>
      </c>
      <c r="Q691" s="86" t="s">
        <v>144</v>
      </c>
      <c r="R691" s="86" t="s">
        <v>2195</v>
      </c>
      <c r="S691" s="87" t="s">
        <v>2192</v>
      </c>
      <c r="T691" s="87" t="s">
        <v>2196</v>
      </c>
      <c r="U691" s="88">
        <v>1510500</v>
      </c>
      <c r="V691" s="88">
        <v>1631340</v>
      </c>
      <c r="W691" s="88">
        <v>1510500</v>
      </c>
      <c r="X691" s="88">
        <v>1631340</v>
      </c>
      <c r="Z691" s="88">
        <v>0</v>
      </c>
      <c r="AA691" s="85">
        <v>43574</v>
      </c>
      <c r="AB691" s="85">
        <v>43575</v>
      </c>
      <c r="AC691" s="85">
        <v>43584</v>
      </c>
      <c r="AD691" s="84">
        <v>1007</v>
      </c>
      <c r="AE691" s="84">
        <v>574</v>
      </c>
      <c r="AF691" s="84">
        <v>433</v>
      </c>
      <c r="AG691" s="84">
        <v>0</v>
      </c>
      <c r="AJ691" s="84">
        <v>0</v>
      </c>
      <c r="AN691" s="84" t="s">
        <v>338</v>
      </c>
      <c r="AR691" s="85">
        <v>43570</v>
      </c>
      <c r="AS691" s="84">
        <v>6001666615</v>
      </c>
      <c r="AT691" s="85">
        <v>43570</v>
      </c>
      <c r="AU691" s="84" t="s">
        <v>1775</v>
      </c>
      <c r="AV691" s="85">
        <v>43577</v>
      </c>
      <c r="AW691" s="123">
        <v>43585</v>
      </c>
      <c r="AX691" s="123">
        <v>43605</v>
      </c>
      <c r="AY691" s="132">
        <v>1450080</v>
      </c>
      <c r="AZ691" s="132">
        <f>ROUNDDOWN(AY691+(AY691*MASTER!$A$2/100),0)</f>
        <v>1566086</v>
      </c>
      <c r="BA691" s="84" t="s">
        <v>287</v>
      </c>
      <c r="BB691" s="88">
        <v>281960</v>
      </c>
      <c r="BC691" s="88">
        <v>304516.8</v>
      </c>
      <c r="BD691" s="84" t="s">
        <v>2197</v>
      </c>
      <c r="BG691" s="88">
        <v>0</v>
      </c>
      <c r="BK691" s="88">
        <v>0</v>
      </c>
      <c r="BS691" s="88">
        <v>0</v>
      </c>
      <c r="BV691" s="89">
        <v>1631340</v>
      </c>
      <c r="BW691" s="89">
        <v>304516.8</v>
      </c>
      <c r="BX691" s="89">
        <v>43523</v>
      </c>
      <c r="BY691" s="89">
        <v>1326823.2</v>
      </c>
      <c r="BZ691" s="112">
        <v>81.333333333333329</v>
      </c>
      <c r="CK691" s="88">
        <v>0</v>
      </c>
    </row>
    <row r="692" spans="1:89" x14ac:dyDescent="0.15">
      <c r="A692" s="84">
        <v>2</v>
      </c>
      <c r="B692" s="85">
        <v>43531</v>
      </c>
      <c r="C692" s="85">
        <v>43531</v>
      </c>
      <c r="D692" s="85">
        <v>43529</v>
      </c>
      <c r="E692" s="85">
        <v>43529</v>
      </c>
      <c r="F692" s="85" t="s">
        <v>338</v>
      </c>
      <c r="G692" s="85">
        <v>43529</v>
      </c>
      <c r="H692" s="85" t="s">
        <v>338</v>
      </c>
      <c r="I692" s="84" t="s">
        <v>380</v>
      </c>
      <c r="J692" s="84">
        <v>2</v>
      </c>
      <c r="L692" s="84">
        <v>0</v>
      </c>
      <c r="M692" s="85">
        <v>43523</v>
      </c>
      <c r="N692" s="85" t="s">
        <v>265</v>
      </c>
      <c r="O692" s="86" t="s">
        <v>340</v>
      </c>
      <c r="P692" s="84" t="s">
        <v>6</v>
      </c>
      <c r="Q692" s="86" t="s">
        <v>144</v>
      </c>
      <c r="R692" s="86" t="s">
        <v>2198</v>
      </c>
      <c r="S692" s="87" t="s">
        <v>2199</v>
      </c>
      <c r="T692" s="87" t="s">
        <v>342</v>
      </c>
      <c r="U692" s="88">
        <v>35000</v>
      </c>
      <c r="V692" s="88">
        <v>37800</v>
      </c>
      <c r="W692" s="88">
        <v>35000</v>
      </c>
      <c r="X692" s="88">
        <v>37800</v>
      </c>
      <c r="Z692" s="88">
        <v>0</v>
      </c>
      <c r="AA692" s="85">
        <v>43525</v>
      </c>
      <c r="AB692" s="85">
        <v>43526</v>
      </c>
      <c r="AD692" s="84">
        <v>0</v>
      </c>
      <c r="AG692" s="84">
        <v>0</v>
      </c>
      <c r="AJ692" s="84">
        <v>0</v>
      </c>
      <c r="AN692" s="84" t="s">
        <v>338</v>
      </c>
      <c r="AR692" s="85">
        <v>43529</v>
      </c>
      <c r="AS692" s="84">
        <v>6001653251</v>
      </c>
      <c r="AT692" s="85">
        <v>43531</v>
      </c>
      <c r="AU692" s="84" t="s">
        <v>1863</v>
      </c>
      <c r="AV692" s="85">
        <v>43531</v>
      </c>
      <c r="AW692" s="123">
        <v>43555</v>
      </c>
      <c r="AX692" s="123">
        <v>43575</v>
      </c>
      <c r="AY692" s="132">
        <v>33600</v>
      </c>
      <c r="AZ692" s="132">
        <f>ROUNDDOWN(AY692+(AY692*MASTER!$A$2/100),0)</f>
        <v>36288</v>
      </c>
      <c r="BA692" s="84" t="s">
        <v>745</v>
      </c>
      <c r="BB692" s="88">
        <v>24000</v>
      </c>
      <c r="BC692" s="88">
        <v>25920</v>
      </c>
      <c r="BD692" s="84" t="s">
        <v>1268</v>
      </c>
      <c r="BG692" s="88">
        <v>0</v>
      </c>
      <c r="BK692" s="88">
        <v>0</v>
      </c>
      <c r="BS692" s="88">
        <v>0</v>
      </c>
      <c r="BV692" s="89">
        <v>37800</v>
      </c>
      <c r="BW692" s="89">
        <v>25920</v>
      </c>
      <c r="BX692" s="89">
        <v>43523</v>
      </c>
      <c r="BY692" s="89">
        <v>11880</v>
      </c>
      <c r="BZ692" s="112">
        <v>31.428571428571427</v>
      </c>
      <c r="CK692" s="88">
        <v>0</v>
      </c>
    </row>
    <row r="693" spans="1:89" s="151" customFormat="1" x14ac:dyDescent="0.15">
      <c r="A693" s="141">
        <v>3</v>
      </c>
      <c r="B693" s="142"/>
      <c r="C693" s="142" t="s">
        <v>338</v>
      </c>
      <c r="D693" s="142"/>
      <c r="E693" s="142"/>
      <c r="F693" s="142" t="s">
        <v>338</v>
      </c>
      <c r="G693" s="142"/>
      <c r="H693" s="142" t="s">
        <v>338</v>
      </c>
      <c r="I693" s="141"/>
      <c r="J693" s="141">
        <v>1</v>
      </c>
      <c r="K693" s="142"/>
      <c r="L693" s="141">
        <v>0</v>
      </c>
      <c r="M693" s="142">
        <v>43523</v>
      </c>
      <c r="N693" s="142" t="s">
        <v>265</v>
      </c>
      <c r="O693" s="143" t="s">
        <v>340</v>
      </c>
      <c r="P693" s="141" t="s">
        <v>26</v>
      </c>
      <c r="Q693" s="143" t="s">
        <v>144</v>
      </c>
      <c r="R693" s="143" t="s">
        <v>2200</v>
      </c>
      <c r="S693" s="144" t="s">
        <v>1154</v>
      </c>
      <c r="T693" s="144" t="s">
        <v>2201</v>
      </c>
      <c r="U693" s="145">
        <v>129000</v>
      </c>
      <c r="V693" s="145">
        <v>139320</v>
      </c>
      <c r="W693" s="145">
        <v>99000</v>
      </c>
      <c r="X693" s="145">
        <v>106920</v>
      </c>
      <c r="Y693" s="145">
        <v>30000</v>
      </c>
      <c r="Z693" s="145">
        <v>32400</v>
      </c>
      <c r="AA693" s="142"/>
      <c r="AB693" s="142"/>
      <c r="AC693" s="142"/>
      <c r="AD693" s="141">
        <v>0</v>
      </c>
      <c r="AE693" s="141"/>
      <c r="AF693" s="141"/>
      <c r="AG693" s="141">
        <v>0</v>
      </c>
      <c r="AH693" s="141"/>
      <c r="AI693" s="141"/>
      <c r="AJ693" s="141">
        <v>0</v>
      </c>
      <c r="AK693" s="141"/>
      <c r="AL693" s="141"/>
      <c r="AM693" s="141" t="s">
        <v>290</v>
      </c>
      <c r="AN693" s="141" t="s">
        <v>2202</v>
      </c>
      <c r="AO693" s="142"/>
      <c r="AP693" s="141"/>
      <c r="AQ693" s="141"/>
      <c r="AR693" s="142"/>
      <c r="AS693" s="141"/>
      <c r="AT693" s="142"/>
      <c r="AU693" s="141"/>
      <c r="AV693" s="142"/>
      <c r="AW693" s="146"/>
      <c r="AX693" s="146"/>
      <c r="AY693" s="147">
        <v>123840</v>
      </c>
      <c r="AZ693" s="132">
        <f>ROUNDDOWN(AY693+(AY693*MASTER!$A$2/100),0)</f>
        <v>133747</v>
      </c>
      <c r="BA693" s="141"/>
      <c r="BB693" s="145"/>
      <c r="BC693" s="145">
        <v>0</v>
      </c>
      <c r="BD693" s="141"/>
      <c r="BE693" s="141"/>
      <c r="BF693" s="145"/>
      <c r="BG693" s="145">
        <v>0</v>
      </c>
      <c r="BH693" s="141"/>
      <c r="BI693" s="141"/>
      <c r="BJ693" s="145"/>
      <c r="BK693" s="145">
        <v>0</v>
      </c>
      <c r="BL693" s="141"/>
      <c r="BM693" s="145"/>
      <c r="BN693" s="145"/>
      <c r="BO693" s="145"/>
      <c r="BP693" s="145"/>
      <c r="BQ693" s="145"/>
      <c r="BR693" s="145"/>
      <c r="BS693" s="145">
        <v>0</v>
      </c>
      <c r="BT693" s="148"/>
      <c r="BU693" s="148"/>
      <c r="BV693" s="149">
        <v>106920</v>
      </c>
      <c r="BW693" s="149">
        <v>0</v>
      </c>
      <c r="BX693" s="149">
        <v>43523</v>
      </c>
      <c r="BY693" s="149">
        <v>106920</v>
      </c>
      <c r="BZ693" s="150">
        <v>100</v>
      </c>
      <c r="CA693" s="141"/>
      <c r="CB693" s="141"/>
      <c r="CC693" s="141"/>
      <c r="CD693" s="144" t="s">
        <v>2203</v>
      </c>
      <c r="CE693" s="142"/>
      <c r="CF693" s="142"/>
      <c r="CG693" s="142"/>
      <c r="CH693" s="142"/>
      <c r="CI693" s="142"/>
      <c r="CJ693" s="142"/>
      <c r="CK693" s="145">
        <v>0</v>
      </c>
    </row>
    <row r="694" spans="1:89" s="151" customFormat="1" x14ac:dyDescent="0.15">
      <c r="A694" s="141">
        <v>3</v>
      </c>
      <c r="B694" s="142"/>
      <c r="C694" s="142" t="s">
        <v>338</v>
      </c>
      <c r="D694" s="142"/>
      <c r="E694" s="142"/>
      <c r="F694" s="142" t="s">
        <v>338</v>
      </c>
      <c r="G694" s="142"/>
      <c r="H694" s="142" t="s">
        <v>338</v>
      </c>
      <c r="I694" s="141"/>
      <c r="J694" s="141">
        <v>2</v>
      </c>
      <c r="K694" s="142"/>
      <c r="L694" s="141">
        <v>0</v>
      </c>
      <c r="M694" s="142">
        <v>43524</v>
      </c>
      <c r="N694" s="142" t="s">
        <v>265</v>
      </c>
      <c r="O694" s="143" t="s">
        <v>340</v>
      </c>
      <c r="P694" s="141" t="s">
        <v>271</v>
      </c>
      <c r="Q694" s="143" t="s">
        <v>144</v>
      </c>
      <c r="R694" s="143" t="s">
        <v>2204</v>
      </c>
      <c r="S694" s="144" t="s">
        <v>2192</v>
      </c>
      <c r="T694" s="144" t="s">
        <v>2205</v>
      </c>
      <c r="U694" s="145">
        <v>600000</v>
      </c>
      <c r="V694" s="145">
        <v>648000</v>
      </c>
      <c r="W694" s="145">
        <v>600000</v>
      </c>
      <c r="X694" s="145">
        <v>648000</v>
      </c>
      <c r="Y694" s="145"/>
      <c r="Z694" s="145">
        <v>0</v>
      </c>
      <c r="AA694" s="142"/>
      <c r="AB694" s="142"/>
      <c r="AC694" s="142"/>
      <c r="AD694" s="141">
        <v>0</v>
      </c>
      <c r="AE694" s="141"/>
      <c r="AF694" s="141"/>
      <c r="AG694" s="141">
        <v>0</v>
      </c>
      <c r="AH694" s="141"/>
      <c r="AI694" s="141"/>
      <c r="AJ694" s="141">
        <v>0</v>
      </c>
      <c r="AK694" s="141"/>
      <c r="AL694" s="141"/>
      <c r="AM694" s="141"/>
      <c r="AN694" s="141" t="s">
        <v>338</v>
      </c>
      <c r="AO694" s="142"/>
      <c r="AP694" s="141"/>
      <c r="AQ694" s="141"/>
      <c r="AR694" s="142"/>
      <c r="AS694" s="141"/>
      <c r="AT694" s="142"/>
      <c r="AU694" s="141"/>
      <c r="AV694" s="142"/>
      <c r="AW694" s="146"/>
      <c r="AX694" s="146"/>
      <c r="AY694" s="147">
        <v>576000</v>
      </c>
      <c r="AZ694" s="132">
        <f>ROUNDDOWN(AY694+(AY694*MASTER!$A$2/100),0)</f>
        <v>622080</v>
      </c>
      <c r="BA694" s="141"/>
      <c r="BB694" s="145"/>
      <c r="BC694" s="145">
        <v>0</v>
      </c>
      <c r="BD694" s="141"/>
      <c r="BE694" s="141"/>
      <c r="BF694" s="145"/>
      <c r="BG694" s="145">
        <v>0</v>
      </c>
      <c r="BH694" s="141"/>
      <c r="BI694" s="141"/>
      <c r="BJ694" s="145"/>
      <c r="BK694" s="145">
        <v>0</v>
      </c>
      <c r="BL694" s="141"/>
      <c r="BM694" s="145"/>
      <c r="BN694" s="145"/>
      <c r="BO694" s="145"/>
      <c r="BP694" s="145"/>
      <c r="BQ694" s="145"/>
      <c r="BR694" s="145"/>
      <c r="BS694" s="145">
        <v>0</v>
      </c>
      <c r="BT694" s="148"/>
      <c r="BU694" s="148"/>
      <c r="BV694" s="149">
        <v>648000</v>
      </c>
      <c r="BW694" s="149">
        <v>0</v>
      </c>
      <c r="BX694" s="149">
        <v>43524</v>
      </c>
      <c r="BY694" s="149">
        <v>648000</v>
      </c>
      <c r="BZ694" s="150">
        <v>100</v>
      </c>
      <c r="CA694" s="141"/>
      <c r="CB694" s="141"/>
      <c r="CC694" s="141"/>
      <c r="CD694" s="144" t="s">
        <v>2206</v>
      </c>
      <c r="CE694" s="142"/>
      <c r="CF694" s="142"/>
      <c r="CG694" s="142"/>
      <c r="CH694" s="142"/>
      <c r="CI694" s="142"/>
      <c r="CJ694" s="142"/>
      <c r="CK694" s="145">
        <v>600000</v>
      </c>
    </row>
    <row r="695" spans="1:89" x14ac:dyDescent="0.15">
      <c r="A695" s="84">
        <v>2</v>
      </c>
      <c r="B695" s="85">
        <v>43570</v>
      </c>
      <c r="C695" s="85">
        <v>43581</v>
      </c>
      <c r="D695" s="85">
        <v>43610</v>
      </c>
      <c r="E695" s="85">
        <v>43592</v>
      </c>
      <c r="F695" s="85">
        <v>43588</v>
      </c>
      <c r="G695" s="85">
        <v>43592</v>
      </c>
      <c r="H695" s="85">
        <v>43584</v>
      </c>
      <c r="I695" s="84" t="s">
        <v>401</v>
      </c>
      <c r="J695" s="84">
        <v>1</v>
      </c>
      <c r="L695" s="84">
        <v>0</v>
      </c>
      <c r="M695" s="85">
        <v>43524</v>
      </c>
      <c r="N695" s="85" t="s">
        <v>265</v>
      </c>
      <c r="O695" s="86" t="s">
        <v>340</v>
      </c>
      <c r="P695" s="84" t="s">
        <v>26</v>
      </c>
      <c r="Q695" s="86" t="s">
        <v>144</v>
      </c>
      <c r="R695" s="86" t="s">
        <v>2207</v>
      </c>
      <c r="S695" s="87" t="s">
        <v>1151</v>
      </c>
      <c r="T695" s="87" t="s">
        <v>1363</v>
      </c>
      <c r="U695" s="88">
        <v>967500</v>
      </c>
      <c r="V695" s="88">
        <v>1044900</v>
      </c>
      <c r="W695" s="88">
        <v>879000</v>
      </c>
      <c r="X695" s="88">
        <v>949320</v>
      </c>
      <c r="Y695" s="88">
        <v>88500</v>
      </c>
      <c r="Z695" s="88">
        <v>95580</v>
      </c>
      <c r="AA695" s="85">
        <v>43577</v>
      </c>
      <c r="AB695" s="85">
        <v>43581</v>
      </c>
      <c r="AC695" s="85">
        <v>43581</v>
      </c>
      <c r="AD695" s="84">
        <v>0</v>
      </c>
      <c r="AG695" s="84">
        <v>0</v>
      </c>
      <c r="AJ695" s="84">
        <v>0</v>
      </c>
      <c r="AM695" s="84" t="s">
        <v>290</v>
      </c>
      <c r="AN695" s="84" t="s">
        <v>2208</v>
      </c>
      <c r="AR695" s="85">
        <v>43563</v>
      </c>
      <c r="AS695" s="84">
        <v>6001664890</v>
      </c>
      <c r="AT695" s="85">
        <v>43563</v>
      </c>
      <c r="AU695" s="84" t="s">
        <v>1692</v>
      </c>
      <c r="AV695" s="85">
        <v>43581</v>
      </c>
      <c r="AW695" s="123">
        <v>43585</v>
      </c>
      <c r="AX695" s="123">
        <v>43605</v>
      </c>
      <c r="AY695" s="132">
        <v>928800</v>
      </c>
      <c r="AZ695" s="132">
        <f>ROUNDDOWN(AY695+(AY695*MASTER!$A$2/100),0)</f>
        <v>1003104</v>
      </c>
      <c r="BA695" s="84" t="s">
        <v>286</v>
      </c>
      <c r="BB695" s="88">
        <v>232960</v>
      </c>
      <c r="BC695" s="88">
        <v>251596.79999999999</v>
      </c>
      <c r="BD695" s="84" t="s">
        <v>2197</v>
      </c>
      <c r="BG695" s="88">
        <v>0</v>
      </c>
      <c r="BI695" s="84" t="s">
        <v>434</v>
      </c>
      <c r="BJ695" s="88">
        <v>57525</v>
      </c>
      <c r="BK695" s="88">
        <v>62127</v>
      </c>
      <c r="BL695" s="84" t="s">
        <v>2197</v>
      </c>
      <c r="BS695" s="88">
        <v>0</v>
      </c>
      <c r="BV695" s="89">
        <v>949320</v>
      </c>
      <c r="BW695" s="89">
        <v>313723.8</v>
      </c>
      <c r="BX695" s="89">
        <v>43524</v>
      </c>
      <c r="BY695" s="89">
        <v>635596.19999999995</v>
      </c>
      <c r="BZ695" s="112">
        <v>66.952787258248009</v>
      </c>
      <c r="CK695" s="88">
        <v>105000</v>
      </c>
    </row>
    <row r="696" spans="1:89" x14ac:dyDescent="0.15">
      <c r="A696" s="84">
        <v>2</v>
      </c>
      <c r="B696" s="85">
        <v>43570</v>
      </c>
      <c r="C696" s="85">
        <v>43580</v>
      </c>
      <c r="D696" s="85">
        <v>43622</v>
      </c>
      <c r="E696" s="85">
        <v>43593</v>
      </c>
      <c r="F696" s="85">
        <v>43587</v>
      </c>
      <c r="G696" s="85">
        <v>43592</v>
      </c>
      <c r="H696" s="85">
        <v>43583</v>
      </c>
      <c r="I696" s="84" t="s">
        <v>401</v>
      </c>
      <c r="J696" s="84">
        <v>1</v>
      </c>
      <c r="L696" s="84">
        <v>0</v>
      </c>
      <c r="M696" s="85">
        <v>43524</v>
      </c>
      <c r="N696" s="85" t="s">
        <v>265</v>
      </c>
      <c r="O696" s="86" t="s">
        <v>340</v>
      </c>
      <c r="P696" s="84" t="s">
        <v>26</v>
      </c>
      <c r="Q696" s="86" t="s">
        <v>144</v>
      </c>
      <c r="R696" s="86" t="s">
        <v>2209</v>
      </c>
      <c r="S696" s="87" t="s">
        <v>2210</v>
      </c>
      <c r="T696" s="87" t="s">
        <v>2211</v>
      </c>
      <c r="U696" s="88">
        <v>73200</v>
      </c>
      <c r="V696" s="88">
        <v>79056</v>
      </c>
      <c r="W696" s="88">
        <v>47000</v>
      </c>
      <c r="X696" s="88">
        <v>50760</v>
      </c>
      <c r="Y696" s="88">
        <v>26200</v>
      </c>
      <c r="Z696" s="88">
        <v>28296</v>
      </c>
      <c r="AA696" s="85">
        <v>43578</v>
      </c>
      <c r="AB696" s="85">
        <v>43580</v>
      </c>
      <c r="AC696" s="85">
        <v>43580</v>
      </c>
      <c r="AD696" s="84">
        <v>0</v>
      </c>
      <c r="AG696" s="84">
        <v>0</v>
      </c>
      <c r="AJ696" s="84">
        <v>0</v>
      </c>
      <c r="AM696" s="84" t="s">
        <v>290</v>
      </c>
      <c r="AN696" s="84" t="s">
        <v>2212</v>
      </c>
      <c r="AR696" s="85">
        <v>43556</v>
      </c>
      <c r="AS696" s="84">
        <v>6001662513</v>
      </c>
      <c r="AT696" s="85">
        <v>43556</v>
      </c>
      <c r="AU696" s="84" t="s">
        <v>2213</v>
      </c>
      <c r="AV696" s="85">
        <v>43580</v>
      </c>
      <c r="AW696" s="123">
        <v>43585</v>
      </c>
      <c r="AX696" s="123">
        <v>43605</v>
      </c>
      <c r="AY696" s="132">
        <v>70272</v>
      </c>
      <c r="AZ696" s="132">
        <f>ROUNDDOWN(AY696+(AY696*MASTER!$A$2/100),0)</f>
        <v>75893</v>
      </c>
      <c r="BA696" s="84" t="s">
        <v>287</v>
      </c>
      <c r="BB696" s="88">
        <v>44000</v>
      </c>
      <c r="BC696" s="88">
        <v>47520</v>
      </c>
      <c r="BD696" s="84" t="s">
        <v>2197</v>
      </c>
      <c r="BG696" s="88">
        <v>0</v>
      </c>
      <c r="BI696" s="84" t="s">
        <v>434</v>
      </c>
      <c r="BJ696" s="88">
        <v>17030</v>
      </c>
      <c r="BK696" s="88">
        <v>18392.400000000001</v>
      </c>
      <c r="BL696" s="84" t="s">
        <v>2197</v>
      </c>
      <c r="BS696" s="88">
        <v>0</v>
      </c>
      <c r="BV696" s="89">
        <v>50760</v>
      </c>
      <c r="BW696" s="89">
        <v>65912.399999999994</v>
      </c>
      <c r="BX696" s="89">
        <v>43524</v>
      </c>
      <c r="BY696" s="89">
        <v>-15152.4</v>
      </c>
      <c r="BZ696" s="112">
        <v>-29.851063829787222</v>
      </c>
      <c r="CK696" s="88">
        <v>0</v>
      </c>
    </row>
    <row r="697" spans="1:89" x14ac:dyDescent="0.15">
      <c r="A697" s="84">
        <v>2</v>
      </c>
      <c r="B697" s="85">
        <v>43531</v>
      </c>
      <c r="C697" s="85">
        <v>43531</v>
      </c>
      <c r="D697" s="85">
        <v>43549</v>
      </c>
      <c r="F697" s="85">
        <v>43538</v>
      </c>
      <c r="G697" s="85">
        <v>43534</v>
      </c>
      <c r="H697" s="85">
        <v>43534</v>
      </c>
      <c r="I697" s="84" t="s">
        <v>569</v>
      </c>
      <c r="J697" s="84">
        <v>2</v>
      </c>
      <c r="L697" s="84">
        <v>0</v>
      </c>
      <c r="M697" s="85">
        <v>43526</v>
      </c>
      <c r="N697" s="85" t="s">
        <v>265</v>
      </c>
      <c r="O697" s="86" t="s">
        <v>340</v>
      </c>
      <c r="P697" s="84" t="s">
        <v>78</v>
      </c>
      <c r="Q697" s="86" t="s">
        <v>137</v>
      </c>
      <c r="R697" s="86" t="s">
        <v>2214</v>
      </c>
      <c r="S697" s="87" t="s">
        <v>2215</v>
      </c>
      <c r="T697" s="87" t="s">
        <v>2216</v>
      </c>
      <c r="U697" s="88">
        <v>994900</v>
      </c>
      <c r="V697" s="88">
        <v>1074492</v>
      </c>
      <c r="W697" s="88">
        <v>994900</v>
      </c>
      <c r="X697" s="88">
        <v>1074492</v>
      </c>
      <c r="Y697" s="88">
        <v>0</v>
      </c>
      <c r="Z697" s="88">
        <v>0</v>
      </c>
      <c r="AA697" s="85">
        <v>43527</v>
      </c>
      <c r="AB697" s="85">
        <v>43531</v>
      </c>
      <c r="AC697" s="85">
        <v>43531</v>
      </c>
      <c r="AD697" s="84">
        <v>0</v>
      </c>
      <c r="AG697" s="84">
        <v>0</v>
      </c>
      <c r="AJ697" s="84">
        <v>0</v>
      </c>
      <c r="AM697" s="84" t="s">
        <v>2217</v>
      </c>
      <c r="AN697" s="84" t="s">
        <v>2218</v>
      </c>
      <c r="AR697" s="85">
        <v>43529</v>
      </c>
      <c r="AS697" s="84">
        <v>6001653251</v>
      </c>
      <c r="AT697" s="85">
        <v>43531</v>
      </c>
      <c r="AU697" s="84" t="s">
        <v>1863</v>
      </c>
      <c r="AV697" s="85">
        <v>43531</v>
      </c>
      <c r="AW697" s="123">
        <v>43555</v>
      </c>
      <c r="AX697" s="123">
        <v>43575</v>
      </c>
      <c r="AY697" s="132">
        <v>955104</v>
      </c>
      <c r="AZ697" s="132">
        <f>ROUNDDOWN(AY697+(AY697*MASTER!$A$2/100),0)</f>
        <v>1031512</v>
      </c>
      <c r="BA697" s="84" t="s">
        <v>2219</v>
      </c>
      <c r="BB697" s="88">
        <v>686000</v>
      </c>
      <c r="BC697" s="88">
        <v>740880</v>
      </c>
      <c r="BD697" s="84" t="s">
        <v>1268</v>
      </c>
      <c r="BG697" s="88">
        <v>0</v>
      </c>
      <c r="BK697" s="88">
        <v>0</v>
      </c>
      <c r="BS697" s="88">
        <v>0</v>
      </c>
      <c r="BV697" s="89">
        <v>1074492</v>
      </c>
      <c r="BW697" s="89">
        <v>740880</v>
      </c>
      <c r="BX697" s="89">
        <v>43526</v>
      </c>
      <c r="BY697" s="89">
        <v>333612</v>
      </c>
      <c r="BZ697" s="112">
        <v>31.048346567494221</v>
      </c>
      <c r="CK697" s="88">
        <v>0</v>
      </c>
    </row>
    <row r="698" spans="1:89" x14ac:dyDescent="0.15">
      <c r="A698" s="84">
        <v>2</v>
      </c>
      <c r="B698" s="85">
        <v>43556</v>
      </c>
      <c r="C698" s="85">
        <v>43580</v>
      </c>
      <c r="D698" s="85">
        <v>43581</v>
      </c>
      <c r="E698" s="85">
        <v>43567</v>
      </c>
      <c r="F698" s="85">
        <v>43571</v>
      </c>
      <c r="G698" s="85">
        <v>43566</v>
      </c>
      <c r="H698" s="85">
        <v>43567</v>
      </c>
      <c r="I698" s="84" t="s">
        <v>401</v>
      </c>
      <c r="J698" s="84">
        <v>1</v>
      </c>
      <c r="L698" s="84">
        <v>0</v>
      </c>
      <c r="M698" s="85">
        <v>43528</v>
      </c>
      <c r="N698" s="85" t="s">
        <v>265</v>
      </c>
      <c r="O698" s="86" t="s">
        <v>340</v>
      </c>
      <c r="P698" s="84" t="s">
        <v>26</v>
      </c>
      <c r="Q698" s="86" t="s">
        <v>137</v>
      </c>
      <c r="R698" s="86" t="s">
        <v>2220</v>
      </c>
      <c r="S698" s="87" t="s">
        <v>997</v>
      </c>
      <c r="T698" s="87" t="s">
        <v>889</v>
      </c>
      <c r="U698" s="88">
        <v>96800</v>
      </c>
      <c r="V698" s="88">
        <v>104544</v>
      </c>
      <c r="W698" s="88">
        <v>80800</v>
      </c>
      <c r="X698" s="88">
        <v>87264</v>
      </c>
      <c r="Y698" s="88">
        <v>16000</v>
      </c>
      <c r="Z698" s="88">
        <v>17280</v>
      </c>
      <c r="AA698" s="85">
        <v>43563</v>
      </c>
      <c r="AB698" s="85">
        <v>43564</v>
      </c>
      <c r="AC698" s="85">
        <v>43564</v>
      </c>
      <c r="AD698" s="84">
        <v>0</v>
      </c>
      <c r="AG698" s="84">
        <v>0</v>
      </c>
      <c r="AJ698" s="84">
        <v>0</v>
      </c>
      <c r="AN698" s="84" t="s">
        <v>338</v>
      </c>
      <c r="AR698" s="85">
        <v>43532</v>
      </c>
      <c r="AS698" s="84">
        <v>6001655449</v>
      </c>
      <c r="AT698" s="85">
        <v>43535</v>
      </c>
      <c r="AU698" s="84" t="s">
        <v>1623</v>
      </c>
      <c r="AV698" s="85">
        <v>43580</v>
      </c>
      <c r="AW698" s="123">
        <v>43585</v>
      </c>
      <c r="AX698" s="123">
        <v>43605</v>
      </c>
      <c r="AY698" s="132">
        <v>92928</v>
      </c>
      <c r="AZ698" s="132">
        <f>ROUNDDOWN(AY698+(AY698*MASTER!$A$2/100),0)</f>
        <v>100362</v>
      </c>
      <c r="BA698" s="84" t="s">
        <v>286</v>
      </c>
      <c r="BB698" s="88">
        <v>22000</v>
      </c>
      <c r="BC698" s="88">
        <v>23760</v>
      </c>
      <c r="BD698" s="84" t="s">
        <v>1579</v>
      </c>
      <c r="BG698" s="88">
        <v>0</v>
      </c>
      <c r="BI698" s="84" t="s">
        <v>276</v>
      </c>
      <c r="BJ698" s="88">
        <v>10400</v>
      </c>
      <c r="BK698" s="88">
        <v>11232</v>
      </c>
      <c r="BL698" s="84" t="s">
        <v>1659</v>
      </c>
      <c r="BS698" s="88">
        <v>0</v>
      </c>
      <c r="BV698" s="89">
        <v>87264</v>
      </c>
      <c r="BW698" s="89">
        <v>34992</v>
      </c>
      <c r="BX698" s="89">
        <v>43528</v>
      </c>
      <c r="BY698" s="89">
        <v>52272</v>
      </c>
      <c r="BZ698" s="112">
        <v>59.900990099009896</v>
      </c>
      <c r="CK698" s="88">
        <v>6300</v>
      </c>
    </row>
    <row r="699" spans="1:89" x14ac:dyDescent="0.15">
      <c r="A699" s="84">
        <v>1</v>
      </c>
      <c r="C699" s="85" t="s">
        <v>338</v>
      </c>
      <c r="F699" s="85" t="s">
        <v>338</v>
      </c>
      <c r="H699" s="85" t="s">
        <v>338</v>
      </c>
      <c r="J699" s="84">
        <v>4</v>
      </c>
      <c r="L699" s="84">
        <v>0</v>
      </c>
      <c r="M699" s="85">
        <v>43528</v>
      </c>
      <c r="N699" s="85" t="s">
        <v>265</v>
      </c>
      <c r="O699" s="86" t="s">
        <v>340</v>
      </c>
      <c r="P699" s="84" t="s">
        <v>26</v>
      </c>
      <c r="Q699" s="86" t="s">
        <v>137</v>
      </c>
      <c r="R699" s="86" t="s">
        <v>2221</v>
      </c>
      <c r="S699" s="87" t="s">
        <v>2222</v>
      </c>
      <c r="T699" s="87" t="s">
        <v>2223</v>
      </c>
      <c r="U699" s="88">
        <v>0</v>
      </c>
      <c r="V699" s="88">
        <v>0</v>
      </c>
      <c r="W699" s="88">
        <v>0</v>
      </c>
      <c r="X699" s="88">
        <v>0</v>
      </c>
      <c r="Y699" s="88">
        <v>0</v>
      </c>
      <c r="Z699" s="88">
        <v>0</v>
      </c>
      <c r="AD699" s="84">
        <v>0</v>
      </c>
      <c r="AG699" s="84">
        <v>0</v>
      </c>
      <c r="AJ699" s="84">
        <v>0</v>
      </c>
      <c r="AY699" s="132">
        <f>ROUNDDOWN((0.96*U699),0)</f>
        <v>0</v>
      </c>
      <c r="AZ699" s="132">
        <f>ROUNDDOWN(AY699+(AY699*MASTER!$A$2/100),0)</f>
        <v>0</v>
      </c>
      <c r="BC699" s="88">
        <v>0</v>
      </c>
      <c r="BG699" s="88">
        <v>0</v>
      </c>
      <c r="BK699" s="88">
        <v>0</v>
      </c>
      <c r="BS699" s="88">
        <v>0</v>
      </c>
      <c r="BV699" s="89">
        <v>0</v>
      </c>
      <c r="BW699" s="89">
        <v>0</v>
      </c>
      <c r="BX699" s="89">
        <v>43528</v>
      </c>
      <c r="BY699" s="89">
        <v>0</v>
      </c>
      <c r="BZ699" s="112" t="s">
        <v>338</v>
      </c>
      <c r="CD699" s="87" t="s">
        <v>2224</v>
      </c>
    </row>
    <row r="700" spans="1:89" x14ac:dyDescent="0.15">
      <c r="A700" s="84">
        <v>1</v>
      </c>
      <c r="B700" s="85">
        <v>43539</v>
      </c>
      <c r="C700" s="85">
        <v>43543</v>
      </c>
      <c r="F700" s="85" t="s">
        <v>338</v>
      </c>
      <c r="H700" s="85" t="s">
        <v>338</v>
      </c>
      <c r="J700" s="84">
        <v>2</v>
      </c>
      <c r="L700" s="84">
        <v>0</v>
      </c>
      <c r="M700" s="85">
        <v>43529</v>
      </c>
      <c r="N700" s="85" t="s">
        <v>265</v>
      </c>
      <c r="O700" s="86" t="s">
        <v>340</v>
      </c>
      <c r="P700" s="84" t="s">
        <v>269</v>
      </c>
      <c r="Q700" s="86" t="s">
        <v>137</v>
      </c>
      <c r="R700" s="86" t="s">
        <v>2225</v>
      </c>
      <c r="S700" s="87" t="s">
        <v>377</v>
      </c>
      <c r="T700" s="87" t="s">
        <v>2226</v>
      </c>
      <c r="U700" s="88">
        <v>66000</v>
      </c>
      <c r="V700" s="88">
        <v>71280</v>
      </c>
      <c r="W700" s="88">
        <v>66000</v>
      </c>
      <c r="X700" s="88">
        <v>71280</v>
      </c>
      <c r="Z700" s="88">
        <v>0</v>
      </c>
      <c r="AD700" s="84">
        <v>0</v>
      </c>
      <c r="AG700" s="84">
        <v>0</v>
      </c>
      <c r="AJ700" s="84">
        <v>0</v>
      </c>
      <c r="AR700" s="85">
        <v>43538</v>
      </c>
      <c r="AS700" s="84">
        <v>6001657293</v>
      </c>
      <c r="AT700" s="85">
        <v>43538</v>
      </c>
      <c r="AU700" s="84" t="s">
        <v>2227</v>
      </c>
      <c r="AV700" s="85">
        <v>43543</v>
      </c>
      <c r="AW700" s="123">
        <v>43555</v>
      </c>
      <c r="AX700" s="123">
        <v>43575</v>
      </c>
      <c r="AY700" s="132">
        <v>63360</v>
      </c>
      <c r="AZ700" s="132">
        <f>ROUNDDOWN(AY700+(AY700*MASTER!$A$2/100),0)</f>
        <v>68428</v>
      </c>
      <c r="BC700" s="88">
        <v>0</v>
      </c>
      <c r="BG700" s="88">
        <v>0</v>
      </c>
      <c r="BK700" s="88">
        <v>0</v>
      </c>
      <c r="BS700" s="88">
        <v>0</v>
      </c>
      <c r="BV700" s="89">
        <v>71280</v>
      </c>
      <c r="BW700" s="89">
        <v>0</v>
      </c>
      <c r="BX700" s="89">
        <v>43529</v>
      </c>
      <c r="BY700" s="89">
        <v>71280</v>
      </c>
      <c r="BZ700" s="112">
        <v>100</v>
      </c>
      <c r="CK700" s="88">
        <v>0</v>
      </c>
    </row>
    <row r="701" spans="1:89" x14ac:dyDescent="0.15">
      <c r="A701" s="84">
        <v>2</v>
      </c>
      <c r="B701" s="85">
        <v>43537</v>
      </c>
      <c r="C701" s="85">
        <v>43544</v>
      </c>
      <c r="D701" s="85">
        <v>43529</v>
      </c>
      <c r="E701" s="85">
        <v>43529</v>
      </c>
      <c r="F701" s="85" t="s">
        <v>338</v>
      </c>
      <c r="G701" s="85">
        <v>43529</v>
      </c>
      <c r="H701" s="85" t="s">
        <v>338</v>
      </c>
      <c r="I701" s="84" t="s">
        <v>547</v>
      </c>
      <c r="J701" s="84">
        <v>2</v>
      </c>
      <c r="L701" s="84">
        <v>0</v>
      </c>
      <c r="M701" s="85">
        <v>43530</v>
      </c>
      <c r="N701" s="85" t="s">
        <v>265</v>
      </c>
      <c r="O701" s="86" t="s">
        <v>340</v>
      </c>
      <c r="P701" s="84" t="s">
        <v>6</v>
      </c>
      <c r="Q701" s="86" t="s">
        <v>137</v>
      </c>
      <c r="R701" s="86" t="s">
        <v>2228</v>
      </c>
      <c r="S701" s="87" t="s">
        <v>793</v>
      </c>
      <c r="T701" s="87" t="s">
        <v>342</v>
      </c>
      <c r="U701" s="88">
        <v>35000</v>
      </c>
      <c r="V701" s="88">
        <v>37800</v>
      </c>
      <c r="W701" s="88">
        <v>35000</v>
      </c>
      <c r="X701" s="88">
        <v>37800</v>
      </c>
      <c r="Z701" s="88">
        <v>0</v>
      </c>
      <c r="AA701" s="85">
        <v>43529</v>
      </c>
      <c r="AD701" s="84">
        <v>0</v>
      </c>
      <c r="AG701" s="84">
        <v>0</v>
      </c>
      <c r="AJ701" s="84">
        <v>0</v>
      </c>
      <c r="AN701" s="84" t="s">
        <v>338</v>
      </c>
      <c r="AR701" s="85">
        <v>43536</v>
      </c>
      <c r="AS701" s="84">
        <v>6001656350</v>
      </c>
      <c r="AT701" s="85">
        <v>43536</v>
      </c>
      <c r="AU701" s="84" t="s">
        <v>2093</v>
      </c>
      <c r="AV701" s="85">
        <v>43544</v>
      </c>
      <c r="AW701" s="123">
        <v>43555</v>
      </c>
      <c r="AX701" s="123">
        <v>43575</v>
      </c>
      <c r="AY701" s="132">
        <v>33600</v>
      </c>
      <c r="AZ701" s="132">
        <f>ROUNDDOWN(AY701+(AY701*MASTER!$A$2/100),0)</f>
        <v>36288</v>
      </c>
      <c r="BA701" s="84" t="s">
        <v>109</v>
      </c>
      <c r="BC701" s="88">
        <v>0</v>
      </c>
      <c r="BG701" s="88">
        <v>0</v>
      </c>
      <c r="BK701" s="88">
        <v>0</v>
      </c>
      <c r="BS701" s="88">
        <v>0</v>
      </c>
      <c r="BV701" s="89">
        <v>37800</v>
      </c>
      <c r="BW701" s="89">
        <v>0</v>
      </c>
      <c r="BX701" s="89">
        <v>43530</v>
      </c>
      <c r="BY701" s="89">
        <v>37800</v>
      </c>
      <c r="BZ701" s="112">
        <v>100</v>
      </c>
      <c r="CK701" s="88">
        <v>0</v>
      </c>
    </row>
    <row r="702" spans="1:89" x14ac:dyDescent="0.15">
      <c r="A702" s="84">
        <v>2</v>
      </c>
      <c r="B702" s="85">
        <v>43570</v>
      </c>
      <c r="C702" s="85">
        <v>43581</v>
      </c>
      <c r="D702" s="85">
        <v>43619</v>
      </c>
      <c r="E702" s="85">
        <v>43593</v>
      </c>
      <c r="F702" s="85">
        <v>43587</v>
      </c>
      <c r="G702" s="85">
        <v>43592</v>
      </c>
      <c r="H702" s="85">
        <v>43583</v>
      </c>
      <c r="I702" s="84" t="s">
        <v>401</v>
      </c>
      <c r="J702" s="84">
        <v>2</v>
      </c>
      <c r="L702" s="84">
        <v>0</v>
      </c>
      <c r="M702" s="85">
        <v>43530</v>
      </c>
      <c r="N702" s="85" t="s">
        <v>265</v>
      </c>
      <c r="O702" s="86" t="s">
        <v>340</v>
      </c>
      <c r="P702" s="84" t="s">
        <v>26</v>
      </c>
      <c r="Q702" s="86" t="s">
        <v>137</v>
      </c>
      <c r="R702" s="86" t="s">
        <v>2229</v>
      </c>
      <c r="S702" s="87" t="s">
        <v>2230</v>
      </c>
      <c r="T702" s="87" t="s">
        <v>2231</v>
      </c>
      <c r="U702" s="88">
        <v>259360</v>
      </c>
      <c r="V702" s="88">
        <v>280108.79999999999</v>
      </c>
      <c r="W702" s="88">
        <v>259360</v>
      </c>
      <c r="X702" s="88">
        <v>280108.79999999999</v>
      </c>
      <c r="Z702" s="88">
        <v>0</v>
      </c>
      <c r="AA702" s="85">
        <v>43578</v>
      </c>
      <c r="AB702" s="85">
        <v>43580</v>
      </c>
      <c r="AC702" s="85">
        <v>43580</v>
      </c>
      <c r="AD702" s="84">
        <v>0</v>
      </c>
      <c r="AG702" s="84">
        <v>0</v>
      </c>
      <c r="AJ702" s="84">
        <v>0</v>
      </c>
      <c r="AM702" s="84" t="s">
        <v>290</v>
      </c>
      <c r="AN702" s="84" t="s">
        <v>2232</v>
      </c>
      <c r="AR702" s="85">
        <v>43556</v>
      </c>
      <c r="AS702" s="84">
        <v>6001662513</v>
      </c>
      <c r="AT702" s="85">
        <v>43556</v>
      </c>
      <c r="AU702" s="84" t="s">
        <v>2213</v>
      </c>
      <c r="AV702" s="85">
        <v>43581</v>
      </c>
      <c r="AW702" s="123">
        <v>43585</v>
      </c>
      <c r="AX702" s="123">
        <v>43605</v>
      </c>
      <c r="AY702" s="132">
        <v>248985</v>
      </c>
      <c r="AZ702" s="132">
        <f>ROUNDDOWN(AY702+(AY702*MASTER!$A$2/100),0)</f>
        <v>268903</v>
      </c>
      <c r="BA702" s="84" t="s">
        <v>400</v>
      </c>
      <c r="BB702" s="88">
        <v>66800</v>
      </c>
      <c r="BC702" s="88">
        <v>72144</v>
      </c>
      <c r="BD702" s="84" t="s">
        <v>2197</v>
      </c>
      <c r="BG702" s="88">
        <v>0</v>
      </c>
      <c r="BK702" s="88">
        <v>0</v>
      </c>
      <c r="BS702" s="88">
        <v>0</v>
      </c>
      <c r="BV702" s="89">
        <v>280108.79999999999</v>
      </c>
      <c r="BW702" s="89">
        <v>72144</v>
      </c>
      <c r="BX702" s="89">
        <v>43530</v>
      </c>
      <c r="BY702" s="89">
        <v>207964.79999999999</v>
      </c>
      <c r="BZ702" s="112">
        <v>74.244293645897599</v>
      </c>
      <c r="CK702" s="88">
        <v>6300</v>
      </c>
    </row>
    <row r="703" spans="1:89" x14ac:dyDescent="0.15">
      <c r="A703" s="84">
        <v>2</v>
      </c>
      <c r="B703" s="85">
        <v>43537</v>
      </c>
      <c r="C703" s="85">
        <v>43543</v>
      </c>
      <c r="D703" s="85">
        <v>43571</v>
      </c>
      <c r="E703" s="85">
        <v>43549</v>
      </c>
      <c r="F703" s="85">
        <v>43550</v>
      </c>
      <c r="G703" s="85">
        <v>43549</v>
      </c>
      <c r="H703" s="85">
        <v>43546</v>
      </c>
      <c r="I703" s="84" t="s">
        <v>1191</v>
      </c>
      <c r="J703" s="84">
        <v>1</v>
      </c>
      <c r="L703" s="84">
        <v>0</v>
      </c>
      <c r="M703" s="85">
        <v>43530</v>
      </c>
      <c r="N703" s="85" t="s">
        <v>265</v>
      </c>
      <c r="O703" s="86" t="s">
        <v>340</v>
      </c>
      <c r="P703" s="84" t="s">
        <v>26</v>
      </c>
      <c r="Q703" s="86" t="s">
        <v>137</v>
      </c>
      <c r="R703" s="86" t="s">
        <v>2233</v>
      </c>
      <c r="S703" s="87" t="s">
        <v>2234</v>
      </c>
      <c r="T703" s="87" t="s">
        <v>2235</v>
      </c>
      <c r="U703" s="88">
        <v>210500</v>
      </c>
      <c r="V703" s="88">
        <v>227340</v>
      </c>
      <c r="W703" s="88">
        <v>122000</v>
      </c>
      <c r="X703" s="88">
        <v>131760</v>
      </c>
      <c r="Y703" s="88">
        <v>88500</v>
      </c>
      <c r="Z703" s="88">
        <v>95580</v>
      </c>
      <c r="AA703" s="85">
        <v>43542</v>
      </c>
      <c r="AB703" s="85">
        <v>43543</v>
      </c>
      <c r="AC703" s="85">
        <v>43543</v>
      </c>
      <c r="AD703" s="84">
        <v>0</v>
      </c>
      <c r="AG703" s="84">
        <v>0</v>
      </c>
      <c r="AJ703" s="84">
        <v>0</v>
      </c>
      <c r="AM703" s="84" t="s">
        <v>290</v>
      </c>
      <c r="AN703" s="84" t="s">
        <v>2236</v>
      </c>
      <c r="AR703" s="85">
        <v>43535</v>
      </c>
      <c r="AS703" s="84">
        <v>6001655856</v>
      </c>
      <c r="AT703" s="85">
        <v>43536</v>
      </c>
      <c r="AU703" s="84" t="s">
        <v>1930</v>
      </c>
      <c r="AV703" s="85">
        <v>43543</v>
      </c>
      <c r="AW703" s="123">
        <v>43555</v>
      </c>
      <c r="AX703" s="123">
        <v>43575</v>
      </c>
      <c r="AY703" s="132">
        <v>202080</v>
      </c>
      <c r="AZ703" s="132">
        <f>ROUNDDOWN(AY703+(AY703*MASTER!$A$2/100),0)</f>
        <v>218246</v>
      </c>
      <c r="BA703" s="84" t="s">
        <v>287</v>
      </c>
      <c r="BB703" s="88">
        <v>45000</v>
      </c>
      <c r="BC703" s="88">
        <v>48600</v>
      </c>
      <c r="BD703" s="84" t="s">
        <v>1268</v>
      </c>
      <c r="BG703" s="88">
        <v>0</v>
      </c>
      <c r="BI703" s="84" t="s">
        <v>434</v>
      </c>
      <c r="BJ703" s="88">
        <v>57525</v>
      </c>
      <c r="BK703" s="88">
        <v>62127</v>
      </c>
      <c r="BL703" s="84" t="s">
        <v>1268</v>
      </c>
      <c r="BS703" s="88">
        <v>0</v>
      </c>
      <c r="BV703" s="89">
        <v>131760</v>
      </c>
      <c r="BW703" s="89">
        <v>110727</v>
      </c>
      <c r="BX703" s="89">
        <v>43530</v>
      </c>
      <c r="BY703" s="89">
        <v>21033</v>
      </c>
      <c r="BZ703" s="112">
        <v>15.963114754098362</v>
      </c>
      <c r="CK703" s="88">
        <v>31500</v>
      </c>
    </row>
    <row r="704" spans="1:89" s="151" customFormat="1" x14ac:dyDescent="0.15">
      <c r="A704" s="141">
        <v>3</v>
      </c>
      <c r="B704" s="142"/>
      <c r="C704" s="142" t="s">
        <v>338</v>
      </c>
      <c r="D704" s="142"/>
      <c r="E704" s="142"/>
      <c r="F704" s="142" t="s">
        <v>338</v>
      </c>
      <c r="G704" s="142"/>
      <c r="H704" s="142" t="s">
        <v>338</v>
      </c>
      <c r="I704" s="141"/>
      <c r="J704" s="141">
        <v>1</v>
      </c>
      <c r="K704" s="142"/>
      <c r="L704" s="141">
        <v>0</v>
      </c>
      <c r="M704" s="142">
        <v>43530</v>
      </c>
      <c r="N704" s="142" t="s">
        <v>265</v>
      </c>
      <c r="O704" s="143" t="s">
        <v>340</v>
      </c>
      <c r="P704" s="141" t="s">
        <v>26</v>
      </c>
      <c r="Q704" s="143" t="s">
        <v>137</v>
      </c>
      <c r="R704" s="143" t="s">
        <v>2237</v>
      </c>
      <c r="S704" s="144" t="s">
        <v>992</v>
      </c>
      <c r="T704" s="144" t="s">
        <v>2238</v>
      </c>
      <c r="U704" s="145">
        <v>56000</v>
      </c>
      <c r="V704" s="145">
        <v>60480</v>
      </c>
      <c r="W704" s="145">
        <v>47000</v>
      </c>
      <c r="X704" s="145">
        <v>50760</v>
      </c>
      <c r="Y704" s="145">
        <v>9000</v>
      </c>
      <c r="Z704" s="145">
        <v>9720</v>
      </c>
      <c r="AA704" s="142"/>
      <c r="AB704" s="142"/>
      <c r="AC704" s="142"/>
      <c r="AD704" s="141">
        <v>0</v>
      </c>
      <c r="AE704" s="141"/>
      <c r="AF704" s="141"/>
      <c r="AG704" s="141">
        <v>0</v>
      </c>
      <c r="AH704" s="141"/>
      <c r="AI704" s="141"/>
      <c r="AJ704" s="141">
        <v>0</v>
      </c>
      <c r="AK704" s="141"/>
      <c r="AL704" s="141"/>
      <c r="AM704" s="141" t="s">
        <v>290</v>
      </c>
      <c r="AN704" s="141" t="s">
        <v>2239</v>
      </c>
      <c r="AO704" s="142"/>
      <c r="AP704" s="141"/>
      <c r="AQ704" s="141"/>
      <c r="AR704" s="142"/>
      <c r="AS704" s="141"/>
      <c r="AT704" s="142"/>
      <c r="AU704" s="141"/>
      <c r="AV704" s="142"/>
      <c r="AW704" s="146"/>
      <c r="AX704" s="146"/>
      <c r="AY704" s="147">
        <v>53760</v>
      </c>
      <c r="AZ704" s="132">
        <f>ROUNDDOWN(AY704+(AY704*MASTER!$A$2/100),0)</f>
        <v>58060</v>
      </c>
      <c r="BA704" s="141"/>
      <c r="BB704" s="145"/>
      <c r="BC704" s="145">
        <v>0</v>
      </c>
      <c r="BD704" s="141"/>
      <c r="BE704" s="141"/>
      <c r="BF704" s="145"/>
      <c r="BG704" s="145">
        <v>0</v>
      </c>
      <c r="BH704" s="141"/>
      <c r="BI704" s="141"/>
      <c r="BJ704" s="145"/>
      <c r="BK704" s="145">
        <v>0</v>
      </c>
      <c r="BL704" s="141"/>
      <c r="BM704" s="145"/>
      <c r="BN704" s="145"/>
      <c r="BO704" s="145"/>
      <c r="BP704" s="145"/>
      <c r="BQ704" s="145"/>
      <c r="BR704" s="145"/>
      <c r="BS704" s="145">
        <v>0</v>
      </c>
      <c r="BT704" s="148"/>
      <c r="BU704" s="148"/>
      <c r="BV704" s="149">
        <v>50760</v>
      </c>
      <c r="BW704" s="149">
        <v>0</v>
      </c>
      <c r="BX704" s="149">
        <v>43530</v>
      </c>
      <c r="BY704" s="149">
        <v>50760</v>
      </c>
      <c r="BZ704" s="150">
        <v>100</v>
      </c>
      <c r="CA704" s="141"/>
      <c r="CB704" s="141"/>
      <c r="CC704" s="141"/>
      <c r="CD704" s="144" t="s">
        <v>2240</v>
      </c>
      <c r="CE704" s="142"/>
      <c r="CF704" s="142"/>
      <c r="CG704" s="142"/>
      <c r="CH704" s="142"/>
      <c r="CI704" s="142"/>
      <c r="CJ704" s="142"/>
      <c r="CK704" s="145">
        <v>0</v>
      </c>
    </row>
    <row r="705" spans="1:89" x14ac:dyDescent="0.15">
      <c r="A705" s="84">
        <v>2</v>
      </c>
      <c r="B705" s="85">
        <v>43570</v>
      </c>
      <c r="C705" s="85">
        <v>43580</v>
      </c>
      <c r="D705" s="85">
        <v>43598</v>
      </c>
      <c r="E705" s="85">
        <v>43593</v>
      </c>
      <c r="F705" s="85">
        <v>43588</v>
      </c>
      <c r="G705" s="85">
        <v>43580</v>
      </c>
      <c r="H705" s="85">
        <v>43584</v>
      </c>
      <c r="I705" s="84" t="s">
        <v>401</v>
      </c>
      <c r="J705" s="84">
        <v>1</v>
      </c>
      <c r="L705" s="84">
        <v>0</v>
      </c>
      <c r="M705" s="85">
        <v>43530</v>
      </c>
      <c r="N705" s="85" t="s">
        <v>265</v>
      </c>
      <c r="O705" s="86" t="s">
        <v>340</v>
      </c>
      <c r="P705" s="84" t="s">
        <v>26</v>
      </c>
      <c r="Q705" s="86" t="s">
        <v>137</v>
      </c>
      <c r="R705" s="86" t="s">
        <v>2241</v>
      </c>
      <c r="S705" s="87" t="s">
        <v>830</v>
      </c>
      <c r="T705" s="87" t="s">
        <v>2242</v>
      </c>
      <c r="U705" s="88">
        <v>244700</v>
      </c>
      <c r="V705" s="88">
        <v>264276</v>
      </c>
      <c r="W705" s="88">
        <v>146000</v>
      </c>
      <c r="X705" s="88">
        <v>157680</v>
      </c>
      <c r="Y705" s="88">
        <v>98700</v>
      </c>
      <c r="Z705" s="88">
        <v>106596</v>
      </c>
      <c r="AA705" s="85">
        <v>43579</v>
      </c>
      <c r="AB705" s="85">
        <v>43581</v>
      </c>
      <c r="AC705" s="85">
        <v>43581</v>
      </c>
      <c r="AD705" s="84">
        <v>0</v>
      </c>
      <c r="AG705" s="84">
        <v>0</v>
      </c>
      <c r="AJ705" s="84">
        <v>0</v>
      </c>
      <c r="AM705" s="84" t="s">
        <v>290</v>
      </c>
      <c r="AN705" s="84" t="s">
        <v>2243</v>
      </c>
      <c r="AR705" s="85">
        <v>43557</v>
      </c>
      <c r="AS705" s="84">
        <v>6001662910</v>
      </c>
      <c r="AT705" s="85">
        <v>43557</v>
      </c>
      <c r="AU705" s="84" t="s">
        <v>2244</v>
      </c>
      <c r="AV705" s="85">
        <v>43580</v>
      </c>
      <c r="AW705" s="123">
        <v>43585</v>
      </c>
      <c r="AX705" s="123">
        <v>43605</v>
      </c>
      <c r="AY705" s="132">
        <v>234912</v>
      </c>
      <c r="AZ705" s="132">
        <f>ROUNDDOWN(AY705+(AY705*MASTER!$A$2/100),0)</f>
        <v>253704</v>
      </c>
      <c r="BA705" s="84" t="s">
        <v>745</v>
      </c>
      <c r="BB705" s="88">
        <v>28000</v>
      </c>
      <c r="BC705" s="88">
        <v>30240</v>
      </c>
      <c r="BD705" s="84" t="s">
        <v>1579</v>
      </c>
      <c r="BG705" s="88">
        <v>0</v>
      </c>
      <c r="BI705" s="84" t="s">
        <v>276</v>
      </c>
      <c r="BJ705" s="88">
        <v>64155</v>
      </c>
      <c r="BK705" s="88">
        <v>69287.399999999994</v>
      </c>
      <c r="BL705" s="84" t="s">
        <v>1645</v>
      </c>
      <c r="BS705" s="88">
        <v>0</v>
      </c>
      <c r="BV705" s="89">
        <v>157680</v>
      </c>
      <c r="BW705" s="89">
        <v>99527.4</v>
      </c>
      <c r="BX705" s="89">
        <v>43530</v>
      </c>
      <c r="BY705" s="89">
        <v>58152.6</v>
      </c>
      <c r="BZ705" s="112">
        <v>36.880136986301373</v>
      </c>
      <c r="CK705" s="88">
        <v>31500</v>
      </c>
    </row>
    <row r="706" spans="1:89" x14ac:dyDescent="0.15">
      <c r="A706" s="84">
        <v>2</v>
      </c>
      <c r="B706" s="85">
        <v>43543</v>
      </c>
      <c r="C706" s="85">
        <v>43556</v>
      </c>
      <c r="D706" s="85" t="s">
        <v>374</v>
      </c>
      <c r="E706" s="85">
        <v>43557</v>
      </c>
      <c r="F706" s="85">
        <v>43563</v>
      </c>
      <c r="G706" s="85">
        <v>43557</v>
      </c>
      <c r="H706" s="85">
        <v>43559</v>
      </c>
      <c r="I706" s="84" t="s">
        <v>401</v>
      </c>
      <c r="J706" s="84">
        <v>1</v>
      </c>
      <c r="L706" s="84">
        <v>0</v>
      </c>
      <c r="M706" s="85">
        <v>43530</v>
      </c>
      <c r="N706" s="85" t="s">
        <v>265</v>
      </c>
      <c r="O706" s="86" t="s">
        <v>340</v>
      </c>
      <c r="P706" s="84" t="s">
        <v>26</v>
      </c>
      <c r="Q706" s="86" t="s">
        <v>137</v>
      </c>
      <c r="R706" s="86" t="s">
        <v>2245</v>
      </c>
      <c r="S706" s="87" t="s">
        <v>454</v>
      </c>
      <c r="T706" s="87" t="s">
        <v>1089</v>
      </c>
      <c r="U706" s="88">
        <v>23900</v>
      </c>
      <c r="V706" s="88">
        <v>25812</v>
      </c>
      <c r="W706" s="88">
        <v>14700</v>
      </c>
      <c r="X706" s="88">
        <v>15876</v>
      </c>
      <c r="Y706" s="88">
        <v>9200</v>
      </c>
      <c r="Z706" s="88">
        <v>9936</v>
      </c>
      <c r="AA706" s="85">
        <v>43555</v>
      </c>
      <c r="AB706" s="85">
        <v>43556</v>
      </c>
      <c r="AC706" s="85">
        <v>43556</v>
      </c>
      <c r="AD706" s="84">
        <v>0</v>
      </c>
      <c r="AG706" s="84">
        <v>0</v>
      </c>
      <c r="AJ706" s="84">
        <v>0</v>
      </c>
      <c r="AM706" s="84" t="s">
        <v>290</v>
      </c>
      <c r="AN706" s="84" t="s">
        <v>2246</v>
      </c>
      <c r="AR706" s="85">
        <v>43542</v>
      </c>
      <c r="AS706" s="84">
        <v>6001658314</v>
      </c>
      <c r="AT706" s="85">
        <v>43542</v>
      </c>
      <c r="AU706" s="84" t="s">
        <v>1948</v>
      </c>
      <c r="AV706" s="85">
        <v>43556</v>
      </c>
      <c r="AW706" s="123">
        <v>43585</v>
      </c>
      <c r="AX706" s="123">
        <v>43605</v>
      </c>
      <c r="AY706" s="132">
        <v>22944</v>
      </c>
      <c r="AZ706" s="132">
        <f>ROUNDDOWN(AY706+(AY706*MASTER!$A$2/100),0)</f>
        <v>24779</v>
      </c>
      <c r="BA706" s="84" t="s">
        <v>778</v>
      </c>
      <c r="BC706" s="88">
        <v>0</v>
      </c>
      <c r="BG706" s="88">
        <v>0</v>
      </c>
      <c r="BI706" s="84" t="s">
        <v>276</v>
      </c>
      <c r="BJ706" s="88">
        <v>5980</v>
      </c>
      <c r="BK706" s="88">
        <v>6458.4</v>
      </c>
      <c r="BL706" s="84" t="s">
        <v>1659</v>
      </c>
      <c r="BS706" s="88">
        <v>0</v>
      </c>
      <c r="BV706" s="89">
        <v>15876</v>
      </c>
      <c r="BW706" s="89">
        <v>6458.4</v>
      </c>
      <c r="BX706" s="89">
        <v>43530</v>
      </c>
      <c r="BY706" s="89">
        <v>9417.6</v>
      </c>
      <c r="BZ706" s="112">
        <v>59.319727891156461</v>
      </c>
      <c r="CK706" s="88">
        <v>0</v>
      </c>
    </row>
    <row r="707" spans="1:89" x14ac:dyDescent="0.15">
      <c r="A707" s="84">
        <v>2</v>
      </c>
      <c r="B707" s="85">
        <v>43570</v>
      </c>
      <c r="C707" s="85">
        <v>43580</v>
      </c>
      <c r="D707" s="85">
        <v>43619</v>
      </c>
      <c r="E707" s="85">
        <v>43592</v>
      </c>
      <c r="F707" s="85">
        <v>43587</v>
      </c>
      <c r="G707" s="85">
        <v>43592</v>
      </c>
      <c r="H707" s="85">
        <v>43583</v>
      </c>
      <c r="I707" s="84" t="s">
        <v>401</v>
      </c>
      <c r="J707" s="84">
        <v>1</v>
      </c>
      <c r="L707" s="84">
        <v>0</v>
      </c>
      <c r="M707" s="85">
        <v>43530</v>
      </c>
      <c r="N707" s="85" t="s">
        <v>265</v>
      </c>
      <c r="O707" s="86" t="s">
        <v>340</v>
      </c>
      <c r="P707" s="84" t="s">
        <v>26</v>
      </c>
      <c r="Q707" s="86" t="s">
        <v>137</v>
      </c>
      <c r="R707" s="86" t="s">
        <v>2247</v>
      </c>
      <c r="S707" s="87" t="s">
        <v>2248</v>
      </c>
      <c r="T707" s="87" t="s">
        <v>2249</v>
      </c>
      <c r="U707" s="88">
        <v>195000</v>
      </c>
      <c r="V707" s="88">
        <v>210600</v>
      </c>
      <c r="W707" s="88">
        <v>100300</v>
      </c>
      <c r="X707" s="88">
        <v>108324</v>
      </c>
      <c r="Y707" s="88">
        <v>94700</v>
      </c>
      <c r="Z707" s="88">
        <v>102276</v>
      </c>
      <c r="AA707" s="85">
        <v>43578</v>
      </c>
      <c r="AB707" s="85">
        <v>43580</v>
      </c>
      <c r="AC707" s="85">
        <v>43580</v>
      </c>
      <c r="AD707" s="84">
        <v>0</v>
      </c>
      <c r="AG707" s="84">
        <v>0</v>
      </c>
      <c r="AJ707" s="84">
        <v>0</v>
      </c>
      <c r="AM707" s="84" t="s">
        <v>290</v>
      </c>
      <c r="AN707" s="84" t="s">
        <v>2250</v>
      </c>
      <c r="AR707" s="85">
        <v>43556</v>
      </c>
      <c r="AS707" s="84">
        <v>6001662513</v>
      </c>
      <c r="AT707" s="85">
        <v>43556</v>
      </c>
      <c r="AU707" s="84" t="s">
        <v>2213</v>
      </c>
      <c r="AV707" s="85">
        <v>43580</v>
      </c>
      <c r="AW707" s="123">
        <v>43585</v>
      </c>
      <c r="AX707" s="123">
        <v>43605</v>
      </c>
      <c r="AY707" s="132">
        <v>187200</v>
      </c>
      <c r="AZ707" s="132">
        <f>ROUNDDOWN(AY707+(AY707*MASTER!$A$2/100),0)</f>
        <v>202176</v>
      </c>
      <c r="BA707" s="84" t="s">
        <v>400</v>
      </c>
      <c r="BB707" s="88">
        <v>23000</v>
      </c>
      <c r="BC707" s="88">
        <v>24840</v>
      </c>
      <c r="BD707" s="84" t="s">
        <v>2197</v>
      </c>
      <c r="BG707" s="88">
        <v>0</v>
      </c>
      <c r="BI707" s="84" t="s">
        <v>434</v>
      </c>
      <c r="BJ707" s="88">
        <v>61555</v>
      </c>
      <c r="BK707" s="88">
        <v>66479.399999999994</v>
      </c>
      <c r="BL707" s="84" t="s">
        <v>2197</v>
      </c>
      <c r="BS707" s="88">
        <v>0</v>
      </c>
      <c r="BV707" s="89">
        <v>108324</v>
      </c>
      <c r="BW707" s="89">
        <v>91319.4</v>
      </c>
      <c r="BX707" s="89">
        <v>43530</v>
      </c>
      <c r="BY707" s="89">
        <v>17004.599999999999</v>
      </c>
      <c r="BZ707" s="112">
        <v>15.697906281156534</v>
      </c>
      <c r="CK707" s="88">
        <v>6300</v>
      </c>
    </row>
    <row r="708" spans="1:89" s="151" customFormat="1" x14ac:dyDescent="0.15">
      <c r="A708" s="141">
        <v>3</v>
      </c>
      <c r="B708" s="142"/>
      <c r="C708" s="142" t="s">
        <v>338</v>
      </c>
      <c r="D708" s="142"/>
      <c r="E708" s="142"/>
      <c r="F708" s="142" t="s">
        <v>338</v>
      </c>
      <c r="G708" s="142"/>
      <c r="H708" s="142" t="s">
        <v>338</v>
      </c>
      <c r="I708" s="141"/>
      <c r="J708" s="141">
        <v>1</v>
      </c>
      <c r="K708" s="142"/>
      <c r="L708" s="141">
        <v>0</v>
      </c>
      <c r="M708" s="142">
        <v>43530</v>
      </c>
      <c r="N708" s="142" t="s">
        <v>265</v>
      </c>
      <c r="O708" s="143" t="s">
        <v>340</v>
      </c>
      <c r="P708" s="141" t="s">
        <v>26</v>
      </c>
      <c r="Q708" s="143" t="s">
        <v>137</v>
      </c>
      <c r="R708" s="143" t="s">
        <v>2251</v>
      </c>
      <c r="S708" s="144" t="s">
        <v>1171</v>
      </c>
      <c r="T708" s="144" t="s">
        <v>2252</v>
      </c>
      <c r="U708" s="145">
        <v>73200</v>
      </c>
      <c r="V708" s="145">
        <v>79056</v>
      </c>
      <c r="W708" s="145">
        <v>47000</v>
      </c>
      <c r="X708" s="145">
        <v>50760</v>
      </c>
      <c r="Y708" s="145">
        <v>26200</v>
      </c>
      <c r="Z708" s="145">
        <v>28296</v>
      </c>
      <c r="AA708" s="142"/>
      <c r="AB708" s="142"/>
      <c r="AC708" s="142"/>
      <c r="AD708" s="141">
        <v>0</v>
      </c>
      <c r="AE708" s="141"/>
      <c r="AF708" s="141"/>
      <c r="AG708" s="141">
        <v>0</v>
      </c>
      <c r="AH708" s="141"/>
      <c r="AI708" s="141"/>
      <c r="AJ708" s="141">
        <v>0</v>
      </c>
      <c r="AK708" s="141"/>
      <c r="AL708" s="141"/>
      <c r="AM708" s="141" t="s">
        <v>290</v>
      </c>
      <c r="AN708" s="141" t="s">
        <v>2253</v>
      </c>
      <c r="AO708" s="142"/>
      <c r="AP708" s="141"/>
      <c r="AQ708" s="141"/>
      <c r="AR708" s="142"/>
      <c r="AS708" s="141"/>
      <c r="AT708" s="142"/>
      <c r="AU708" s="141"/>
      <c r="AV708" s="142"/>
      <c r="AW708" s="146"/>
      <c r="AX708" s="146"/>
      <c r="AY708" s="147">
        <v>70272</v>
      </c>
      <c r="AZ708" s="132">
        <f>ROUNDDOWN(AY708+(AY708*MASTER!$A$2/100),0)</f>
        <v>75893</v>
      </c>
      <c r="BA708" s="141"/>
      <c r="BB708" s="145"/>
      <c r="BC708" s="145">
        <v>0</v>
      </c>
      <c r="BD708" s="141"/>
      <c r="BE708" s="141"/>
      <c r="BF708" s="145"/>
      <c r="BG708" s="145">
        <v>0</v>
      </c>
      <c r="BH708" s="141"/>
      <c r="BI708" s="141"/>
      <c r="BJ708" s="145"/>
      <c r="BK708" s="145">
        <v>0</v>
      </c>
      <c r="BL708" s="141"/>
      <c r="BM708" s="145"/>
      <c r="BN708" s="145"/>
      <c r="BO708" s="145"/>
      <c r="BP708" s="145"/>
      <c r="BQ708" s="145"/>
      <c r="BR708" s="145"/>
      <c r="BS708" s="145">
        <v>0</v>
      </c>
      <c r="BT708" s="148"/>
      <c r="BU708" s="148"/>
      <c r="BV708" s="149">
        <v>50760</v>
      </c>
      <c r="BW708" s="149">
        <v>0</v>
      </c>
      <c r="BX708" s="149">
        <v>43530</v>
      </c>
      <c r="BY708" s="149">
        <v>50760</v>
      </c>
      <c r="BZ708" s="150">
        <v>100</v>
      </c>
      <c r="CA708" s="141"/>
      <c r="CB708" s="141"/>
      <c r="CC708" s="141"/>
      <c r="CD708" s="144" t="s">
        <v>2240</v>
      </c>
      <c r="CE708" s="142"/>
      <c r="CF708" s="142"/>
      <c r="CG708" s="142"/>
      <c r="CH708" s="142"/>
      <c r="CI708" s="142"/>
      <c r="CJ708" s="142"/>
      <c r="CK708" s="145">
        <v>0</v>
      </c>
    </row>
    <row r="709" spans="1:89" x14ac:dyDescent="0.15">
      <c r="A709" s="84">
        <v>2</v>
      </c>
      <c r="B709" s="85">
        <v>43543</v>
      </c>
      <c r="C709" s="85">
        <v>43551</v>
      </c>
      <c r="D709" s="85">
        <v>43581</v>
      </c>
      <c r="E709" s="85">
        <v>43557</v>
      </c>
      <c r="F709" s="85">
        <v>43558</v>
      </c>
      <c r="G709" s="85">
        <v>43550</v>
      </c>
      <c r="H709" s="85">
        <v>43554</v>
      </c>
      <c r="I709" s="84" t="s">
        <v>401</v>
      </c>
      <c r="J709" s="84">
        <v>2</v>
      </c>
      <c r="L709" s="84">
        <v>0</v>
      </c>
      <c r="M709" s="85">
        <v>43530</v>
      </c>
      <c r="N709" s="85" t="s">
        <v>265</v>
      </c>
      <c r="O709" s="86" t="s">
        <v>340</v>
      </c>
      <c r="P709" s="84" t="s">
        <v>26</v>
      </c>
      <c r="Q709" s="86" t="s">
        <v>137</v>
      </c>
      <c r="R709" s="86" t="s">
        <v>2254</v>
      </c>
      <c r="S709" s="87" t="s">
        <v>600</v>
      </c>
      <c r="T709" s="87" t="s">
        <v>1918</v>
      </c>
      <c r="U709" s="88">
        <v>238000</v>
      </c>
      <c r="V709" s="88">
        <v>257040</v>
      </c>
      <c r="W709" s="88">
        <v>238000</v>
      </c>
      <c r="X709" s="88">
        <v>257040</v>
      </c>
      <c r="Z709" s="88">
        <v>0</v>
      </c>
      <c r="AA709" s="85">
        <v>43549</v>
      </c>
      <c r="AB709" s="85">
        <v>43551</v>
      </c>
      <c r="AC709" s="85">
        <v>43551</v>
      </c>
      <c r="AD709" s="84">
        <v>0</v>
      </c>
      <c r="AG709" s="84">
        <v>0</v>
      </c>
      <c r="AJ709" s="84">
        <v>0</v>
      </c>
      <c r="AM709" s="84" t="s">
        <v>290</v>
      </c>
      <c r="AN709" s="84" t="s">
        <v>2255</v>
      </c>
      <c r="AR709" s="85">
        <v>43538</v>
      </c>
      <c r="AS709" s="84">
        <v>6001657296</v>
      </c>
      <c r="AT709" s="85">
        <v>43542</v>
      </c>
      <c r="AU709" s="84" t="s">
        <v>1578</v>
      </c>
      <c r="AV709" s="85">
        <v>43551</v>
      </c>
      <c r="AW709" s="123">
        <v>43555</v>
      </c>
      <c r="AX709" s="123">
        <v>43575</v>
      </c>
      <c r="AY709" s="132">
        <v>228480</v>
      </c>
      <c r="AZ709" s="132">
        <f>ROUNDDOWN(AY709+(AY709*MASTER!$A$2/100),0)</f>
        <v>246758</v>
      </c>
      <c r="BA709" s="84" t="s">
        <v>543</v>
      </c>
      <c r="BB709" s="88">
        <v>73800</v>
      </c>
      <c r="BC709" s="88">
        <v>79704</v>
      </c>
      <c r="BD709" s="84" t="s">
        <v>1579</v>
      </c>
      <c r="BG709" s="88">
        <v>0</v>
      </c>
      <c r="BK709" s="88">
        <v>0</v>
      </c>
      <c r="BS709" s="88">
        <v>0</v>
      </c>
      <c r="BV709" s="89">
        <v>257040</v>
      </c>
      <c r="BW709" s="89">
        <v>79704</v>
      </c>
      <c r="BX709" s="89">
        <v>43530</v>
      </c>
      <c r="BY709" s="89">
        <v>177336</v>
      </c>
      <c r="BZ709" s="112">
        <v>68.991596638655466</v>
      </c>
      <c r="CK709" s="88">
        <v>31500</v>
      </c>
    </row>
    <row r="710" spans="1:89" x14ac:dyDescent="0.15">
      <c r="A710" s="84">
        <v>2</v>
      </c>
      <c r="B710" s="85">
        <v>43543</v>
      </c>
      <c r="C710" s="85">
        <v>43553</v>
      </c>
      <c r="D710" s="85">
        <v>43593</v>
      </c>
      <c r="E710" s="85">
        <v>43579</v>
      </c>
      <c r="F710" s="85">
        <v>43560</v>
      </c>
      <c r="G710" s="85">
        <v>43553</v>
      </c>
      <c r="H710" s="85">
        <v>43556</v>
      </c>
      <c r="I710" s="84" t="s">
        <v>1191</v>
      </c>
      <c r="J710" s="84">
        <v>1</v>
      </c>
      <c r="L710" s="84">
        <v>0</v>
      </c>
      <c r="M710" s="85">
        <v>43530</v>
      </c>
      <c r="N710" s="85" t="s">
        <v>265</v>
      </c>
      <c r="O710" s="86" t="s">
        <v>340</v>
      </c>
      <c r="P710" s="84" t="s">
        <v>26</v>
      </c>
      <c r="Q710" s="86" t="s">
        <v>137</v>
      </c>
      <c r="R710" s="86" t="s">
        <v>2256</v>
      </c>
      <c r="S710" s="87" t="s">
        <v>1737</v>
      </c>
      <c r="T710" s="87" t="s">
        <v>1918</v>
      </c>
      <c r="U710" s="88">
        <v>274000</v>
      </c>
      <c r="V710" s="88">
        <v>295920</v>
      </c>
      <c r="W710" s="88">
        <v>254000</v>
      </c>
      <c r="X710" s="88">
        <v>274320</v>
      </c>
      <c r="Y710" s="88">
        <v>20000</v>
      </c>
      <c r="Z710" s="88">
        <v>21600</v>
      </c>
      <c r="AA710" s="85">
        <v>43551</v>
      </c>
      <c r="AB710" s="85">
        <v>43553</v>
      </c>
      <c r="AC710" s="85">
        <v>43553</v>
      </c>
      <c r="AD710" s="84">
        <v>0</v>
      </c>
      <c r="AG710" s="84">
        <v>0</v>
      </c>
      <c r="AJ710" s="84">
        <v>0</v>
      </c>
      <c r="AM710" s="84" t="s">
        <v>290</v>
      </c>
      <c r="AN710" s="84" t="s">
        <v>2257</v>
      </c>
      <c r="AR710" s="85">
        <v>43538</v>
      </c>
      <c r="AS710" s="84">
        <v>6001657296</v>
      </c>
      <c r="AT710" s="85">
        <v>43542</v>
      </c>
      <c r="AU710" s="84" t="s">
        <v>1578</v>
      </c>
      <c r="AV710" s="85">
        <v>43553</v>
      </c>
      <c r="AW710" s="123">
        <v>43555</v>
      </c>
      <c r="AX710" s="123">
        <v>43575</v>
      </c>
      <c r="AY710" s="132">
        <v>263040</v>
      </c>
      <c r="AZ710" s="132">
        <f>ROUNDDOWN(AY710+(AY710*MASTER!$A$2/100),0)</f>
        <v>284083</v>
      </c>
      <c r="BA710" s="84" t="s">
        <v>287</v>
      </c>
      <c r="BB710" s="88">
        <v>58800</v>
      </c>
      <c r="BC710" s="88">
        <v>63504</v>
      </c>
      <c r="BD710" s="84" t="s">
        <v>1579</v>
      </c>
      <c r="BG710" s="88">
        <v>0</v>
      </c>
      <c r="BI710" s="84" t="s">
        <v>434</v>
      </c>
      <c r="BJ710" s="88">
        <v>13000</v>
      </c>
      <c r="BK710" s="88">
        <v>14040</v>
      </c>
      <c r="BL710" s="84" t="s">
        <v>1579</v>
      </c>
      <c r="BS710" s="88">
        <v>0</v>
      </c>
      <c r="BV710" s="89">
        <v>274320</v>
      </c>
      <c r="BW710" s="89">
        <v>77544</v>
      </c>
      <c r="BX710" s="89">
        <v>43530</v>
      </c>
      <c r="BY710" s="89">
        <v>196776</v>
      </c>
      <c r="BZ710" s="112">
        <v>71.732283464566933</v>
      </c>
      <c r="CK710" s="88">
        <v>31500</v>
      </c>
    </row>
    <row r="711" spans="1:89" x14ac:dyDescent="0.15">
      <c r="A711" s="84">
        <v>2</v>
      </c>
      <c r="B711" s="85">
        <v>43543</v>
      </c>
      <c r="C711" s="85">
        <v>43551</v>
      </c>
      <c r="D711" s="85">
        <v>43581</v>
      </c>
      <c r="E711" s="85">
        <v>43557</v>
      </c>
      <c r="F711" s="85">
        <v>43558</v>
      </c>
      <c r="G711" s="85">
        <v>43551</v>
      </c>
      <c r="H711" s="85">
        <v>43554</v>
      </c>
      <c r="I711" s="84" t="s">
        <v>401</v>
      </c>
      <c r="J711" s="84">
        <v>1</v>
      </c>
      <c r="L711" s="84">
        <v>0</v>
      </c>
      <c r="M711" s="85">
        <v>43530</v>
      </c>
      <c r="N711" s="85" t="s">
        <v>265</v>
      </c>
      <c r="O711" s="86" t="s">
        <v>340</v>
      </c>
      <c r="P711" s="84" t="s">
        <v>26</v>
      </c>
      <c r="Q711" s="86" t="s">
        <v>137</v>
      </c>
      <c r="R711" s="86" t="s">
        <v>2258</v>
      </c>
      <c r="S711" s="87" t="s">
        <v>2259</v>
      </c>
      <c r="T711" s="87" t="s">
        <v>2260</v>
      </c>
      <c r="U711" s="88">
        <v>346000</v>
      </c>
      <c r="V711" s="88">
        <v>373680</v>
      </c>
      <c r="W711" s="88">
        <v>323000</v>
      </c>
      <c r="X711" s="88">
        <v>348840</v>
      </c>
      <c r="Y711" s="88">
        <v>23000</v>
      </c>
      <c r="Z711" s="88">
        <v>24840</v>
      </c>
      <c r="AA711" s="85">
        <v>43548</v>
      </c>
      <c r="AB711" s="85">
        <v>43551</v>
      </c>
      <c r="AC711" s="85">
        <v>43551</v>
      </c>
      <c r="AD711" s="84">
        <v>0</v>
      </c>
      <c r="AG711" s="84">
        <v>0</v>
      </c>
      <c r="AJ711" s="84">
        <v>0</v>
      </c>
      <c r="AM711" s="84" t="s">
        <v>290</v>
      </c>
      <c r="AN711" s="84" t="s">
        <v>2261</v>
      </c>
      <c r="AR711" s="85">
        <v>43538</v>
      </c>
      <c r="AS711" s="84">
        <v>6001657296</v>
      </c>
      <c r="AT711" s="85">
        <v>43542</v>
      </c>
      <c r="AU711" s="84" t="s">
        <v>1578</v>
      </c>
      <c r="AV711" s="85">
        <v>43551</v>
      </c>
      <c r="AW711" s="123">
        <v>43555</v>
      </c>
      <c r="AX711" s="123">
        <v>43575</v>
      </c>
      <c r="AY711" s="132">
        <v>332160</v>
      </c>
      <c r="AZ711" s="132">
        <f>ROUNDDOWN(AY711+(AY711*MASTER!$A$2/100),0)</f>
        <v>358732</v>
      </c>
      <c r="BA711" s="84" t="s">
        <v>286</v>
      </c>
      <c r="BB711" s="88">
        <v>128840</v>
      </c>
      <c r="BC711" s="88">
        <v>139147.20000000001</v>
      </c>
      <c r="BD711" s="84" t="s">
        <v>1579</v>
      </c>
      <c r="BG711" s="88">
        <v>0</v>
      </c>
      <c r="BI711" s="84" t="s">
        <v>276</v>
      </c>
      <c r="BJ711" s="88">
        <v>14950</v>
      </c>
      <c r="BK711" s="88">
        <v>16146</v>
      </c>
      <c r="BL711" s="84" t="s">
        <v>1659</v>
      </c>
      <c r="BS711" s="88">
        <v>0</v>
      </c>
      <c r="BV711" s="89">
        <v>348840</v>
      </c>
      <c r="BW711" s="89">
        <v>155293.20000000001</v>
      </c>
      <c r="BX711" s="89">
        <v>43530</v>
      </c>
      <c r="BY711" s="89">
        <v>193546.8</v>
      </c>
      <c r="BZ711" s="112">
        <v>55.482972136222905</v>
      </c>
      <c r="CK711" s="88">
        <v>31500</v>
      </c>
    </row>
    <row r="712" spans="1:89" x14ac:dyDescent="0.15">
      <c r="A712" s="84">
        <v>1</v>
      </c>
      <c r="B712" s="85">
        <v>43542</v>
      </c>
      <c r="C712" s="85">
        <v>43553</v>
      </c>
      <c r="F712" s="85" t="s">
        <v>338</v>
      </c>
      <c r="H712" s="85" t="s">
        <v>338</v>
      </c>
      <c r="J712" s="84">
        <v>2</v>
      </c>
      <c r="L712" s="84">
        <v>0</v>
      </c>
      <c r="M712" s="85">
        <v>43530</v>
      </c>
      <c r="N712" s="85" t="s">
        <v>265</v>
      </c>
      <c r="O712" s="86" t="s">
        <v>340</v>
      </c>
      <c r="P712" s="84" t="s">
        <v>26</v>
      </c>
      <c r="Q712" s="86" t="s">
        <v>137</v>
      </c>
      <c r="R712" s="86" t="s">
        <v>2262</v>
      </c>
      <c r="S712" s="87" t="s">
        <v>1845</v>
      </c>
      <c r="T712" s="87" t="s">
        <v>2263</v>
      </c>
      <c r="U712" s="88">
        <v>16000</v>
      </c>
      <c r="V712" s="88">
        <v>17280</v>
      </c>
      <c r="W712" s="88">
        <v>16000</v>
      </c>
      <c r="X712" s="88">
        <v>17280</v>
      </c>
      <c r="Z712" s="88">
        <v>0</v>
      </c>
      <c r="AA712" s="85">
        <v>43551</v>
      </c>
      <c r="AB712" s="85">
        <v>43553</v>
      </c>
      <c r="AD712" s="84">
        <v>0</v>
      </c>
      <c r="AG712" s="84">
        <v>0</v>
      </c>
      <c r="AJ712" s="84">
        <v>0</v>
      </c>
      <c r="AM712" s="84" t="s">
        <v>290</v>
      </c>
      <c r="AN712" s="84" t="s">
        <v>2264</v>
      </c>
      <c r="AR712" s="85">
        <v>43535</v>
      </c>
      <c r="AS712" s="84">
        <v>6001655856</v>
      </c>
      <c r="AT712" s="85">
        <v>43536</v>
      </c>
      <c r="AU712" s="84" t="s">
        <v>1930</v>
      </c>
      <c r="AV712" s="85">
        <v>43553</v>
      </c>
      <c r="AW712" s="123">
        <v>43555</v>
      </c>
      <c r="AX712" s="123">
        <v>43575</v>
      </c>
      <c r="AY712" s="132">
        <v>15360</v>
      </c>
      <c r="AZ712" s="132">
        <f>ROUNDDOWN(AY712+(AY712*MASTER!$A$2/100),0)</f>
        <v>16588</v>
      </c>
      <c r="BA712" s="84" t="s">
        <v>778</v>
      </c>
      <c r="BC712" s="88">
        <v>0</v>
      </c>
      <c r="BG712" s="88">
        <v>0</v>
      </c>
      <c r="BK712" s="88">
        <v>0</v>
      </c>
      <c r="BS712" s="88">
        <v>0</v>
      </c>
      <c r="BV712" s="89">
        <v>17280</v>
      </c>
      <c r="BW712" s="89">
        <v>0</v>
      </c>
      <c r="BX712" s="89">
        <v>43530</v>
      </c>
      <c r="BY712" s="89">
        <v>17280</v>
      </c>
      <c r="BZ712" s="112">
        <v>100</v>
      </c>
      <c r="CK712" s="88">
        <v>0</v>
      </c>
    </row>
    <row r="713" spans="1:89" x14ac:dyDescent="0.15">
      <c r="A713" s="84">
        <v>2</v>
      </c>
      <c r="C713" s="85" t="s">
        <v>338</v>
      </c>
      <c r="D713" s="85">
        <v>43529</v>
      </c>
      <c r="E713" s="85">
        <v>43529</v>
      </c>
      <c r="F713" s="85" t="s">
        <v>338</v>
      </c>
      <c r="G713" s="85">
        <v>43529</v>
      </c>
      <c r="H713" s="85" t="s">
        <v>338</v>
      </c>
      <c r="I713" s="84" t="s">
        <v>380</v>
      </c>
      <c r="J713" s="84">
        <v>4</v>
      </c>
      <c r="L713" s="84">
        <v>0</v>
      </c>
      <c r="M713" s="85">
        <v>43530</v>
      </c>
      <c r="N713" s="85" t="s">
        <v>265</v>
      </c>
      <c r="O713" s="86" t="s">
        <v>340</v>
      </c>
      <c r="P713" s="84" t="s">
        <v>6</v>
      </c>
      <c r="Q713" s="86" t="s">
        <v>137</v>
      </c>
      <c r="R713" s="86" t="s">
        <v>2265</v>
      </c>
      <c r="S713" s="87" t="s">
        <v>1763</v>
      </c>
      <c r="T713" s="87" t="s">
        <v>2087</v>
      </c>
      <c r="U713" s="88">
        <v>0</v>
      </c>
      <c r="V713" s="88">
        <v>0</v>
      </c>
      <c r="W713" s="88">
        <v>0</v>
      </c>
      <c r="X713" s="88">
        <v>0</v>
      </c>
      <c r="Y713" s="88">
        <v>0</v>
      </c>
      <c r="Z713" s="88">
        <v>0</v>
      </c>
      <c r="AA713" s="85">
        <v>43518</v>
      </c>
      <c r="AB713" s="85">
        <v>43525</v>
      </c>
      <c r="AD713" s="84">
        <v>0</v>
      </c>
      <c r="AG713" s="84">
        <v>0</v>
      </c>
      <c r="AJ713" s="84">
        <v>0</v>
      </c>
      <c r="AY713" s="132">
        <v>0</v>
      </c>
      <c r="AZ713" s="132">
        <f>ROUNDDOWN(AY713+(AY713*MASTER!$A$2/100),0)</f>
        <v>0</v>
      </c>
      <c r="BA713" s="84" t="s">
        <v>287</v>
      </c>
      <c r="BB713" s="88">
        <v>38000</v>
      </c>
      <c r="BC713" s="88">
        <v>41040</v>
      </c>
      <c r="BD713" s="84" t="s">
        <v>1268</v>
      </c>
      <c r="BG713" s="88">
        <v>0</v>
      </c>
      <c r="BK713" s="88">
        <v>0</v>
      </c>
      <c r="BS713" s="88">
        <v>0</v>
      </c>
      <c r="BV713" s="89">
        <v>0</v>
      </c>
      <c r="BW713" s="89">
        <v>41040</v>
      </c>
      <c r="BX713" s="89">
        <v>43530</v>
      </c>
      <c r="BY713" s="89">
        <v>-41040</v>
      </c>
      <c r="BZ713" s="112" t="s">
        <v>338</v>
      </c>
      <c r="CD713" s="87" t="s">
        <v>2266</v>
      </c>
    </row>
    <row r="714" spans="1:89" x14ac:dyDescent="0.15">
      <c r="A714" s="84">
        <v>2</v>
      </c>
      <c r="B714" s="85">
        <v>43542</v>
      </c>
      <c r="C714" s="85">
        <v>43543</v>
      </c>
      <c r="D714" s="85">
        <v>43536</v>
      </c>
      <c r="E714" s="85">
        <v>43536</v>
      </c>
      <c r="F714" s="85" t="s">
        <v>338</v>
      </c>
      <c r="G714" s="85">
        <v>43536</v>
      </c>
      <c r="H714" s="85" t="s">
        <v>338</v>
      </c>
      <c r="I714" s="84" t="s">
        <v>380</v>
      </c>
      <c r="J714" s="84">
        <v>2</v>
      </c>
      <c r="L714" s="84">
        <v>0</v>
      </c>
      <c r="M714" s="85">
        <v>43530</v>
      </c>
      <c r="N714" s="85" t="s">
        <v>265</v>
      </c>
      <c r="O714" s="86" t="s">
        <v>340</v>
      </c>
      <c r="P714" s="84" t="s">
        <v>6</v>
      </c>
      <c r="Q714" s="86" t="s">
        <v>137</v>
      </c>
      <c r="R714" s="86" t="s">
        <v>2267</v>
      </c>
      <c r="S714" s="87" t="s">
        <v>1154</v>
      </c>
      <c r="T714" s="87" t="s">
        <v>342</v>
      </c>
      <c r="U714" s="88">
        <v>35000</v>
      </c>
      <c r="V714" s="88">
        <v>37800</v>
      </c>
      <c r="W714" s="88">
        <v>35000</v>
      </c>
      <c r="X714" s="88">
        <v>37800</v>
      </c>
      <c r="Z714" s="88">
        <v>0</v>
      </c>
      <c r="AA714" s="85">
        <v>43531</v>
      </c>
      <c r="AB714" s="85">
        <v>43531</v>
      </c>
      <c r="AD714" s="84">
        <v>0</v>
      </c>
      <c r="AG714" s="84">
        <v>0</v>
      </c>
      <c r="AJ714" s="84">
        <v>0</v>
      </c>
      <c r="AR714" s="85">
        <v>43539</v>
      </c>
      <c r="AS714" s="84">
        <v>6001657831</v>
      </c>
      <c r="AT714" s="85">
        <v>43539</v>
      </c>
      <c r="AU714" s="84" t="s">
        <v>1955</v>
      </c>
      <c r="AV714" s="85">
        <v>43543</v>
      </c>
      <c r="AW714" s="123">
        <v>43555</v>
      </c>
      <c r="AX714" s="123">
        <v>43575</v>
      </c>
      <c r="AY714" s="132">
        <v>33600</v>
      </c>
      <c r="AZ714" s="132">
        <f>ROUNDDOWN(AY714+(AY714*MASTER!$A$2/100),0)</f>
        <v>36288</v>
      </c>
      <c r="BA714" s="84" t="s">
        <v>543</v>
      </c>
      <c r="BB714" s="88">
        <v>26000</v>
      </c>
      <c r="BC714" s="88">
        <v>28080</v>
      </c>
      <c r="BD714" s="84" t="s">
        <v>1268</v>
      </c>
      <c r="BG714" s="88">
        <v>0</v>
      </c>
      <c r="BK714" s="88">
        <v>0</v>
      </c>
      <c r="BS714" s="88">
        <v>0</v>
      </c>
      <c r="BV714" s="89">
        <v>37800</v>
      </c>
      <c r="BW714" s="89">
        <v>28080</v>
      </c>
      <c r="BX714" s="89">
        <v>43530</v>
      </c>
      <c r="BY714" s="89">
        <v>9720</v>
      </c>
      <c r="BZ714" s="112">
        <v>25.714285714285712</v>
      </c>
    </row>
    <row r="715" spans="1:89" x14ac:dyDescent="0.15">
      <c r="A715" s="84">
        <v>2</v>
      </c>
      <c r="B715" s="85">
        <v>43570</v>
      </c>
      <c r="C715" s="85">
        <v>43581</v>
      </c>
      <c r="D715" s="85">
        <v>43594</v>
      </c>
      <c r="E715" s="85">
        <v>43592</v>
      </c>
      <c r="F715" s="85">
        <v>43588</v>
      </c>
      <c r="G715" s="85">
        <v>43592</v>
      </c>
      <c r="H715" s="85">
        <v>43584</v>
      </c>
      <c r="I715" s="84" t="s">
        <v>401</v>
      </c>
      <c r="J715" s="84">
        <v>1</v>
      </c>
      <c r="L715" s="84">
        <v>0</v>
      </c>
      <c r="M715" s="85">
        <v>43531</v>
      </c>
      <c r="N715" s="85" t="s">
        <v>265</v>
      </c>
      <c r="O715" s="86" t="s">
        <v>340</v>
      </c>
      <c r="P715" s="84" t="s">
        <v>26</v>
      </c>
      <c r="Q715" s="86" t="s">
        <v>137</v>
      </c>
      <c r="R715" s="86" t="s">
        <v>2268</v>
      </c>
      <c r="S715" s="87" t="s">
        <v>1251</v>
      </c>
      <c r="T715" s="87" t="s">
        <v>2269</v>
      </c>
      <c r="U715" s="88">
        <v>1114500</v>
      </c>
      <c r="V715" s="88">
        <v>1203660</v>
      </c>
      <c r="W715" s="88">
        <v>1001000</v>
      </c>
      <c r="X715" s="88">
        <v>1081080</v>
      </c>
      <c r="Y715" s="88">
        <v>113500</v>
      </c>
      <c r="Z715" s="88">
        <v>122580</v>
      </c>
      <c r="AA715" s="85">
        <v>43577</v>
      </c>
      <c r="AB715" s="85">
        <v>43581</v>
      </c>
      <c r="AC715" s="85">
        <v>43581</v>
      </c>
      <c r="AD715" s="84">
        <v>0</v>
      </c>
      <c r="AG715" s="84">
        <v>0</v>
      </c>
      <c r="AJ715" s="84">
        <v>0</v>
      </c>
      <c r="AM715" s="84" t="s">
        <v>290</v>
      </c>
      <c r="AN715" s="84" t="s">
        <v>2270</v>
      </c>
      <c r="AR715" s="85">
        <v>43563</v>
      </c>
      <c r="AS715" s="84">
        <v>6001664891</v>
      </c>
      <c r="AT715" s="85">
        <v>43563</v>
      </c>
      <c r="AU715" s="84" t="s">
        <v>2271</v>
      </c>
      <c r="AV715" s="85">
        <v>43581</v>
      </c>
      <c r="AW715" s="123">
        <v>43585</v>
      </c>
      <c r="AX715" s="123">
        <v>43605</v>
      </c>
      <c r="AY715" s="132">
        <v>1069920</v>
      </c>
      <c r="AZ715" s="132">
        <f>ROUNDDOWN(AY715+(AY715*MASTER!$A$2/100),0)</f>
        <v>1155513</v>
      </c>
      <c r="BA715" s="84" t="s">
        <v>666</v>
      </c>
      <c r="BB715" s="88">
        <v>394320</v>
      </c>
      <c r="BC715" s="88">
        <v>425865.6</v>
      </c>
      <c r="BD715" s="84" t="s">
        <v>2197</v>
      </c>
      <c r="BG715" s="88">
        <v>0</v>
      </c>
      <c r="BI715" s="84" t="s">
        <v>276</v>
      </c>
      <c r="BJ715" s="88">
        <v>73775</v>
      </c>
      <c r="BK715" s="88">
        <v>79677</v>
      </c>
      <c r="BL715" s="84" t="s">
        <v>1645</v>
      </c>
      <c r="BS715" s="88">
        <v>0</v>
      </c>
      <c r="BV715" s="89">
        <v>1081080</v>
      </c>
      <c r="BW715" s="89">
        <v>505542.6</v>
      </c>
      <c r="BX715" s="89">
        <v>43531</v>
      </c>
      <c r="BY715" s="89">
        <v>575537.4</v>
      </c>
      <c r="BZ715" s="112">
        <v>53.237262737262739</v>
      </c>
      <c r="CK715" s="88">
        <v>105000</v>
      </c>
    </row>
    <row r="716" spans="1:89" x14ac:dyDescent="0.15">
      <c r="A716" s="84">
        <v>2</v>
      </c>
      <c r="B716" s="85">
        <v>43551</v>
      </c>
      <c r="C716" s="85">
        <v>43557</v>
      </c>
      <c r="D716" s="85">
        <v>43581</v>
      </c>
      <c r="E716" s="85">
        <v>43560</v>
      </c>
      <c r="F716" s="85">
        <v>43564</v>
      </c>
      <c r="G716" s="85">
        <v>43557</v>
      </c>
      <c r="H716" s="85">
        <v>43560</v>
      </c>
      <c r="I716" s="84" t="s">
        <v>401</v>
      </c>
      <c r="J716" s="84">
        <v>1</v>
      </c>
      <c r="L716" s="84">
        <v>0</v>
      </c>
      <c r="M716" s="85">
        <v>43531</v>
      </c>
      <c r="N716" s="85" t="s">
        <v>265</v>
      </c>
      <c r="O716" s="86" t="s">
        <v>340</v>
      </c>
      <c r="P716" s="84" t="s">
        <v>26</v>
      </c>
      <c r="Q716" s="86" t="s">
        <v>137</v>
      </c>
      <c r="R716" s="86" t="s">
        <v>2272</v>
      </c>
      <c r="S716" s="87" t="s">
        <v>1743</v>
      </c>
      <c r="T716" s="87" t="s">
        <v>856</v>
      </c>
      <c r="U716" s="88">
        <v>213800</v>
      </c>
      <c r="V716" s="88">
        <v>230904</v>
      </c>
      <c r="W716" s="88">
        <v>100300</v>
      </c>
      <c r="X716" s="88">
        <v>108324</v>
      </c>
      <c r="Y716" s="88">
        <v>113500</v>
      </c>
      <c r="Z716" s="88">
        <v>122580</v>
      </c>
      <c r="AA716" s="85">
        <v>43556</v>
      </c>
      <c r="AB716" s="85">
        <v>43557</v>
      </c>
      <c r="AC716" s="85">
        <v>43557</v>
      </c>
      <c r="AD716" s="84">
        <v>0</v>
      </c>
      <c r="AG716" s="84">
        <v>0</v>
      </c>
      <c r="AJ716" s="84">
        <v>0</v>
      </c>
      <c r="AM716" s="84" t="s">
        <v>290</v>
      </c>
      <c r="AN716" s="84" t="s">
        <v>2273</v>
      </c>
      <c r="AR716" s="85">
        <v>43550</v>
      </c>
      <c r="AS716" s="84">
        <v>6001661201</v>
      </c>
      <c r="AT716" s="85">
        <v>43550</v>
      </c>
      <c r="AU716" s="84" t="s">
        <v>2274</v>
      </c>
      <c r="AV716" s="85">
        <v>43557</v>
      </c>
      <c r="AW716" s="123">
        <v>43585</v>
      </c>
      <c r="AX716" s="123">
        <v>43605</v>
      </c>
      <c r="AY716" s="132">
        <v>205248</v>
      </c>
      <c r="AZ716" s="132">
        <f>ROUNDDOWN(AY716+(AY716*MASTER!$A$2/100),0)</f>
        <v>221667</v>
      </c>
      <c r="BA716" s="84" t="s">
        <v>543</v>
      </c>
      <c r="BB716" s="88">
        <v>32000</v>
      </c>
      <c r="BC716" s="88">
        <v>34560</v>
      </c>
      <c r="BD716" s="84" t="s">
        <v>1579</v>
      </c>
      <c r="BG716" s="88">
        <v>0</v>
      </c>
      <c r="BI716" s="84" t="s">
        <v>276</v>
      </c>
      <c r="BJ716" s="88">
        <v>73775</v>
      </c>
      <c r="BK716" s="88">
        <v>79677</v>
      </c>
      <c r="BL716" s="84" t="s">
        <v>1659</v>
      </c>
      <c r="BS716" s="88">
        <v>0</v>
      </c>
      <c r="BV716" s="89">
        <v>108324</v>
      </c>
      <c r="BW716" s="89">
        <v>114237</v>
      </c>
      <c r="BX716" s="89">
        <v>43531</v>
      </c>
      <c r="BY716" s="89">
        <v>-5913</v>
      </c>
      <c r="BZ716" s="112">
        <v>-5.4586241276171483</v>
      </c>
      <c r="CK716" s="88">
        <v>6300</v>
      </c>
    </row>
    <row r="717" spans="1:89" x14ac:dyDescent="0.15">
      <c r="A717" s="84">
        <v>2</v>
      </c>
      <c r="B717" s="85">
        <v>43570</v>
      </c>
      <c r="C717" s="85">
        <v>43582</v>
      </c>
      <c r="D717" s="85">
        <v>43622</v>
      </c>
      <c r="E717" s="85">
        <v>43596</v>
      </c>
      <c r="F717" s="85">
        <v>43589</v>
      </c>
      <c r="G717" s="85">
        <v>43592</v>
      </c>
      <c r="H717" s="85">
        <v>43585</v>
      </c>
      <c r="I717" s="84" t="s">
        <v>1191</v>
      </c>
      <c r="J717" s="84">
        <v>1</v>
      </c>
      <c r="L717" s="84">
        <v>0</v>
      </c>
      <c r="M717" s="85">
        <v>43531</v>
      </c>
      <c r="N717" s="85" t="s">
        <v>265</v>
      </c>
      <c r="O717" s="86" t="s">
        <v>340</v>
      </c>
      <c r="P717" s="84" t="s">
        <v>26</v>
      </c>
      <c r="Q717" s="86" t="s">
        <v>137</v>
      </c>
      <c r="R717" s="86" t="s">
        <v>2275</v>
      </c>
      <c r="S717" s="87" t="s">
        <v>2276</v>
      </c>
      <c r="T717" s="87" t="s">
        <v>706</v>
      </c>
      <c r="U717" s="88">
        <v>172800</v>
      </c>
      <c r="V717" s="88">
        <v>186624</v>
      </c>
      <c r="W717" s="88">
        <v>84300</v>
      </c>
      <c r="X717" s="88">
        <v>91044</v>
      </c>
      <c r="Y717" s="88">
        <v>88500</v>
      </c>
      <c r="Z717" s="88">
        <v>95580</v>
      </c>
      <c r="AA717" s="85">
        <v>43580</v>
      </c>
      <c r="AB717" s="85">
        <v>43582</v>
      </c>
      <c r="AC717" s="85">
        <v>43582</v>
      </c>
      <c r="AD717" s="84">
        <v>0</v>
      </c>
      <c r="AG717" s="84">
        <v>0</v>
      </c>
      <c r="AJ717" s="84">
        <v>0</v>
      </c>
      <c r="AM717" s="84" t="s">
        <v>290</v>
      </c>
      <c r="AN717" s="84" t="s">
        <v>2277</v>
      </c>
      <c r="AR717" s="85">
        <v>43556</v>
      </c>
      <c r="AS717" s="84">
        <v>6001662513</v>
      </c>
      <c r="AT717" s="85">
        <v>43556</v>
      </c>
      <c r="AU717" s="84" t="s">
        <v>2213</v>
      </c>
      <c r="AV717" s="85">
        <v>43582</v>
      </c>
      <c r="AW717" s="123">
        <v>43585</v>
      </c>
      <c r="AX717" s="123">
        <v>43605</v>
      </c>
      <c r="AY717" s="132">
        <v>165888</v>
      </c>
      <c r="AZ717" s="132">
        <f>ROUNDDOWN(AY717+(AY717*MASTER!$A$2/100),0)</f>
        <v>179159</v>
      </c>
      <c r="BA717" s="84" t="s">
        <v>287</v>
      </c>
      <c r="BB717" s="88">
        <v>38000</v>
      </c>
      <c r="BC717" s="88">
        <v>41040</v>
      </c>
      <c r="BD717" s="84" t="s">
        <v>2197</v>
      </c>
      <c r="BG717" s="88">
        <v>0</v>
      </c>
      <c r="BI717" s="84" t="s">
        <v>434</v>
      </c>
      <c r="BJ717" s="88">
        <v>57525</v>
      </c>
      <c r="BK717" s="88">
        <v>62127</v>
      </c>
      <c r="BL717" s="84" t="s">
        <v>2197</v>
      </c>
      <c r="BS717" s="88">
        <v>0</v>
      </c>
      <c r="BV717" s="89">
        <v>91044</v>
      </c>
      <c r="BW717" s="89">
        <v>103167</v>
      </c>
      <c r="BX717" s="89">
        <v>43531</v>
      </c>
      <c r="BY717" s="89">
        <v>-12123</v>
      </c>
      <c r="BZ717" s="112">
        <v>-13.315539739027283</v>
      </c>
      <c r="CK717" s="88">
        <v>6300</v>
      </c>
    </row>
    <row r="718" spans="1:89" x14ac:dyDescent="0.15">
      <c r="A718" s="84">
        <v>2</v>
      </c>
      <c r="B718" s="85">
        <v>43543</v>
      </c>
      <c r="C718" s="85">
        <v>43542</v>
      </c>
      <c r="D718" s="85">
        <v>43536</v>
      </c>
      <c r="E718" s="85">
        <v>43536</v>
      </c>
      <c r="F718" s="85" t="s">
        <v>338</v>
      </c>
      <c r="G718" s="85">
        <v>43536</v>
      </c>
      <c r="H718" s="85" t="s">
        <v>338</v>
      </c>
      <c r="I718" s="84" t="s">
        <v>380</v>
      </c>
      <c r="J718" s="84">
        <v>2</v>
      </c>
      <c r="L718" s="84">
        <v>0</v>
      </c>
      <c r="M718" s="85">
        <v>43531</v>
      </c>
      <c r="N718" s="85" t="s">
        <v>265</v>
      </c>
      <c r="O718" s="86" t="s">
        <v>340</v>
      </c>
      <c r="P718" s="84" t="s">
        <v>6</v>
      </c>
      <c r="Q718" s="86" t="s">
        <v>137</v>
      </c>
      <c r="R718" s="86" t="s">
        <v>2278</v>
      </c>
      <c r="S718" s="87" t="s">
        <v>382</v>
      </c>
      <c r="T718" s="87" t="s">
        <v>342</v>
      </c>
      <c r="U718" s="88">
        <v>35000</v>
      </c>
      <c r="V718" s="88">
        <v>37800</v>
      </c>
      <c r="W718" s="88">
        <v>35000</v>
      </c>
      <c r="X718" s="88">
        <v>37800</v>
      </c>
      <c r="Z718" s="88">
        <v>0</v>
      </c>
      <c r="AA718" s="85">
        <v>43534</v>
      </c>
      <c r="AB718" s="85">
        <v>43534</v>
      </c>
      <c r="AD718" s="84">
        <v>0</v>
      </c>
      <c r="AG718" s="84">
        <v>0</v>
      </c>
      <c r="AJ718" s="84">
        <v>0</v>
      </c>
      <c r="AN718" s="84" t="s">
        <v>338</v>
      </c>
      <c r="AR718" s="85">
        <v>43538</v>
      </c>
      <c r="AS718" s="84">
        <v>6001657296</v>
      </c>
      <c r="AT718" s="85">
        <v>43542</v>
      </c>
      <c r="AU718" s="84" t="s">
        <v>1578</v>
      </c>
      <c r="AV718" s="85">
        <v>43542</v>
      </c>
      <c r="AW718" s="123">
        <v>43555</v>
      </c>
      <c r="AX718" s="123">
        <v>43575</v>
      </c>
      <c r="AY718" s="132">
        <v>33600</v>
      </c>
      <c r="AZ718" s="132">
        <f>ROUNDDOWN(AY718+(AY718*MASTER!$A$2/100),0)</f>
        <v>36288</v>
      </c>
      <c r="BA718" s="84" t="s">
        <v>400</v>
      </c>
      <c r="BB718" s="88">
        <v>38000</v>
      </c>
      <c r="BC718" s="88">
        <v>41040</v>
      </c>
      <c r="BD718" s="84" t="s">
        <v>1268</v>
      </c>
      <c r="BG718" s="88">
        <v>0</v>
      </c>
      <c r="BK718" s="88">
        <v>0</v>
      </c>
      <c r="BS718" s="88">
        <v>0</v>
      </c>
      <c r="BV718" s="89">
        <v>37800</v>
      </c>
      <c r="BW718" s="89">
        <v>41040</v>
      </c>
      <c r="BX718" s="89">
        <v>43531</v>
      </c>
      <c r="BY718" s="89">
        <v>-3240</v>
      </c>
      <c r="BZ718" s="112">
        <v>-8.5714285714285712</v>
      </c>
      <c r="CK718" s="88">
        <v>0</v>
      </c>
    </row>
    <row r="719" spans="1:89" x14ac:dyDescent="0.15">
      <c r="A719" s="84">
        <v>1</v>
      </c>
      <c r="B719" s="85">
        <v>43532</v>
      </c>
      <c r="C719" s="85">
        <v>43535</v>
      </c>
      <c r="F719" s="85" t="s">
        <v>338</v>
      </c>
      <c r="H719" s="85" t="s">
        <v>338</v>
      </c>
      <c r="J719" s="84">
        <v>2</v>
      </c>
      <c r="L719" s="84">
        <v>0</v>
      </c>
      <c r="M719" s="85">
        <v>43531</v>
      </c>
      <c r="N719" s="85" t="s">
        <v>265</v>
      </c>
      <c r="O719" s="86" t="s">
        <v>340</v>
      </c>
      <c r="P719" s="84" t="s">
        <v>272</v>
      </c>
      <c r="Q719" s="86" t="s">
        <v>137</v>
      </c>
      <c r="R719" s="86" t="s">
        <v>2279</v>
      </c>
      <c r="S719" s="87" t="s">
        <v>351</v>
      </c>
      <c r="T719" s="87" t="s">
        <v>931</v>
      </c>
      <c r="U719" s="88">
        <v>700</v>
      </c>
      <c r="V719" s="88">
        <v>756</v>
      </c>
      <c r="W719" s="88">
        <v>700</v>
      </c>
      <c r="X719" s="88">
        <v>756</v>
      </c>
      <c r="Z719" s="88">
        <v>0</v>
      </c>
      <c r="AD719" s="84">
        <v>0</v>
      </c>
      <c r="AG719" s="84">
        <v>0</v>
      </c>
      <c r="AJ719" s="84">
        <v>0</v>
      </c>
      <c r="AN719" s="84" t="s">
        <v>338</v>
      </c>
      <c r="AR719" s="85">
        <v>43531</v>
      </c>
      <c r="AS719" s="84">
        <v>6001654915</v>
      </c>
      <c r="AT719" s="85">
        <v>43531</v>
      </c>
      <c r="AU719" s="84" t="s">
        <v>2280</v>
      </c>
      <c r="AV719" s="85">
        <v>43535</v>
      </c>
      <c r="AW719" s="123">
        <v>43555</v>
      </c>
      <c r="AX719" s="123">
        <v>43575</v>
      </c>
      <c r="AY719" s="132">
        <v>672</v>
      </c>
      <c r="AZ719" s="132">
        <f>ROUNDDOWN(AY719+(AY719*MASTER!$A$2/100),0)</f>
        <v>725</v>
      </c>
      <c r="BC719" s="88">
        <v>0</v>
      </c>
      <c r="BG719" s="88">
        <v>0</v>
      </c>
      <c r="BK719" s="88">
        <v>0</v>
      </c>
      <c r="BS719" s="88">
        <v>0</v>
      </c>
      <c r="BV719" s="89">
        <v>756</v>
      </c>
      <c r="BW719" s="89">
        <v>0</v>
      </c>
      <c r="BX719" s="89">
        <v>43531</v>
      </c>
      <c r="BY719" s="89">
        <v>756</v>
      </c>
      <c r="BZ719" s="112">
        <v>100</v>
      </c>
      <c r="CD719" s="87" t="s">
        <v>2281</v>
      </c>
      <c r="CK719" s="88">
        <v>0</v>
      </c>
    </row>
    <row r="720" spans="1:89" x14ac:dyDescent="0.15">
      <c r="A720" s="84">
        <v>1</v>
      </c>
      <c r="B720" s="85">
        <v>43539</v>
      </c>
      <c r="C720" s="85">
        <v>43544</v>
      </c>
      <c r="F720" s="85" t="s">
        <v>338</v>
      </c>
      <c r="H720" s="85" t="s">
        <v>338</v>
      </c>
      <c r="J720" s="84">
        <v>2</v>
      </c>
      <c r="L720" s="84">
        <v>0</v>
      </c>
      <c r="M720" s="85">
        <v>43531</v>
      </c>
      <c r="N720" s="85" t="s">
        <v>265</v>
      </c>
      <c r="O720" s="86" t="s">
        <v>340</v>
      </c>
      <c r="P720" s="84" t="s">
        <v>26</v>
      </c>
      <c r="Q720" s="86" t="s">
        <v>137</v>
      </c>
      <c r="R720" s="86" t="s">
        <v>2282</v>
      </c>
      <c r="S720" s="87" t="s">
        <v>351</v>
      </c>
      <c r="T720" s="87" t="s">
        <v>379</v>
      </c>
      <c r="U720" s="88">
        <v>50000</v>
      </c>
      <c r="V720" s="88">
        <v>54000</v>
      </c>
      <c r="W720" s="88">
        <v>50000</v>
      </c>
      <c r="X720" s="88">
        <v>54000</v>
      </c>
      <c r="Z720" s="88">
        <v>0</v>
      </c>
      <c r="AA720" s="85" t="s">
        <v>1268</v>
      </c>
      <c r="AD720" s="84">
        <v>0</v>
      </c>
      <c r="AG720" s="84">
        <v>0</v>
      </c>
      <c r="AJ720" s="84">
        <v>0</v>
      </c>
      <c r="AR720" s="85">
        <v>43538</v>
      </c>
      <c r="AS720" s="84">
        <v>6001657295</v>
      </c>
      <c r="AT720" s="85">
        <v>43538</v>
      </c>
      <c r="AU720" s="84" t="s">
        <v>2283</v>
      </c>
      <c r="AV720" s="85">
        <v>43544</v>
      </c>
      <c r="AW720" s="123">
        <v>43555</v>
      </c>
      <c r="AX720" s="123">
        <v>43575</v>
      </c>
      <c r="AY720" s="132">
        <v>48000</v>
      </c>
      <c r="AZ720" s="132">
        <f>ROUNDDOWN(AY720+(AY720*MASTER!$A$2/100),0)</f>
        <v>51840</v>
      </c>
      <c r="BC720" s="88">
        <v>0</v>
      </c>
      <c r="BG720" s="88">
        <v>0</v>
      </c>
      <c r="BK720" s="88">
        <v>0</v>
      </c>
      <c r="BS720" s="88">
        <v>0</v>
      </c>
      <c r="BV720" s="89">
        <v>54000</v>
      </c>
      <c r="BW720" s="89">
        <v>0</v>
      </c>
      <c r="BX720" s="89">
        <v>43531</v>
      </c>
      <c r="BY720" s="89">
        <v>54000</v>
      </c>
      <c r="BZ720" s="112">
        <v>100</v>
      </c>
    </row>
    <row r="721" spans="1:89" x14ac:dyDescent="0.15">
      <c r="A721" s="84">
        <v>1</v>
      </c>
      <c r="C721" s="85" t="s">
        <v>338</v>
      </c>
      <c r="F721" s="85" t="s">
        <v>338</v>
      </c>
      <c r="H721" s="85" t="s">
        <v>338</v>
      </c>
      <c r="J721" s="84">
        <v>2</v>
      </c>
      <c r="L721" s="84">
        <v>0</v>
      </c>
      <c r="M721" s="85">
        <v>43532</v>
      </c>
      <c r="N721" s="85" t="s">
        <v>264</v>
      </c>
      <c r="O721" s="86" t="s">
        <v>340</v>
      </c>
      <c r="P721" s="84" t="s">
        <v>272</v>
      </c>
      <c r="Q721" s="86" t="s">
        <v>137</v>
      </c>
      <c r="R721" s="86" t="s">
        <v>2284</v>
      </c>
      <c r="S721" s="87" t="s">
        <v>387</v>
      </c>
      <c r="T721" s="87" t="s">
        <v>2285</v>
      </c>
      <c r="U721" s="88">
        <v>1880000</v>
      </c>
      <c r="V721" s="88">
        <v>2030400</v>
      </c>
      <c r="W721" s="88">
        <v>1880000</v>
      </c>
      <c r="X721" s="88">
        <v>2030400</v>
      </c>
      <c r="Z721" s="88">
        <v>0</v>
      </c>
      <c r="AD721" s="84">
        <v>0</v>
      </c>
      <c r="AG721" s="84">
        <v>0</v>
      </c>
      <c r="AJ721" s="84">
        <v>0</v>
      </c>
      <c r="AR721" s="85">
        <v>43538</v>
      </c>
      <c r="AS721" s="84">
        <v>6001657294</v>
      </c>
      <c r="AT721" s="85">
        <v>43538</v>
      </c>
      <c r="AU721" s="84" t="s">
        <v>2286</v>
      </c>
      <c r="AV721" s="85">
        <v>43553</v>
      </c>
      <c r="AW721" s="123">
        <v>43555</v>
      </c>
      <c r="AX721" s="123">
        <v>43575</v>
      </c>
      <c r="AY721" s="140">
        <v>1880000</v>
      </c>
      <c r="AZ721" s="132">
        <f>ROUNDDOWN(AY721+(AY721*MASTER!$A$2/100),0)</f>
        <v>2030400</v>
      </c>
      <c r="BC721" s="88">
        <v>0</v>
      </c>
      <c r="BG721" s="88">
        <v>0</v>
      </c>
      <c r="BK721" s="88">
        <v>0</v>
      </c>
      <c r="BS721" s="88">
        <v>0</v>
      </c>
      <c r="BV721" s="89">
        <v>2030400</v>
      </c>
      <c r="BW721" s="89">
        <v>0</v>
      </c>
      <c r="BX721" s="89">
        <v>43532</v>
      </c>
      <c r="BY721" s="89">
        <v>2030400</v>
      </c>
      <c r="BZ721" s="112">
        <v>100</v>
      </c>
    </row>
    <row r="722" spans="1:89" x14ac:dyDescent="0.15">
      <c r="A722" s="84">
        <v>2</v>
      </c>
      <c r="B722" s="85">
        <v>43570</v>
      </c>
      <c r="C722" s="85">
        <v>43577</v>
      </c>
      <c r="D722" s="85" t="s">
        <v>374</v>
      </c>
      <c r="E722" s="85">
        <v>43580</v>
      </c>
      <c r="F722" s="85">
        <v>43584</v>
      </c>
      <c r="G722" s="85">
        <v>43581</v>
      </c>
      <c r="H722" s="85">
        <v>43580</v>
      </c>
      <c r="I722" s="84" t="s">
        <v>401</v>
      </c>
      <c r="J722" s="84">
        <v>1</v>
      </c>
      <c r="L722" s="84">
        <v>0</v>
      </c>
      <c r="M722" s="85">
        <v>43532</v>
      </c>
      <c r="N722" s="85" t="s">
        <v>265</v>
      </c>
      <c r="O722" s="86" t="s">
        <v>340</v>
      </c>
      <c r="P722" s="84" t="s">
        <v>26</v>
      </c>
      <c r="Q722" s="86" t="s">
        <v>137</v>
      </c>
      <c r="R722" s="86" t="s">
        <v>2287</v>
      </c>
      <c r="S722" s="87" t="s">
        <v>2288</v>
      </c>
      <c r="T722" s="87" t="s">
        <v>794</v>
      </c>
      <c r="U722" s="88">
        <v>23900</v>
      </c>
      <c r="V722" s="88">
        <v>25812</v>
      </c>
      <c r="W722" s="88">
        <v>14700</v>
      </c>
      <c r="X722" s="88">
        <v>15876</v>
      </c>
      <c r="Y722" s="88">
        <v>9200</v>
      </c>
      <c r="Z722" s="88">
        <v>9936</v>
      </c>
      <c r="AA722" s="85">
        <v>43576</v>
      </c>
      <c r="AB722" s="85">
        <v>43577</v>
      </c>
      <c r="AC722" s="85">
        <v>43577</v>
      </c>
      <c r="AD722" s="84">
        <v>0</v>
      </c>
      <c r="AG722" s="84">
        <v>0</v>
      </c>
      <c r="AJ722" s="84">
        <v>0</v>
      </c>
      <c r="AM722" s="84" t="s">
        <v>290</v>
      </c>
      <c r="AN722" s="84" t="s">
        <v>2289</v>
      </c>
      <c r="AR722" s="85">
        <v>43556</v>
      </c>
      <c r="AS722" s="84">
        <v>6001662513</v>
      </c>
      <c r="AT722" s="85">
        <v>43556</v>
      </c>
      <c r="AU722" s="84" t="s">
        <v>2213</v>
      </c>
      <c r="AV722" s="85">
        <v>43577</v>
      </c>
      <c r="AW722" s="123">
        <v>43585</v>
      </c>
      <c r="AX722" s="123">
        <v>43605</v>
      </c>
      <c r="AY722" s="132">
        <v>22944</v>
      </c>
      <c r="AZ722" s="132">
        <f>ROUNDDOWN(AY722+(AY722*MASTER!$A$2/100),0)</f>
        <v>24779</v>
      </c>
      <c r="BA722" s="84" t="s">
        <v>778</v>
      </c>
      <c r="BC722" s="88">
        <v>0</v>
      </c>
      <c r="BG722" s="88">
        <v>0</v>
      </c>
      <c r="BI722" s="84" t="s">
        <v>276</v>
      </c>
      <c r="BJ722" s="88">
        <v>5980</v>
      </c>
      <c r="BK722" s="88">
        <v>6458.4</v>
      </c>
      <c r="BL722" s="84" t="s">
        <v>1645</v>
      </c>
      <c r="BS722" s="88">
        <v>0</v>
      </c>
      <c r="BV722" s="89">
        <v>15876</v>
      </c>
      <c r="BW722" s="89">
        <v>6458.4</v>
      </c>
      <c r="BX722" s="89">
        <v>43532</v>
      </c>
      <c r="BY722" s="89">
        <v>9417.6</v>
      </c>
      <c r="BZ722" s="112">
        <v>59.319727891156461</v>
      </c>
      <c r="CK722" s="88">
        <v>0</v>
      </c>
    </row>
    <row r="723" spans="1:89" s="151" customFormat="1" x14ac:dyDescent="0.15">
      <c r="A723" s="141">
        <v>3</v>
      </c>
      <c r="B723" s="142"/>
      <c r="C723" s="142" t="s">
        <v>338</v>
      </c>
      <c r="D723" s="142"/>
      <c r="E723" s="142"/>
      <c r="F723" s="142" t="s">
        <v>338</v>
      </c>
      <c r="G723" s="142"/>
      <c r="H723" s="142" t="s">
        <v>338</v>
      </c>
      <c r="I723" s="141"/>
      <c r="J723" s="141">
        <v>1</v>
      </c>
      <c r="K723" s="142"/>
      <c r="L723" s="141">
        <v>0</v>
      </c>
      <c r="M723" s="142">
        <v>43532</v>
      </c>
      <c r="N723" s="142" t="s">
        <v>265</v>
      </c>
      <c r="O723" s="143" t="s">
        <v>340</v>
      </c>
      <c r="P723" s="141" t="s">
        <v>26</v>
      </c>
      <c r="Q723" s="143" t="s">
        <v>137</v>
      </c>
      <c r="R723" s="143" t="s">
        <v>2290</v>
      </c>
      <c r="S723" s="144" t="s">
        <v>1697</v>
      </c>
      <c r="T723" s="144" t="s">
        <v>794</v>
      </c>
      <c r="U723" s="145">
        <v>23900</v>
      </c>
      <c r="V723" s="145">
        <v>25812</v>
      </c>
      <c r="W723" s="145">
        <v>14700</v>
      </c>
      <c r="X723" s="145">
        <v>15876</v>
      </c>
      <c r="Y723" s="145">
        <v>9200</v>
      </c>
      <c r="Z723" s="145">
        <v>9936</v>
      </c>
      <c r="AA723" s="142">
        <v>43578</v>
      </c>
      <c r="AB723" s="142">
        <v>43580</v>
      </c>
      <c r="AC723" s="142"/>
      <c r="AD723" s="141">
        <v>0</v>
      </c>
      <c r="AE723" s="141"/>
      <c r="AF723" s="141"/>
      <c r="AG723" s="141">
        <v>0</v>
      </c>
      <c r="AH723" s="141"/>
      <c r="AI723" s="141"/>
      <c r="AJ723" s="141">
        <v>0</v>
      </c>
      <c r="AK723" s="141"/>
      <c r="AL723" s="141"/>
      <c r="AM723" s="141" t="s">
        <v>290</v>
      </c>
      <c r="AN723" s="141" t="s">
        <v>2291</v>
      </c>
      <c r="AO723" s="142"/>
      <c r="AP723" s="141"/>
      <c r="AQ723" s="141"/>
      <c r="AR723" s="142"/>
      <c r="AS723" s="141"/>
      <c r="AT723" s="142"/>
      <c r="AU723" s="141"/>
      <c r="AV723" s="142"/>
      <c r="AW723" s="146"/>
      <c r="AX723" s="146"/>
      <c r="AY723" s="147">
        <v>22944</v>
      </c>
      <c r="AZ723" s="132">
        <f>ROUNDDOWN(AY723+(AY723*MASTER!$A$2/100),0)</f>
        <v>24779</v>
      </c>
      <c r="BA723" s="141"/>
      <c r="BB723" s="145"/>
      <c r="BC723" s="145">
        <v>0</v>
      </c>
      <c r="BD723" s="141"/>
      <c r="BE723" s="141"/>
      <c r="BF723" s="145"/>
      <c r="BG723" s="145">
        <v>0</v>
      </c>
      <c r="BH723" s="141"/>
      <c r="BI723" s="141"/>
      <c r="BJ723" s="145"/>
      <c r="BK723" s="145">
        <v>0</v>
      </c>
      <c r="BL723" s="141"/>
      <c r="BM723" s="145"/>
      <c r="BN723" s="145"/>
      <c r="BO723" s="145"/>
      <c r="BP723" s="145"/>
      <c r="BQ723" s="145"/>
      <c r="BR723" s="145"/>
      <c r="BS723" s="145">
        <v>0</v>
      </c>
      <c r="BT723" s="148"/>
      <c r="BU723" s="148"/>
      <c r="BV723" s="149">
        <v>15876</v>
      </c>
      <c r="BW723" s="149">
        <v>0</v>
      </c>
      <c r="BX723" s="149">
        <v>43532</v>
      </c>
      <c r="BY723" s="149">
        <v>15876</v>
      </c>
      <c r="BZ723" s="150">
        <v>100</v>
      </c>
      <c r="CA723" s="141"/>
      <c r="CB723" s="141"/>
      <c r="CC723" s="141"/>
      <c r="CD723" s="144" t="s">
        <v>2292</v>
      </c>
      <c r="CE723" s="142"/>
      <c r="CF723" s="142"/>
      <c r="CG723" s="142"/>
      <c r="CH723" s="142"/>
      <c r="CI723" s="142"/>
      <c r="CJ723" s="142"/>
      <c r="CK723" s="145">
        <v>0</v>
      </c>
    </row>
    <row r="724" spans="1:89" x14ac:dyDescent="0.15">
      <c r="A724" s="84">
        <v>2</v>
      </c>
      <c r="B724" s="85">
        <v>43570</v>
      </c>
      <c r="C724" s="85">
        <v>43581</v>
      </c>
      <c r="D724" s="85">
        <v>43612</v>
      </c>
      <c r="E724" s="85">
        <v>43593</v>
      </c>
      <c r="F724" s="85">
        <v>43588</v>
      </c>
      <c r="G724" s="85">
        <v>43593</v>
      </c>
      <c r="H724" s="85">
        <v>43584</v>
      </c>
      <c r="I724" s="84" t="s">
        <v>401</v>
      </c>
      <c r="J724" s="84">
        <v>2</v>
      </c>
      <c r="L724" s="84">
        <v>0</v>
      </c>
      <c r="M724" s="85">
        <v>43532</v>
      </c>
      <c r="N724" s="85" t="s">
        <v>265</v>
      </c>
      <c r="O724" s="86" t="s">
        <v>340</v>
      </c>
      <c r="P724" s="84" t="s">
        <v>26</v>
      </c>
      <c r="Q724" s="86" t="s">
        <v>137</v>
      </c>
      <c r="R724" s="86" t="s">
        <v>2293</v>
      </c>
      <c r="S724" s="87" t="s">
        <v>2294</v>
      </c>
      <c r="T724" s="87" t="s">
        <v>455</v>
      </c>
      <c r="U724" s="88">
        <v>97800</v>
      </c>
      <c r="V724" s="88">
        <v>105624</v>
      </c>
      <c r="W724" s="88">
        <v>97800</v>
      </c>
      <c r="X724" s="88">
        <v>105624</v>
      </c>
      <c r="Z724" s="88">
        <v>0</v>
      </c>
      <c r="AA724" s="85">
        <v>43578</v>
      </c>
      <c r="AB724" s="85">
        <v>43581</v>
      </c>
      <c r="AC724" s="85">
        <v>43581</v>
      </c>
      <c r="AD724" s="84">
        <v>0</v>
      </c>
      <c r="AG724" s="84">
        <v>0</v>
      </c>
      <c r="AJ724" s="84">
        <v>0</v>
      </c>
      <c r="AM724" s="84" t="s">
        <v>290</v>
      </c>
      <c r="AN724" s="84" t="s">
        <v>2295</v>
      </c>
      <c r="AR724" s="85">
        <v>43556</v>
      </c>
      <c r="AS724" s="84">
        <v>6001662513</v>
      </c>
      <c r="AT724" s="85">
        <v>43556</v>
      </c>
      <c r="AU724" s="84" t="s">
        <v>2213</v>
      </c>
      <c r="AV724" s="85">
        <v>43581</v>
      </c>
      <c r="AW724" s="123">
        <v>43585</v>
      </c>
      <c r="AX724" s="123">
        <v>43605</v>
      </c>
      <c r="AY724" s="132">
        <v>93888</v>
      </c>
      <c r="AZ724" s="132">
        <f>ROUNDDOWN(AY724+(AY724*MASTER!$A$2/100),0)</f>
        <v>101399</v>
      </c>
      <c r="BA724" s="84" t="s">
        <v>543</v>
      </c>
      <c r="BB724" s="88">
        <v>61000</v>
      </c>
      <c r="BC724" s="88">
        <v>65880</v>
      </c>
      <c r="BD724" s="84" t="s">
        <v>2197</v>
      </c>
      <c r="BG724" s="88">
        <v>0</v>
      </c>
      <c r="BK724" s="88">
        <v>0</v>
      </c>
      <c r="BS724" s="88">
        <v>0</v>
      </c>
      <c r="BV724" s="89">
        <v>105624</v>
      </c>
      <c r="BW724" s="89">
        <v>65880</v>
      </c>
      <c r="BX724" s="89">
        <v>43532</v>
      </c>
      <c r="BY724" s="89">
        <v>39744</v>
      </c>
      <c r="BZ724" s="112">
        <v>37.627811860940696</v>
      </c>
      <c r="CK724" s="88">
        <v>6300</v>
      </c>
    </row>
    <row r="725" spans="1:89" x14ac:dyDescent="0.15">
      <c r="A725" s="84">
        <v>2</v>
      </c>
      <c r="B725" s="85">
        <v>43570</v>
      </c>
      <c r="C725" s="85">
        <v>43581</v>
      </c>
      <c r="D725" s="85">
        <v>43612</v>
      </c>
      <c r="E725" s="85">
        <v>43593</v>
      </c>
      <c r="F725" s="85">
        <v>43588</v>
      </c>
      <c r="G725" s="85">
        <v>43581</v>
      </c>
      <c r="H725" s="85">
        <v>43584</v>
      </c>
      <c r="I725" s="84" t="s">
        <v>401</v>
      </c>
      <c r="J725" s="84">
        <v>1</v>
      </c>
      <c r="L725" s="84">
        <v>0</v>
      </c>
      <c r="M725" s="85">
        <v>43532</v>
      </c>
      <c r="N725" s="85" t="s">
        <v>265</v>
      </c>
      <c r="O725" s="86" t="s">
        <v>340</v>
      </c>
      <c r="P725" s="84" t="s">
        <v>26</v>
      </c>
      <c r="Q725" s="86" t="s">
        <v>137</v>
      </c>
      <c r="R725" s="86" t="s">
        <v>2296</v>
      </c>
      <c r="S725" s="87" t="s">
        <v>2021</v>
      </c>
      <c r="T725" s="87" t="s">
        <v>2297</v>
      </c>
      <c r="U725" s="88">
        <v>73200</v>
      </c>
      <c r="V725" s="88">
        <v>79056</v>
      </c>
      <c r="W725" s="88">
        <v>47000</v>
      </c>
      <c r="X725" s="88">
        <v>50760</v>
      </c>
      <c r="Y725" s="88">
        <v>26200</v>
      </c>
      <c r="Z725" s="88">
        <v>28296</v>
      </c>
      <c r="AA725" s="85">
        <v>43580</v>
      </c>
      <c r="AB725" s="85">
        <v>43581</v>
      </c>
      <c r="AC725" s="85">
        <v>43581</v>
      </c>
      <c r="AD725" s="84">
        <v>0</v>
      </c>
      <c r="AG725" s="84">
        <v>0</v>
      </c>
      <c r="AJ725" s="84">
        <v>0</v>
      </c>
      <c r="AM725" s="84" t="s">
        <v>290</v>
      </c>
      <c r="AN725" s="84" t="s">
        <v>2298</v>
      </c>
      <c r="AR725" s="85">
        <v>43556</v>
      </c>
      <c r="AS725" s="84">
        <v>6001662513</v>
      </c>
      <c r="AT725" s="85">
        <v>43556</v>
      </c>
      <c r="AU725" s="84" t="s">
        <v>2213</v>
      </c>
      <c r="AV725" s="85">
        <v>43581</v>
      </c>
      <c r="AW725" s="123">
        <v>43585</v>
      </c>
      <c r="AX725" s="123">
        <v>43605</v>
      </c>
      <c r="AY725" s="132">
        <v>70272</v>
      </c>
      <c r="AZ725" s="132">
        <f>ROUNDDOWN(AY725+(AY725*MASTER!$A$2/100),0)</f>
        <v>75893</v>
      </c>
      <c r="BA725" s="84" t="s">
        <v>543</v>
      </c>
      <c r="BB725" s="88">
        <v>21000</v>
      </c>
      <c r="BC725" s="88">
        <v>22680</v>
      </c>
      <c r="BD725" s="84" t="s">
        <v>2197</v>
      </c>
      <c r="BG725" s="88">
        <v>0</v>
      </c>
      <c r="BI725" s="84" t="s">
        <v>434</v>
      </c>
      <c r="BJ725" s="88">
        <v>17030</v>
      </c>
      <c r="BK725" s="88">
        <v>18392.400000000001</v>
      </c>
      <c r="BL725" s="84" t="s">
        <v>2197</v>
      </c>
      <c r="BS725" s="88">
        <v>0</v>
      </c>
      <c r="BV725" s="89">
        <v>50760</v>
      </c>
      <c r="BW725" s="89">
        <v>41072.400000000001</v>
      </c>
      <c r="BX725" s="89">
        <v>43532</v>
      </c>
      <c r="BY725" s="89">
        <v>9687.6</v>
      </c>
      <c r="BZ725" s="112">
        <v>19.085106382978719</v>
      </c>
      <c r="CK725" s="88">
        <v>0</v>
      </c>
    </row>
    <row r="726" spans="1:89" x14ac:dyDescent="0.15">
      <c r="A726" s="84">
        <v>2</v>
      </c>
      <c r="B726" s="85">
        <v>43570</v>
      </c>
      <c r="C726" s="85">
        <v>43582</v>
      </c>
      <c r="D726" s="85">
        <v>43610</v>
      </c>
      <c r="E726" s="85">
        <v>43593</v>
      </c>
      <c r="F726" s="85">
        <v>43589</v>
      </c>
      <c r="G726" s="85">
        <v>43581</v>
      </c>
      <c r="H726" s="85">
        <v>43585</v>
      </c>
      <c r="I726" s="84" t="s">
        <v>401</v>
      </c>
      <c r="J726" s="84">
        <v>1</v>
      </c>
      <c r="L726" s="84">
        <v>0</v>
      </c>
      <c r="M726" s="85">
        <v>43532</v>
      </c>
      <c r="N726" s="85" t="s">
        <v>265</v>
      </c>
      <c r="O726" s="86" t="s">
        <v>340</v>
      </c>
      <c r="P726" s="84" t="s">
        <v>26</v>
      </c>
      <c r="Q726" s="86" t="s">
        <v>137</v>
      </c>
      <c r="R726" s="86" t="s">
        <v>2299</v>
      </c>
      <c r="S726" s="87" t="s">
        <v>705</v>
      </c>
      <c r="T726" s="87" t="s">
        <v>636</v>
      </c>
      <c r="U726" s="88">
        <v>73200</v>
      </c>
      <c r="V726" s="88">
        <v>79056</v>
      </c>
      <c r="W726" s="88">
        <v>47000</v>
      </c>
      <c r="X726" s="88">
        <v>50760</v>
      </c>
      <c r="Y726" s="88">
        <v>26200</v>
      </c>
      <c r="Z726" s="88">
        <v>28296</v>
      </c>
      <c r="AA726" s="85">
        <v>43580</v>
      </c>
      <c r="AB726" s="85">
        <v>43582</v>
      </c>
      <c r="AC726" s="85">
        <v>43582</v>
      </c>
      <c r="AD726" s="84">
        <v>0</v>
      </c>
      <c r="AG726" s="84">
        <v>0</v>
      </c>
      <c r="AJ726" s="84">
        <v>0</v>
      </c>
      <c r="AM726" s="84" t="s">
        <v>290</v>
      </c>
      <c r="AN726" s="84" t="s">
        <v>2300</v>
      </c>
      <c r="AR726" s="85">
        <v>43556</v>
      </c>
      <c r="AS726" s="84">
        <v>6001662513</v>
      </c>
      <c r="AT726" s="85">
        <v>43556</v>
      </c>
      <c r="AU726" s="84" t="s">
        <v>2213</v>
      </c>
      <c r="AV726" s="85">
        <v>43582</v>
      </c>
      <c r="AW726" s="123">
        <v>43585</v>
      </c>
      <c r="AX726" s="123">
        <v>43605</v>
      </c>
      <c r="AY726" s="132">
        <v>70272</v>
      </c>
      <c r="AZ726" s="132">
        <f>ROUNDDOWN(AY726+(AY726*MASTER!$A$2/100),0)</f>
        <v>75893</v>
      </c>
      <c r="BA726" s="84" t="s">
        <v>286</v>
      </c>
      <c r="BB726" s="88">
        <v>24000</v>
      </c>
      <c r="BC726" s="88">
        <v>25920</v>
      </c>
      <c r="BD726" s="84" t="s">
        <v>2197</v>
      </c>
      <c r="BG726" s="88">
        <v>0</v>
      </c>
      <c r="BI726" s="84" t="s">
        <v>434</v>
      </c>
      <c r="BJ726" s="88">
        <v>17030</v>
      </c>
      <c r="BK726" s="88">
        <v>18392.400000000001</v>
      </c>
      <c r="BL726" s="84" t="s">
        <v>2197</v>
      </c>
      <c r="BS726" s="88">
        <v>0</v>
      </c>
      <c r="BV726" s="89">
        <v>50760</v>
      </c>
      <c r="BW726" s="89">
        <v>44312.4</v>
      </c>
      <c r="BX726" s="89">
        <v>43532</v>
      </c>
      <c r="BY726" s="89">
        <v>6447.6</v>
      </c>
      <c r="BZ726" s="112">
        <v>12.702127659574467</v>
      </c>
      <c r="CK726" s="88">
        <v>0</v>
      </c>
    </row>
    <row r="727" spans="1:89" x14ac:dyDescent="0.15">
      <c r="A727" s="84">
        <v>2</v>
      </c>
      <c r="B727" s="85">
        <v>43564</v>
      </c>
      <c r="C727" s="85">
        <v>43574</v>
      </c>
      <c r="D727" s="85">
        <v>43581</v>
      </c>
      <c r="E727" s="85">
        <v>43575</v>
      </c>
      <c r="F727" s="85">
        <v>43580</v>
      </c>
      <c r="G727" s="85">
        <v>43573</v>
      </c>
      <c r="H727" s="85">
        <v>43576</v>
      </c>
      <c r="I727" s="84" t="s">
        <v>401</v>
      </c>
      <c r="J727" s="84">
        <v>1</v>
      </c>
      <c r="L727" s="84">
        <v>0</v>
      </c>
      <c r="M727" s="85">
        <v>43532</v>
      </c>
      <c r="N727" s="85" t="s">
        <v>265</v>
      </c>
      <c r="O727" s="86" t="s">
        <v>340</v>
      </c>
      <c r="P727" s="84" t="s">
        <v>26</v>
      </c>
      <c r="Q727" s="86" t="s">
        <v>137</v>
      </c>
      <c r="R727" s="86" t="s">
        <v>2301</v>
      </c>
      <c r="S727" s="87" t="s">
        <v>1891</v>
      </c>
      <c r="T727" s="87" t="s">
        <v>1371</v>
      </c>
      <c r="U727" s="88">
        <v>59000</v>
      </c>
      <c r="V727" s="88">
        <v>63720</v>
      </c>
      <c r="W727" s="88">
        <v>47000</v>
      </c>
      <c r="X727" s="88">
        <v>50760</v>
      </c>
      <c r="Y727" s="88">
        <v>12000</v>
      </c>
      <c r="Z727" s="88">
        <v>12960</v>
      </c>
      <c r="AA727" s="85">
        <v>43572</v>
      </c>
      <c r="AB727" s="85">
        <v>43573</v>
      </c>
      <c r="AC727" s="85">
        <v>43573</v>
      </c>
      <c r="AD727" s="84">
        <v>0</v>
      </c>
      <c r="AG727" s="84">
        <v>0</v>
      </c>
      <c r="AJ727" s="84">
        <v>0</v>
      </c>
      <c r="AM727" s="84" t="s">
        <v>290</v>
      </c>
      <c r="AN727" s="84" t="s">
        <v>2302</v>
      </c>
      <c r="AR727" s="85">
        <v>43563</v>
      </c>
      <c r="AS727" s="84">
        <v>6001664890</v>
      </c>
      <c r="AT727" s="85">
        <v>43563</v>
      </c>
      <c r="AU727" s="84" t="s">
        <v>1692</v>
      </c>
      <c r="AV727" s="85">
        <v>43574</v>
      </c>
      <c r="AW727" s="123">
        <v>43585</v>
      </c>
      <c r="AX727" s="123">
        <v>43605</v>
      </c>
      <c r="AY727" s="132">
        <v>56640</v>
      </c>
      <c r="AZ727" s="132">
        <f>ROUNDDOWN(AY727+(AY727*MASTER!$A$2/100),0)</f>
        <v>61171</v>
      </c>
      <c r="BA727" s="84" t="s">
        <v>543</v>
      </c>
      <c r="BB727" s="88">
        <v>33000</v>
      </c>
      <c r="BC727" s="88">
        <v>35640</v>
      </c>
      <c r="BD727" s="84" t="s">
        <v>1579</v>
      </c>
      <c r="BG727" s="88">
        <v>0</v>
      </c>
      <c r="BI727" s="84" t="s">
        <v>276</v>
      </c>
      <c r="BJ727" s="88">
        <v>7800</v>
      </c>
      <c r="BK727" s="88">
        <v>8424</v>
      </c>
      <c r="BL727" s="84" t="s">
        <v>1659</v>
      </c>
      <c r="BS727" s="88">
        <v>0</v>
      </c>
      <c r="BV727" s="89">
        <v>50760</v>
      </c>
      <c r="BW727" s="89">
        <v>44064</v>
      </c>
      <c r="BX727" s="89">
        <v>43532</v>
      </c>
      <c r="BY727" s="89">
        <v>6696</v>
      </c>
      <c r="BZ727" s="112">
        <v>13.191489361702127</v>
      </c>
      <c r="CK727" s="88">
        <v>0</v>
      </c>
    </row>
    <row r="728" spans="1:89" x14ac:dyDescent="0.15">
      <c r="A728" s="84">
        <v>2</v>
      </c>
      <c r="B728" s="85">
        <v>43570</v>
      </c>
      <c r="C728" s="85">
        <v>43582</v>
      </c>
      <c r="D728" s="85">
        <v>43622</v>
      </c>
      <c r="E728" s="85">
        <v>43596</v>
      </c>
      <c r="F728" s="85">
        <v>43589</v>
      </c>
      <c r="G728" s="85">
        <v>43592</v>
      </c>
      <c r="H728" s="85">
        <v>43585</v>
      </c>
      <c r="I728" s="84" t="s">
        <v>1191</v>
      </c>
      <c r="J728" s="84">
        <v>1</v>
      </c>
      <c r="L728" s="84">
        <v>0</v>
      </c>
      <c r="M728" s="85">
        <v>43532</v>
      </c>
      <c r="N728" s="85" t="s">
        <v>265</v>
      </c>
      <c r="O728" s="86" t="s">
        <v>340</v>
      </c>
      <c r="P728" s="84" t="s">
        <v>26</v>
      </c>
      <c r="Q728" s="86" t="s">
        <v>137</v>
      </c>
      <c r="R728" s="86" t="s">
        <v>2303</v>
      </c>
      <c r="S728" s="87" t="s">
        <v>1979</v>
      </c>
      <c r="T728" s="87" t="s">
        <v>2304</v>
      </c>
      <c r="U728" s="88">
        <v>187000</v>
      </c>
      <c r="V728" s="88">
        <v>201960</v>
      </c>
      <c r="W728" s="88">
        <v>92300</v>
      </c>
      <c r="X728" s="88">
        <v>99684</v>
      </c>
      <c r="Y728" s="88">
        <v>94700</v>
      </c>
      <c r="Z728" s="88">
        <v>102276</v>
      </c>
      <c r="AA728" s="85">
        <v>43580</v>
      </c>
      <c r="AB728" s="85">
        <v>43582</v>
      </c>
      <c r="AC728" s="85">
        <v>43582</v>
      </c>
      <c r="AD728" s="84">
        <v>0</v>
      </c>
      <c r="AG728" s="84">
        <v>0</v>
      </c>
      <c r="AJ728" s="84">
        <v>0</v>
      </c>
      <c r="AM728" s="84" t="s">
        <v>290</v>
      </c>
      <c r="AN728" s="84" t="s">
        <v>2305</v>
      </c>
      <c r="AR728" s="85">
        <v>43556</v>
      </c>
      <c r="AS728" s="84">
        <v>6001662513</v>
      </c>
      <c r="AT728" s="85">
        <v>43556</v>
      </c>
      <c r="AU728" s="84" t="s">
        <v>2213</v>
      </c>
      <c r="AV728" s="85">
        <v>43582</v>
      </c>
      <c r="AW728" s="123">
        <v>43585</v>
      </c>
      <c r="AX728" s="123">
        <v>43605</v>
      </c>
      <c r="AY728" s="132">
        <v>179520</v>
      </c>
      <c r="AZ728" s="132">
        <f>ROUNDDOWN(AY728+(AY728*MASTER!$A$2/100),0)</f>
        <v>193881</v>
      </c>
      <c r="BA728" s="84" t="s">
        <v>287</v>
      </c>
      <c r="BB728" s="88">
        <v>66000</v>
      </c>
      <c r="BC728" s="88">
        <v>71280</v>
      </c>
      <c r="BD728" s="84" t="s">
        <v>2197</v>
      </c>
      <c r="BG728" s="88">
        <v>0</v>
      </c>
      <c r="BI728" s="84" t="s">
        <v>434</v>
      </c>
      <c r="BJ728" s="88">
        <v>61555</v>
      </c>
      <c r="BK728" s="88">
        <v>66479.399999999994</v>
      </c>
      <c r="BL728" s="84" t="s">
        <v>2197</v>
      </c>
      <c r="BS728" s="88">
        <v>0</v>
      </c>
      <c r="BV728" s="89">
        <v>99684</v>
      </c>
      <c r="BW728" s="89">
        <v>137759.4</v>
      </c>
      <c r="BX728" s="89">
        <v>43532</v>
      </c>
      <c r="BY728" s="89">
        <v>-38075.4</v>
      </c>
      <c r="BZ728" s="112">
        <v>-38.196099674972913</v>
      </c>
      <c r="CK728" s="88">
        <v>6300</v>
      </c>
    </row>
    <row r="729" spans="1:89" x14ac:dyDescent="0.15">
      <c r="A729" s="84">
        <v>1</v>
      </c>
      <c r="B729" s="85">
        <v>43537</v>
      </c>
      <c r="C729" s="85">
        <v>43554</v>
      </c>
      <c r="F729" s="85" t="s">
        <v>338</v>
      </c>
      <c r="H729" s="85" t="s">
        <v>338</v>
      </c>
      <c r="J729" s="84">
        <v>2</v>
      </c>
      <c r="L729" s="84">
        <v>0</v>
      </c>
      <c r="M729" s="85">
        <v>43532</v>
      </c>
      <c r="N729" s="85" t="s">
        <v>265</v>
      </c>
      <c r="O729" s="86" t="s">
        <v>340</v>
      </c>
      <c r="P729" s="84" t="s">
        <v>272</v>
      </c>
      <c r="Q729" s="86" t="s">
        <v>137</v>
      </c>
      <c r="R729" s="86" t="s">
        <v>2306</v>
      </c>
      <c r="S729" s="87" t="s">
        <v>351</v>
      </c>
      <c r="T729" s="87" t="s">
        <v>2307</v>
      </c>
      <c r="U729" s="88">
        <v>50000</v>
      </c>
      <c r="V729" s="88">
        <v>54000</v>
      </c>
      <c r="W729" s="88">
        <v>50000</v>
      </c>
      <c r="X729" s="88">
        <v>54000</v>
      </c>
      <c r="Z729" s="88">
        <v>0</v>
      </c>
      <c r="AA729" s="85" t="s">
        <v>1579</v>
      </c>
      <c r="AD729" s="84">
        <v>0</v>
      </c>
      <c r="AG729" s="84">
        <v>0</v>
      </c>
      <c r="AJ729" s="84">
        <v>0</v>
      </c>
      <c r="AR729" s="85">
        <v>43535</v>
      </c>
      <c r="AS729" s="84">
        <v>6001655856</v>
      </c>
      <c r="AT729" s="85">
        <v>43536</v>
      </c>
      <c r="AU729" s="84" t="s">
        <v>1930</v>
      </c>
      <c r="AV729" s="85">
        <v>43554</v>
      </c>
      <c r="AW729" s="123">
        <v>43555</v>
      </c>
      <c r="AX729" s="123">
        <v>43575</v>
      </c>
      <c r="AY729" s="132">
        <v>48000</v>
      </c>
      <c r="AZ729" s="132">
        <f>ROUNDDOWN(AY729+(AY729*MASTER!$A$2/100),0)</f>
        <v>51840</v>
      </c>
      <c r="BC729" s="88">
        <v>0</v>
      </c>
      <c r="BG729" s="88">
        <v>0</v>
      </c>
      <c r="BK729" s="88">
        <v>0</v>
      </c>
      <c r="BS729" s="88">
        <v>0</v>
      </c>
      <c r="BV729" s="89">
        <v>54000</v>
      </c>
      <c r="BW729" s="89">
        <v>0</v>
      </c>
      <c r="BX729" s="89">
        <v>43532</v>
      </c>
      <c r="BY729" s="89">
        <v>54000</v>
      </c>
      <c r="BZ729" s="112">
        <v>100</v>
      </c>
    </row>
    <row r="730" spans="1:89" x14ac:dyDescent="0.15">
      <c r="A730" s="84">
        <v>1</v>
      </c>
      <c r="B730" s="85">
        <v>43542</v>
      </c>
      <c r="C730" s="85">
        <v>43548</v>
      </c>
      <c r="F730" s="85" t="s">
        <v>338</v>
      </c>
      <c r="H730" s="85" t="s">
        <v>338</v>
      </c>
      <c r="J730" s="84">
        <v>2</v>
      </c>
      <c r="L730" s="84">
        <v>0</v>
      </c>
      <c r="M730" s="85">
        <v>43532</v>
      </c>
      <c r="N730" s="85" t="s">
        <v>265</v>
      </c>
      <c r="O730" s="86" t="s">
        <v>340</v>
      </c>
      <c r="P730" s="84" t="s">
        <v>78</v>
      </c>
      <c r="Q730" s="86" t="s">
        <v>137</v>
      </c>
      <c r="R730" s="86" t="s">
        <v>2308</v>
      </c>
      <c r="S730" s="87" t="s">
        <v>1154</v>
      </c>
      <c r="T730" s="87" t="s">
        <v>726</v>
      </c>
      <c r="U730" s="88">
        <v>65000</v>
      </c>
      <c r="V730" s="88">
        <v>70200</v>
      </c>
      <c r="W730" s="88">
        <v>65000</v>
      </c>
      <c r="X730" s="88">
        <v>70200</v>
      </c>
      <c r="Z730" s="88">
        <v>0</v>
      </c>
      <c r="AA730" s="85">
        <v>43547</v>
      </c>
      <c r="AB730" s="85">
        <v>43548</v>
      </c>
      <c r="AD730" s="84">
        <v>0</v>
      </c>
      <c r="AG730" s="84">
        <v>0</v>
      </c>
      <c r="AJ730" s="84">
        <v>0</v>
      </c>
      <c r="AN730" s="84" t="s">
        <v>338</v>
      </c>
      <c r="AR730" s="85">
        <v>43537</v>
      </c>
      <c r="AS730" s="84">
        <v>6001656833</v>
      </c>
      <c r="AT730" s="85">
        <v>43538</v>
      </c>
      <c r="AU730" s="84" t="s">
        <v>2309</v>
      </c>
      <c r="AV730" s="85">
        <v>43548</v>
      </c>
      <c r="AW730" s="123">
        <v>43555</v>
      </c>
      <c r="AX730" s="123">
        <v>43575</v>
      </c>
      <c r="AY730" s="132">
        <v>62400</v>
      </c>
      <c r="AZ730" s="132">
        <f>ROUNDDOWN(AY730+(AY730*MASTER!$A$2/100),0)</f>
        <v>67392</v>
      </c>
      <c r="BC730" s="88">
        <v>0</v>
      </c>
      <c r="BG730" s="88">
        <v>0</v>
      </c>
      <c r="BK730" s="88">
        <v>0</v>
      </c>
      <c r="BS730" s="88">
        <v>0</v>
      </c>
      <c r="BV730" s="89">
        <v>70200</v>
      </c>
      <c r="BW730" s="89">
        <v>0</v>
      </c>
      <c r="BX730" s="89">
        <v>43532</v>
      </c>
      <c r="BY730" s="89">
        <v>70200</v>
      </c>
      <c r="BZ730" s="112">
        <v>100</v>
      </c>
      <c r="CK730" s="88">
        <v>0</v>
      </c>
    </row>
    <row r="731" spans="1:89" x14ac:dyDescent="0.15">
      <c r="A731" s="84">
        <v>1</v>
      </c>
      <c r="B731" s="85">
        <v>43537</v>
      </c>
      <c r="C731" s="85">
        <v>43544</v>
      </c>
      <c r="F731" s="85" t="s">
        <v>338</v>
      </c>
      <c r="H731" s="85" t="s">
        <v>338</v>
      </c>
      <c r="J731" s="84">
        <v>2</v>
      </c>
      <c r="L731" s="84">
        <v>0</v>
      </c>
      <c r="M731" s="85">
        <v>43532</v>
      </c>
      <c r="N731" s="85" t="s">
        <v>265</v>
      </c>
      <c r="O731" s="86" t="s">
        <v>340</v>
      </c>
      <c r="P731" s="84" t="s">
        <v>78</v>
      </c>
      <c r="Q731" s="86" t="s">
        <v>137</v>
      </c>
      <c r="R731" s="86" t="s">
        <v>2310</v>
      </c>
      <c r="S731" s="87" t="s">
        <v>566</v>
      </c>
      <c r="T731" s="87" t="s">
        <v>726</v>
      </c>
      <c r="U731" s="88">
        <v>65000</v>
      </c>
      <c r="V731" s="88">
        <v>70200</v>
      </c>
      <c r="W731" s="88">
        <v>65000</v>
      </c>
      <c r="X731" s="88">
        <v>70200</v>
      </c>
      <c r="Z731" s="88">
        <v>0</v>
      </c>
      <c r="AA731" s="85">
        <v>43543</v>
      </c>
      <c r="AB731" s="85">
        <v>43544</v>
      </c>
      <c r="AD731" s="84">
        <v>0</v>
      </c>
      <c r="AG731" s="84">
        <v>0</v>
      </c>
      <c r="AJ731" s="84">
        <v>0</v>
      </c>
      <c r="AN731" s="84" t="s">
        <v>338</v>
      </c>
      <c r="AR731" s="85">
        <v>43536</v>
      </c>
      <c r="AS731" s="84">
        <v>6001656350</v>
      </c>
      <c r="AT731" s="85">
        <v>43536</v>
      </c>
      <c r="AU731" s="84" t="s">
        <v>2093</v>
      </c>
      <c r="AV731" s="85">
        <v>43544</v>
      </c>
      <c r="AW731" s="123">
        <v>43555</v>
      </c>
      <c r="AX731" s="123">
        <v>43575</v>
      </c>
      <c r="AY731" s="132">
        <v>62400</v>
      </c>
      <c r="AZ731" s="132">
        <f>ROUNDDOWN(AY731+(AY731*MASTER!$A$2/100),0)</f>
        <v>67392</v>
      </c>
      <c r="BC731" s="88">
        <v>0</v>
      </c>
      <c r="BG731" s="88">
        <v>0</v>
      </c>
      <c r="BK731" s="88">
        <v>0</v>
      </c>
      <c r="BS731" s="88">
        <v>0</v>
      </c>
      <c r="BV731" s="89">
        <v>70200</v>
      </c>
      <c r="BW731" s="89">
        <v>0</v>
      </c>
      <c r="BX731" s="89">
        <v>43532</v>
      </c>
      <c r="BY731" s="89">
        <v>70200</v>
      </c>
      <c r="BZ731" s="112">
        <v>100</v>
      </c>
      <c r="CK731" s="88">
        <v>0</v>
      </c>
    </row>
    <row r="732" spans="1:89" x14ac:dyDescent="0.15">
      <c r="A732" s="84">
        <v>1</v>
      </c>
      <c r="B732" s="85">
        <v>43537</v>
      </c>
      <c r="C732" s="85">
        <v>43545</v>
      </c>
      <c r="F732" s="85" t="s">
        <v>338</v>
      </c>
      <c r="H732" s="85" t="s">
        <v>338</v>
      </c>
      <c r="J732" s="84">
        <v>2</v>
      </c>
      <c r="L732" s="84">
        <v>0</v>
      </c>
      <c r="M732" s="85">
        <v>43532</v>
      </c>
      <c r="N732" s="85" t="s">
        <v>265</v>
      </c>
      <c r="O732" s="86" t="s">
        <v>340</v>
      </c>
      <c r="P732" s="84" t="s">
        <v>78</v>
      </c>
      <c r="Q732" s="86" t="s">
        <v>137</v>
      </c>
      <c r="R732" s="86" t="s">
        <v>2311</v>
      </c>
      <c r="S732" s="87" t="s">
        <v>415</v>
      </c>
      <c r="T732" s="87" t="s">
        <v>726</v>
      </c>
      <c r="U732" s="88">
        <v>65000</v>
      </c>
      <c r="V732" s="88">
        <v>70200</v>
      </c>
      <c r="W732" s="88">
        <v>65000</v>
      </c>
      <c r="X732" s="88">
        <v>70200</v>
      </c>
      <c r="Z732" s="88">
        <v>0</v>
      </c>
      <c r="AA732" s="85">
        <v>43544</v>
      </c>
      <c r="AB732" s="85">
        <v>43545</v>
      </c>
      <c r="AD732" s="84">
        <v>0</v>
      </c>
      <c r="AG732" s="84">
        <v>0</v>
      </c>
      <c r="AJ732" s="84">
        <v>0</v>
      </c>
      <c r="AN732" s="84" t="s">
        <v>338</v>
      </c>
      <c r="AR732" s="85">
        <v>43535</v>
      </c>
      <c r="AS732" s="84">
        <v>6001655856</v>
      </c>
      <c r="AT732" s="85">
        <v>43536</v>
      </c>
      <c r="AU732" s="84" t="s">
        <v>1930</v>
      </c>
      <c r="AV732" s="85">
        <v>43545</v>
      </c>
      <c r="AW732" s="123">
        <v>43555</v>
      </c>
      <c r="AX732" s="123">
        <v>43575</v>
      </c>
      <c r="AY732" s="132">
        <v>62400</v>
      </c>
      <c r="AZ732" s="132">
        <f>ROUNDDOWN(AY732+(AY732*MASTER!$A$2/100),0)</f>
        <v>67392</v>
      </c>
      <c r="BC732" s="88">
        <v>0</v>
      </c>
      <c r="BG732" s="88">
        <v>0</v>
      </c>
      <c r="BK732" s="88">
        <v>0</v>
      </c>
      <c r="BS732" s="88">
        <v>0</v>
      </c>
      <c r="BV732" s="89">
        <v>70200</v>
      </c>
      <c r="BW732" s="89">
        <v>0</v>
      </c>
      <c r="BX732" s="89">
        <v>43532</v>
      </c>
      <c r="BY732" s="89">
        <v>70200</v>
      </c>
      <c r="BZ732" s="112">
        <v>100</v>
      </c>
      <c r="CK732" s="88">
        <v>0</v>
      </c>
    </row>
    <row r="733" spans="1:89" x14ac:dyDescent="0.15">
      <c r="A733" s="84">
        <v>1</v>
      </c>
      <c r="B733" s="85">
        <v>43535</v>
      </c>
      <c r="C733" s="85">
        <v>43538</v>
      </c>
      <c r="F733" s="85" t="s">
        <v>338</v>
      </c>
      <c r="H733" s="85" t="s">
        <v>338</v>
      </c>
      <c r="J733" s="84">
        <v>2</v>
      </c>
      <c r="L733" s="84">
        <v>0</v>
      </c>
      <c r="M733" s="85">
        <v>43532</v>
      </c>
      <c r="N733" s="85" t="s">
        <v>265</v>
      </c>
      <c r="O733" s="86" t="s">
        <v>340</v>
      </c>
      <c r="P733" s="84" t="s">
        <v>78</v>
      </c>
      <c r="Q733" s="86" t="s">
        <v>137</v>
      </c>
      <c r="R733" s="86" t="s">
        <v>2312</v>
      </c>
      <c r="S733" s="87" t="s">
        <v>407</v>
      </c>
      <c r="T733" s="87" t="s">
        <v>408</v>
      </c>
      <c r="U733" s="88">
        <v>8300</v>
      </c>
      <c r="V733" s="88">
        <v>8964</v>
      </c>
      <c r="W733" s="88">
        <v>8300</v>
      </c>
      <c r="X733" s="88">
        <v>8964</v>
      </c>
      <c r="Z733" s="88">
        <v>0</v>
      </c>
      <c r="AD733" s="84">
        <v>0</v>
      </c>
      <c r="AG733" s="84">
        <v>0</v>
      </c>
      <c r="AJ733" s="84">
        <v>0</v>
      </c>
      <c r="AR733" s="85">
        <v>43532</v>
      </c>
      <c r="AS733" s="84">
        <v>6001655432</v>
      </c>
      <c r="AT733" s="85">
        <v>43532</v>
      </c>
      <c r="AU733" s="84" t="s">
        <v>2313</v>
      </c>
      <c r="AV733" s="85">
        <v>43538</v>
      </c>
      <c r="AW733" s="123">
        <v>43555</v>
      </c>
      <c r="AX733" s="123">
        <v>43575</v>
      </c>
      <c r="AY733" s="132">
        <v>7968</v>
      </c>
      <c r="AZ733" s="132">
        <f>ROUNDDOWN(AY733+(AY733*MASTER!$A$2/100),0)</f>
        <v>8605</v>
      </c>
      <c r="BC733" s="88">
        <v>0</v>
      </c>
      <c r="BG733" s="88">
        <v>0</v>
      </c>
      <c r="BK733" s="88">
        <v>0</v>
      </c>
      <c r="BS733" s="88">
        <v>0</v>
      </c>
      <c r="BV733" s="89">
        <v>8964</v>
      </c>
      <c r="BW733" s="89">
        <v>0</v>
      </c>
      <c r="BX733" s="89">
        <v>43532</v>
      </c>
      <c r="BY733" s="89">
        <v>8964</v>
      </c>
      <c r="BZ733" s="112">
        <v>100</v>
      </c>
      <c r="CK733" s="88">
        <v>0</v>
      </c>
    </row>
    <row r="734" spans="1:89" x14ac:dyDescent="0.15">
      <c r="A734" s="84">
        <v>2</v>
      </c>
      <c r="B734" s="85">
        <v>43570</v>
      </c>
      <c r="C734" s="85">
        <v>43582</v>
      </c>
      <c r="D734" s="85">
        <v>43598</v>
      </c>
      <c r="E734" s="85">
        <v>43593</v>
      </c>
      <c r="F734" s="85">
        <v>43589</v>
      </c>
      <c r="G734" s="85">
        <v>43581</v>
      </c>
      <c r="H734" s="85">
        <v>43585</v>
      </c>
      <c r="I734" s="84" t="s">
        <v>401</v>
      </c>
      <c r="J734" s="84">
        <v>1</v>
      </c>
      <c r="L734" s="84">
        <v>0</v>
      </c>
      <c r="M734" s="85">
        <v>43535</v>
      </c>
      <c r="N734" s="85" t="s">
        <v>265</v>
      </c>
      <c r="O734" s="86" t="s">
        <v>340</v>
      </c>
      <c r="P734" s="84" t="s">
        <v>26</v>
      </c>
      <c r="Q734" s="86" t="s">
        <v>137</v>
      </c>
      <c r="R734" s="86" t="s">
        <v>2314</v>
      </c>
      <c r="S734" s="87" t="s">
        <v>2199</v>
      </c>
      <c r="T734" s="87" t="s">
        <v>2315</v>
      </c>
      <c r="U734" s="88">
        <v>212000</v>
      </c>
      <c r="V734" s="88">
        <v>228960</v>
      </c>
      <c r="W734" s="88">
        <v>117300</v>
      </c>
      <c r="X734" s="88">
        <v>126684</v>
      </c>
      <c r="Y734" s="88">
        <v>94700</v>
      </c>
      <c r="Z734" s="88">
        <v>102276</v>
      </c>
      <c r="AA734" s="85">
        <v>43580</v>
      </c>
      <c r="AB734" s="85">
        <v>43582</v>
      </c>
      <c r="AC734" s="85">
        <v>43582</v>
      </c>
      <c r="AD734" s="84">
        <v>0</v>
      </c>
      <c r="AG734" s="84">
        <v>0</v>
      </c>
      <c r="AJ734" s="84">
        <v>0</v>
      </c>
      <c r="AM734" s="84" t="s">
        <v>290</v>
      </c>
      <c r="AN734" s="84" t="s">
        <v>2316</v>
      </c>
      <c r="AR734" s="85">
        <v>43556</v>
      </c>
      <c r="AS734" s="84">
        <v>6001662513</v>
      </c>
      <c r="AT734" s="85">
        <v>43556</v>
      </c>
      <c r="AU734" s="84" t="s">
        <v>2213</v>
      </c>
      <c r="AV734" s="85">
        <v>43582</v>
      </c>
      <c r="AW734" s="123">
        <v>43585</v>
      </c>
      <c r="AX734" s="123">
        <v>43605</v>
      </c>
      <c r="AY734" s="132">
        <v>203520</v>
      </c>
      <c r="AZ734" s="132">
        <f>ROUNDDOWN(AY734+(AY734*MASTER!$A$2/100),0)</f>
        <v>219801</v>
      </c>
      <c r="BA734" s="84" t="s">
        <v>745</v>
      </c>
      <c r="BB734" s="88">
        <v>30000</v>
      </c>
      <c r="BC734" s="88">
        <v>32400</v>
      </c>
      <c r="BD734" s="84" t="s">
        <v>1579</v>
      </c>
      <c r="BG734" s="88">
        <v>0</v>
      </c>
      <c r="BI734" s="84" t="s">
        <v>276</v>
      </c>
      <c r="BJ734" s="88">
        <v>61555</v>
      </c>
      <c r="BK734" s="88">
        <v>66479.399999999994</v>
      </c>
      <c r="BL734" s="84" t="s">
        <v>1645</v>
      </c>
      <c r="BS734" s="88">
        <v>0</v>
      </c>
      <c r="BV734" s="89">
        <v>126684</v>
      </c>
      <c r="BW734" s="89">
        <v>98879.4</v>
      </c>
      <c r="BX734" s="89">
        <v>43535</v>
      </c>
      <c r="BY734" s="89">
        <v>27804.6</v>
      </c>
      <c r="BZ734" s="112">
        <v>21.947996589940328</v>
      </c>
      <c r="CK734" s="88">
        <v>6300</v>
      </c>
    </row>
    <row r="735" spans="1:89" x14ac:dyDescent="0.15">
      <c r="A735" s="84">
        <v>2</v>
      </c>
      <c r="B735" s="85">
        <v>43570</v>
      </c>
      <c r="C735" s="85">
        <v>43582</v>
      </c>
      <c r="D735" s="85" t="s">
        <v>374</v>
      </c>
      <c r="E735" s="85">
        <v>43593</v>
      </c>
      <c r="F735" s="85">
        <v>43589</v>
      </c>
      <c r="G735" s="85">
        <v>43593</v>
      </c>
      <c r="H735" s="85">
        <v>43585</v>
      </c>
      <c r="I735" s="84" t="s">
        <v>401</v>
      </c>
      <c r="J735" s="84">
        <v>1</v>
      </c>
      <c r="L735" s="84">
        <v>0</v>
      </c>
      <c r="M735" s="85">
        <v>43535</v>
      </c>
      <c r="N735" s="85" t="s">
        <v>265</v>
      </c>
      <c r="O735" s="86" t="s">
        <v>340</v>
      </c>
      <c r="P735" s="84" t="s">
        <v>26</v>
      </c>
      <c r="Q735" s="86" t="s">
        <v>137</v>
      </c>
      <c r="R735" s="86" t="s">
        <v>2317</v>
      </c>
      <c r="S735" s="87" t="s">
        <v>575</v>
      </c>
      <c r="T735" s="87" t="s">
        <v>2318</v>
      </c>
      <c r="U735" s="88">
        <v>23900</v>
      </c>
      <c r="V735" s="88">
        <v>25812</v>
      </c>
      <c r="W735" s="88">
        <v>14700</v>
      </c>
      <c r="X735" s="88">
        <v>15876</v>
      </c>
      <c r="Y735" s="88">
        <v>9200</v>
      </c>
      <c r="Z735" s="88">
        <v>9936</v>
      </c>
      <c r="AA735" s="85">
        <v>43581</v>
      </c>
      <c r="AB735" s="85">
        <v>43582</v>
      </c>
      <c r="AC735" s="85">
        <v>43582</v>
      </c>
      <c r="AD735" s="84">
        <v>0</v>
      </c>
      <c r="AG735" s="84">
        <v>0</v>
      </c>
      <c r="AJ735" s="84">
        <v>0</v>
      </c>
      <c r="AM735" s="84" t="s">
        <v>290</v>
      </c>
      <c r="AN735" s="84" t="s">
        <v>2319</v>
      </c>
      <c r="AR735" s="85">
        <v>43556</v>
      </c>
      <c r="AS735" s="84">
        <v>6001662513</v>
      </c>
      <c r="AT735" s="85">
        <v>43556</v>
      </c>
      <c r="AU735" s="84" t="s">
        <v>2213</v>
      </c>
      <c r="AV735" s="85">
        <v>43582</v>
      </c>
      <c r="AW735" s="123">
        <v>43585</v>
      </c>
      <c r="AX735" s="123">
        <v>43605</v>
      </c>
      <c r="AY735" s="132">
        <v>22944</v>
      </c>
      <c r="AZ735" s="132">
        <f>ROUNDDOWN(AY735+(AY735*MASTER!$A$2/100),0)</f>
        <v>24779</v>
      </c>
      <c r="BA735" s="84" t="s">
        <v>778</v>
      </c>
      <c r="BC735" s="88">
        <v>0</v>
      </c>
      <c r="BG735" s="88">
        <v>0</v>
      </c>
      <c r="BI735" s="84" t="s">
        <v>276</v>
      </c>
      <c r="BJ735" s="88">
        <v>5980</v>
      </c>
      <c r="BK735" s="88">
        <v>6458.4</v>
      </c>
      <c r="BL735" s="84" t="s">
        <v>1645</v>
      </c>
      <c r="BS735" s="88">
        <v>0</v>
      </c>
      <c r="BV735" s="89">
        <v>15876</v>
      </c>
      <c r="BW735" s="89">
        <v>6458.4</v>
      </c>
      <c r="BX735" s="89">
        <v>43535</v>
      </c>
      <c r="BY735" s="89">
        <v>9417.6</v>
      </c>
      <c r="BZ735" s="112">
        <v>59.319727891156461</v>
      </c>
      <c r="CK735" s="88">
        <v>0</v>
      </c>
    </row>
    <row r="736" spans="1:89" x14ac:dyDescent="0.15">
      <c r="A736" s="84">
        <v>2</v>
      </c>
      <c r="B736" s="85">
        <v>43574</v>
      </c>
      <c r="C736" s="85">
        <v>43581</v>
      </c>
      <c r="D736" s="85" t="s">
        <v>374</v>
      </c>
      <c r="F736" s="85">
        <v>43588</v>
      </c>
      <c r="G736" s="85">
        <v>43592</v>
      </c>
      <c r="H736" s="85">
        <v>43584</v>
      </c>
      <c r="I736" s="84" t="s">
        <v>401</v>
      </c>
      <c r="J736" s="84">
        <v>1</v>
      </c>
      <c r="L736" s="84">
        <v>0</v>
      </c>
      <c r="M736" s="85">
        <v>43535</v>
      </c>
      <c r="N736" s="85" t="s">
        <v>265</v>
      </c>
      <c r="O736" s="86" t="s">
        <v>340</v>
      </c>
      <c r="P736" s="84" t="s">
        <v>26</v>
      </c>
      <c r="Q736" s="86" t="s">
        <v>137</v>
      </c>
      <c r="R736" s="86" t="s">
        <v>2320</v>
      </c>
      <c r="S736" s="87" t="s">
        <v>1523</v>
      </c>
      <c r="T736" s="87" t="s">
        <v>1089</v>
      </c>
      <c r="U736" s="88">
        <v>23900</v>
      </c>
      <c r="V736" s="88">
        <v>25812</v>
      </c>
      <c r="W736" s="88">
        <v>14700</v>
      </c>
      <c r="X736" s="88">
        <v>15876</v>
      </c>
      <c r="Y736" s="88">
        <v>9200</v>
      </c>
      <c r="Z736" s="88">
        <v>9936</v>
      </c>
      <c r="AA736" s="85">
        <v>43578</v>
      </c>
      <c r="AB736" s="85">
        <v>43581</v>
      </c>
      <c r="AC736" s="85">
        <v>43581</v>
      </c>
      <c r="AD736" s="84">
        <v>0</v>
      </c>
      <c r="AG736" s="84">
        <v>0</v>
      </c>
      <c r="AJ736" s="84">
        <v>0</v>
      </c>
      <c r="AM736" s="84" t="s">
        <v>290</v>
      </c>
      <c r="AN736" s="84" t="s">
        <v>2321</v>
      </c>
      <c r="AR736" s="85">
        <v>43572</v>
      </c>
      <c r="AS736" s="84">
        <v>6001667681</v>
      </c>
      <c r="AT736" s="85">
        <v>43573</v>
      </c>
      <c r="AU736" s="84" t="s">
        <v>2322</v>
      </c>
      <c r="AV736" s="85">
        <v>43581</v>
      </c>
      <c r="AW736" s="123">
        <v>43585</v>
      </c>
      <c r="AX736" s="123">
        <v>43605</v>
      </c>
      <c r="AY736" s="132">
        <v>22944</v>
      </c>
      <c r="AZ736" s="132">
        <f>ROUNDDOWN(AY736+(AY736*MASTER!$A$2/100),0)</f>
        <v>24779</v>
      </c>
      <c r="BA736" s="84" t="s">
        <v>778</v>
      </c>
      <c r="BC736" s="88">
        <v>0</v>
      </c>
      <c r="BG736" s="88">
        <v>0</v>
      </c>
      <c r="BI736" s="84" t="s">
        <v>276</v>
      </c>
      <c r="BJ736" s="88">
        <v>5980</v>
      </c>
      <c r="BK736" s="88">
        <v>6458.4</v>
      </c>
      <c r="BL736" s="84" t="s">
        <v>1645</v>
      </c>
      <c r="BS736" s="88">
        <v>0</v>
      </c>
      <c r="BV736" s="89">
        <v>15876</v>
      </c>
      <c r="BW736" s="89">
        <v>6458.4</v>
      </c>
      <c r="BX736" s="89">
        <v>43535</v>
      </c>
      <c r="BY736" s="89">
        <v>9417.6</v>
      </c>
      <c r="BZ736" s="112">
        <v>59.319727891156461</v>
      </c>
      <c r="CK736" s="88">
        <v>0</v>
      </c>
    </row>
    <row r="737" spans="1:89" x14ac:dyDescent="0.15">
      <c r="A737" s="84">
        <v>2</v>
      </c>
      <c r="B737" s="85">
        <v>43571</v>
      </c>
      <c r="C737" s="85">
        <v>43581</v>
      </c>
      <c r="D737" s="85">
        <v>43610</v>
      </c>
      <c r="E737" s="85">
        <v>43593</v>
      </c>
      <c r="F737" s="85">
        <v>43588</v>
      </c>
      <c r="G737" s="85">
        <v>43593</v>
      </c>
      <c r="H737" s="85">
        <v>43584</v>
      </c>
      <c r="I737" s="84" t="s">
        <v>401</v>
      </c>
      <c r="J737" s="84">
        <v>1</v>
      </c>
      <c r="L737" s="84">
        <v>0</v>
      </c>
      <c r="M737" s="85">
        <v>43535</v>
      </c>
      <c r="N737" s="85" t="s">
        <v>265</v>
      </c>
      <c r="O737" s="86" t="s">
        <v>340</v>
      </c>
      <c r="P737" s="84" t="s">
        <v>26</v>
      </c>
      <c r="Q737" s="86" t="s">
        <v>137</v>
      </c>
      <c r="R737" s="86" t="s">
        <v>2323</v>
      </c>
      <c r="S737" s="87" t="s">
        <v>1320</v>
      </c>
      <c r="T737" s="87" t="s">
        <v>2324</v>
      </c>
      <c r="U737" s="88">
        <v>528500</v>
      </c>
      <c r="V737" s="88">
        <v>570780</v>
      </c>
      <c r="W737" s="88">
        <v>361000</v>
      </c>
      <c r="X737" s="88">
        <v>389880</v>
      </c>
      <c r="Y737" s="88">
        <v>167500</v>
      </c>
      <c r="Z737" s="88">
        <v>180900</v>
      </c>
      <c r="AA737" s="85">
        <v>43580</v>
      </c>
      <c r="AB737" s="85">
        <v>43581</v>
      </c>
      <c r="AC737" s="85">
        <v>43581</v>
      </c>
      <c r="AD737" s="84">
        <v>0</v>
      </c>
      <c r="AG737" s="84">
        <v>0</v>
      </c>
      <c r="AJ737" s="84">
        <v>0</v>
      </c>
      <c r="AM737" s="84" t="s">
        <v>290</v>
      </c>
      <c r="AN737" s="84" t="s">
        <v>1531</v>
      </c>
      <c r="AR737" s="85">
        <v>43565</v>
      </c>
      <c r="AS737" s="84">
        <v>6001665602</v>
      </c>
      <c r="AT737" s="85">
        <v>43570</v>
      </c>
      <c r="AU737" s="84" t="s">
        <v>2325</v>
      </c>
      <c r="AV737" s="85">
        <v>43581</v>
      </c>
      <c r="AW737" s="123">
        <v>43585</v>
      </c>
      <c r="AX737" s="123">
        <v>43605</v>
      </c>
      <c r="AY737" s="132">
        <v>507360</v>
      </c>
      <c r="AZ737" s="132">
        <f>ROUNDDOWN(AY737+(AY737*MASTER!$A$2/100),0)</f>
        <v>547948</v>
      </c>
      <c r="BA737" s="84" t="s">
        <v>543</v>
      </c>
      <c r="BB737" s="88">
        <v>130160</v>
      </c>
      <c r="BC737" s="88">
        <v>140572.79999999999</v>
      </c>
      <c r="BD737" s="84" t="s">
        <v>2197</v>
      </c>
      <c r="BG737" s="88">
        <v>0</v>
      </c>
      <c r="BI737" s="84" t="s">
        <v>434</v>
      </c>
      <c r="BJ737" s="88">
        <v>108875</v>
      </c>
      <c r="BK737" s="88">
        <v>117585</v>
      </c>
      <c r="BL737" s="84" t="s">
        <v>2197</v>
      </c>
      <c r="BS737" s="88">
        <v>0</v>
      </c>
      <c r="BV737" s="89">
        <v>389880</v>
      </c>
      <c r="BW737" s="89">
        <v>258157.8</v>
      </c>
      <c r="BX737" s="89">
        <v>43535</v>
      </c>
      <c r="BY737" s="89">
        <v>131722.20000000001</v>
      </c>
      <c r="BZ737" s="112">
        <v>33.785318559556785</v>
      </c>
      <c r="CK737" s="88">
        <v>31500</v>
      </c>
    </row>
    <row r="738" spans="1:89" x14ac:dyDescent="0.15">
      <c r="A738" s="84">
        <v>2</v>
      </c>
      <c r="B738" s="85">
        <v>43570</v>
      </c>
      <c r="C738" s="85">
        <v>43581</v>
      </c>
      <c r="D738" s="85">
        <v>43612</v>
      </c>
      <c r="E738" s="85">
        <v>43592</v>
      </c>
      <c r="F738" s="85">
        <v>43588</v>
      </c>
      <c r="G738" s="85">
        <v>43592</v>
      </c>
      <c r="H738" s="85">
        <v>43584</v>
      </c>
      <c r="I738" s="84" t="s">
        <v>401</v>
      </c>
      <c r="J738" s="84">
        <v>1</v>
      </c>
      <c r="L738" s="84">
        <v>0</v>
      </c>
      <c r="M738" s="85">
        <v>43535</v>
      </c>
      <c r="N738" s="85" t="s">
        <v>265</v>
      </c>
      <c r="O738" s="86" t="s">
        <v>340</v>
      </c>
      <c r="P738" s="84" t="s">
        <v>26</v>
      </c>
      <c r="Q738" s="86" t="s">
        <v>137</v>
      </c>
      <c r="R738" s="86" t="s">
        <v>2326</v>
      </c>
      <c r="S738" s="87" t="s">
        <v>600</v>
      </c>
      <c r="T738" s="87" t="s">
        <v>2327</v>
      </c>
      <c r="U738" s="88">
        <v>970500</v>
      </c>
      <c r="V738" s="88">
        <v>1048140</v>
      </c>
      <c r="W738" s="88">
        <v>882000</v>
      </c>
      <c r="X738" s="88">
        <v>952560</v>
      </c>
      <c r="Y738" s="88">
        <v>88500</v>
      </c>
      <c r="Z738" s="88">
        <v>95580</v>
      </c>
      <c r="AA738" s="85">
        <v>43576</v>
      </c>
      <c r="AB738" s="85">
        <v>43581</v>
      </c>
      <c r="AC738" s="85">
        <v>43581</v>
      </c>
      <c r="AD738" s="84">
        <v>0</v>
      </c>
      <c r="AG738" s="84">
        <v>0</v>
      </c>
      <c r="AJ738" s="84">
        <v>0</v>
      </c>
      <c r="AM738" s="84" t="s">
        <v>290</v>
      </c>
      <c r="AN738" s="84" t="s">
        <v>2328</v>
      </c>
      <c r="AR738" s="85">
        <v>43558</v>
      </c>
      <c r="AS738" s="84">
        <v>6001663421</v>
      </c>
      <c r="AT738" s="85">
        <v>43558</v>
      </c>
      <c r="AU738" s="84" t="s">
        <v>2329</v>
      </c>
      <c r="AV738" s="85">
        <v>43581</v>
      </c>
      <c r="AW738" s="123">
        <v>43585</v>
      </c>
      <c r="AX738" s="123">
        <v>43605</v>
      </c>
      <c r="AY738" s="132">
        <v>931680</v>
      </c>
      <c r="AZ738" s="132">
        <f>ROUNDDOWN(AY738+(AY738*MASTER!$A$2/100),0)</f>
        <v>1006214</v>
      </c>
      <c r="BA738" s="84" t="s">
        <v>543</v>
      </c>
      <c r="BB738" s="88">
        <v>244360</v>
      </c>
      <c r="BC738" s="88">
        <v>263908.8</v>
      </c>
      <c r="BD738" s="84" t="s">
        <v>2197</v>
      </c>
      <c r="BG738" s="88">
        <v>0</v>
      </c>
      <c r="BI738" s="84" t="s">
        <v>434</v>
      </c>
      <c r="BJ738" s="88">
        <v>57525</v>
      </c>
      <c r="BK738" s="88">
        <v>62127</v>
      </c>
      <c r="BL738" s="84" t="s">
        <v>2197</v>
      </c>
      <c r="BS738" s="88">
        <v>0</v>
      </c>
      <c r="BV738" s="89">
        <v>952560</v>
      </c>
      <c r="BW738" s="89">
        <v>326035.8</v>
      </c>
      <c r="BX738" s="89">
        <v>43535</v>
      </c>
      <c r="BY738" s="89">
        <v>626524.19999999995</v>
      </c>
      <c r="BZ738" s="112">
        <v>65.772675736961446</v>
      </c>
      <c r="CK738" s="88">
        <v>105000</v>
      </c>
    </row>
    <row r="739" spans="1:89" x14ac:dyDescent="0.15">
      <c r="A739" s="84">
        <v>2</v>
      </c>
      <c r="B739" s="85">
        <v>43570</v>
      </c>
      <c r="C739" s="85">
        <v>43579</v>
      </c>
      <c r="D739" s="85">
        <v>43612</v>
      </c>
      <c r="E739" s="85">
        <v>43580</v>
      </c>
      <c r="F739" s="85">
        <v>43586</v>
      </c>
      <c r="G739" s="85">
        <v>43578</v>
      </c>
      <c r="H739" s="85">
        <v>43582</v>
      </c>
      <c r="I739" s="84" t="s">
        <v>401</v>
      </c>
      <c r="J739" s="84">
        <v>1</v>
      </c>
      <c r="L739" s="84">
        <v>0</v>
      </c>
      <c r="M739" s="85">
        <v>43535</v>
      </c>
      <c r="N739" s="85" t="s">
        <v>265</v>
      </c>
      <c r="O739" s="86" t="s">
        <v>340</v>
      </c>
      <c r="P739" s="84" t="s">
        <v>26</v>
      </c>
      <c r="Q739" s="86" t="s">
        <v>137</v>
      </c>
      <c r="R739" s="86" t="s">
        <v>2330</v>
      </c>
      <c r="S739" s="87" t="s">
        <v>1876</v>
      </c>
      <c r="T739" s="87" t="s">
        <v>2331</v>
      </c>
      <c r="U739" s="88">
        <v>1415300</v>
      </c>
      <c r="V739" s="88">
        <v>1528524</v>
      </c>
      <c r="W739" s="88">
        <v>1406100</v>
      </c>
      <c r="X739" s="88">
        <v>1518588</v>
      </c>
      <c r="Y739" s="88">
        <v>9200</v>
      </c>
      <c r="Z739" s="88">
        <v>9936</v>
      </c>
      <c r="AA739" s="85">
        <v>43576</v>
      </c>
      <c r="AB739" s="85">
        <v>43579</v>
      </c>
      <c r="AC739" s="85">
        <v>43579</v>
      </c>
      <c r="AD739" s="84">
        <v>0</v>
      </c>
      <c r="AG739" s="84">
        <v>0</v>
      </c>
      <c r="AJ739" s="84">
        <v>0</v>
      </c>
      <c r="AM739" s="84" t="s">
        <v>290</v>
      </c>
      <c r="AN739" s="84" t="s">
        <v>2332</v>
      </c>
      <c r="AR739" s="85">
        <v>43558</v>
      </c>
      <c r="AS739" s="84">
        <v>6001663421</v>
      </c>
      <c r="AT739" s="85">
        <v>43558</v>
      </c>
      <c r="AU739" s="84" t="s">
        <v>2329</v>
      </c>
      <c r="AV739" s="85">
        <v>43579</v>
      </c>
      <c r="AW739" s="123">
        <v>43585</v>
      </c>
      <c r="AX739" s="123">
        <v>43605</v>
      </c>
      <c r="AY739" s="132">
        <v>1358688</v>
      </c>
      <c r="AZ739" s="132">
        <f>ROUNDDOWN(AY739+(AY739*MASTER!$A$2/100),0)</f>
        <v>1467383</v>
      </c>
      <c r="BA739" s="84" t="s">
        <v>543</v>
      </c>
      <c r="BB739" s="88">
        <v>314040</v>
      </c>
      <c r="BC739" s="88">
        <v>339163.2</v>
      </c>
      <c r="BD739" s="84" t="s">
        <v>2197</v>
      </c>
      <c r="BG739" s="88">
        <v>0</v>
      </c>
      <c r="BI739" s="84" t="s">
        <v>434</v>
      </c>
      <c r="BJ739" s="88">
        <v>5980</v>
      </c>
      <c r="BK739" s="88">
        <v>6458.4</v>
      </c>
      <c r="BL739" s="84" t="s">
        <v>2197</v>
      </c>
      <c r="BS739" s="88">
        <v>0</v>
      </c>
      <c r="BV739" s="89">
        <v>1518588</v>
      </c>
      <c r="BW739" s="89">
        <v>345621.6</v>
      </c>
      <c r="BX739" s="89">
        <v>43535</v>
      </c>
      <c r="BY739" s="89">
        <v>1172966.3999999999</v>
      </c>
      <c r="BZ739" s="112">
        <v>77.240594552307797</v>
      </c>
      <c r="CK739" s="88">
        <v>105000</v>
      </c>
    </row>
    <row r="740" spans="1:89" x14ac:dyDescent="0.15">
      <c r="A740" s="84">
        <v>1</v>
      </c>
      <c r="C740" s="85" t="s">
        <v>338</v>
      </c>
      <c r="F740" s="85" t="s">
        <v>338</v>
      </c>
      <c r="H740" s="85" t="s">
        <v>338</v>
      </c>
      <c r="J740" s="84">
        <v>4</v>
      </c>
      <c r="L740" s="84">
        <v>0</v>
      </c>
      <c r="M740" s="85">
        <v>43535</v>
      </c>
      <c r="N740" s="85" t="s">
        <v>265</v>
      </c>
      <c r="O740" s="86" t="s">
        <v>340</v>
      </c>
      <c r="P740" s="84" t="s">
        <v>272</v>
      </c>
      <c r="Q740" s="86" t="s">
        <v>137</v>
      </c>
      <c r="R740" s="86" t="s">
        <v>2333</v>
      </c>
      <c r="S740" s="87" t="s">
        <v>639</v>
      </c>
      <c r="T740" s="87" t="s">
        <v>2334</v>
      </c>
      <c r="U740" s="88">
        <v>0</v>
      </c>
      <c r="V740" s="88">
        <v>0</v>
      </c>
      <c r="W740" s="88">
        <v>0</v>
      </c>
      <c r="X740" s="88">
        <v>0</v>
      </c>
      <c r="Y740" s="88">
        <v>0</v>
      </c>
      <c r="Z740" s="88">
        <v>0</v>
      </c>
      <c r="AA740" s="85">
        <v>43490</v>
      </c>
      <c r="AB740" s="85">
        <v>43490</v>
      </c>
      <c r="AD740" s="84">
        <v>0</v>
      </c>
      <c r="AG740" s="84">
        <v>0</v>
      </c>
      <c r="AJ740" s="84">
        <v>0</v>
      </c>
      <c r="AN740" s="84" t="s">
        <v>338</v>
      </c>
      <c r="AY740" s="132">
        <f>ROUNDDOWN((0.96*U740),0)</f>
        <v>0</v>
      </c>
      <c r="AZ740" s="132">
        <f>ROUNDDOWN(AY740+(AY740*MASTER!$A$2/100),0)</f>
        <v>0</v>
      </c>
      <c r="BA740" s="84" t="s">
        <v>666</v>
      </c>
      <c r="BB740" s="88">
        <v>26000</v>
      </c>
      <c r="BC740" s="88">
        <v>28080</v>
      </c>
      <c r="BD740" s="84" t="s">
        <v>1268</v>
      </c>
      <c r="BG740" s="88">
        <v>0</v>
      </c>
      <c r="BK740" s="88">
        <v>0</v>
      </c>
      <c r="BS740" s="88">
        <v>0</v>
      </c>
      <c r="BV740" s="89">
        <v>0</v>
      </c>
      <c r="BW740" s="89">
        <v>28080</v>
      </c>
      <c r="BX740" s="89">
        <v>43535</v>
      </c>
      <c r="BY740" s="89">
        <v>-28080</v>
      </c>
      <c r="BZ740" s="112" t="s">
        <v>338</v>
      </c>
    </row>
    <row r="741" spans="1:89" x14ac:dyDescent="0.15">
      <c r="A741" s="84">
        <v>2</v>
      </c>
      <c r="C741" s="85" t="s">
        <v>338</v>
      </c>
      <c r="D741" s="85">
        <v>43566</v>
      </c>
      <c r="E741" s="85">
        <v>43566</v>
      </c>
      <c r="F741" s="85" t="s">
        <v>338</v>
      </c>
      <c r="G741" s="85">
        <v>43566</v>
      </c>
      <c r="H741" s="85" t="s">
        <v>338</v>
      </c>
      <c r="I741" s="84" t="s">
        <v>380</v>
      </c>
      <c r="J741" s="84">
        <v>4</v>
      </c>
      <c r="L741" s="84">
        <v>0</v>
      </c>
      <c r="M741" s="85">
        <v>43536</v>
      </c>
      <c r="N741" s="85" t="s">
        <v>265</v>
      </c>
      <c r="O741" s="86" t="s">
        <v>340</v>
      </c>
      <c r="P741" s="84" t="s">
        <v>6</v>
      </c>
      <c r="Q741" s="86" t="s">
        <v>137</v>
      </c>
      <c r="R741" s="86" t="s">
        <v>2335</v>
      </c>
      <c r="S741" s="87" t="s">
        <v>1921</v>
      </c>
      <c r="T741" s="87" t="s">
        <v>2336</v>
      </c>
      <c r="U741" s="88">
        <v>0</v>
      </c>
      <c r="V741" s="88">
        <v>0</v>
      </c>
      <c r="W741" s="88">
        <v>0</v>
      </c>
      <c r="X741" s="88">
        <v>0</v>
      </c>
      <c r="Y741" s="88">
        <v>0</v>
      </c>
      <c r="Z741" s="88">
        <v>0</v>
      </c>
      <c r="AA741" s="85">
        <v>43519</v>
      </c>
      <c r="AB741" s="85">
        <v>43519</v>
      </c>
      <c r="AD741" s="84">
        <v>0</v>
      </c>
      <c r="AG741" s="84">
        <v>0</v>
      </c>
      <c r="AJ741" s="84">
        <v>0</v>
      </c>
      <c r="AN741" s="84" t="s">
        <v>338</v>
      </c>
      <c r="AY741" s="132">
        <v>0</v>
      </c>
      <c r="AZ741" s="132">
        <f>ROUNDDOWN(AY741+(AY741*MASTER!$A$2/100),0)</f>
        <v>0</v>
      </c>
      <c r="BA741" s="84" t="s">
        <v>287</v>
      </c>
      <c r="BB741" s="88">
        <v>22000</v>
      </c>
      <c r="BC741" s="88">
        <v>23760</v>
      </c>
      <c r="BD741" s="84" t="s">
        <v>1268</v>
      </c>
      <c r="BG741" s="88">
        <v>0</v>
      </c>
      <c r="BK741" s="88">
        <v>0</v>
      </c>
      <c r="BS741" s="88">
        <v>0</v>
      </c>
      <c r="BV741" s="89">
        <v>0</v>
      </c>
      <c r="BW741" s="89">
        <v>23760</v>
      </c>
      <c r="BX741" s="89">
        <v>43536</v>
      </c>
      <c r="BY741" s="89">
        <v>-23760</v>
      </c>
      <c r="BZ741" s="112" t="s">
        <v>338</v>
      </c>
    </row>
    <row r="742" spans="1:89" x14ac:dyDescent="0.15">
      <c r="A742" s="84">
        <v>2</v>
      </c>
      <c r="B742" s="85">
        <v>43556</v>
      </c>
      <c r="C742" s="85">
        <v>43563</v>
      </c>
      <c r="D742" s="85">
        <v>43593</v>
      </c>
      <c r="E742" s="85">
        <v>43579</v>
      </c>
      <c r="F742" s="85">
        <v>43574</v>
      </c>
      <c r="G742" s="85">
        <v>43567</v>
      </c>
      <c r="H742" s="85">
        <v>43570</v>
      </c>
      <c r="I742" s="84" t="s">
        <v>1191</v>
      </c>
      <c r="J742" s="84">
        <v>1</v>
      </c>
      <c r="L742" s="84">
        <v>0</v>
      </c>
      <c r="M742" s="85">
        <v>43536</v>
      </c>
      <c r="N742" s="85" t="s">
        <v>265</v>
      </c>
      <c r="O742" s="86" t="s">
        <v>340</v>
      </c>
      <c r="P742" s="84" t="s">
        <v>44</v>
      </c>
      <c r="Q742" s="86" t="s">
        <v>137</v>
      </c>
      <c r="R742" s="86" t="s">
        <v>2337</v>
      </c>
      <c r="S742" s="87" t="s">
        <v>1274</v>
      </c>
      <c r="T742" s="87" t="s">
        <v>988</v>
      </c>
      <c r="U742" s="88">
        <v>164800</v>
      </c>
      <c r="V742" s="88">
        <v>177984</v>
      </c>
      <c r="W742" s="88">
        <v>147800</v>
      </c>
      <c r="X742" s="88">
        <v>159624</v>
      </c>
      <c r="Y742" s="88">
        <v>17000</v>
      </c>
      <c r="Z742" s="88">
        <v>18360</v>
      </c>
      <c r="AA742" s="85">
        <v>43566</v>
      </c>
      <c r="AB742" s="85">
        <v>43567</v>
      </c>
      <c r="AC742" s="85">
        <v>43567</v>
      </c>
      <c r="AD742" s="84">
        <v>0</v>
      </c>
      <c r="AG742" s="84">
        <v>0</v>
      </c>
      <c r="AJ742" s="84">
        <v>0</v>
      </c>
      <c r="AR742" s="85">
        <v>43543</v>
      </c>
      <c r="AS742" s="84">
        <v>6001659067</v>
      </c>
      <c r="AT742" s="85">
        <v>43543</v>
      </c>
      <c r="AU742" s="84" t="s">
        <v>1836</v>
      </c>
      <c r="AV742" s="85">
        <v>43563</v>
      </c>
      <c r="AW742" s="123">
        <v>43585</v>
      </c>
      <c r="AX742" s="123">
        <v>43605</v>
      </c>
      <c r="AY742" s="132">
        <v>158208</v>
      </c>
      <c r="AZ742" s="132">
        <f>ROUNDDOWN(AY742+(AY742*MASTER!$A$2/100),0)</f>
        <v>170864</v>
      </c>
      <c r="BA742" s="84" t="s">
        <v>287</v>
      </c>
      <c r="BB742" s="88">
        <v>96000</v>
      </c>
      <c r="BC742" s="88">
        <v>103680</v>
      </c>
      <c r="BD742" s="84" t="s">
        <v>1579</v>
      </c>
      <c r="BG742" s="88">
        <v>0</v>
      </c>
      <c r="BI742" s="84" t="s">
        <v>434</v>
      </c>
      <c r="BJ742" s="88">
        <v>11050</v>
      </c>
      <c r="BK742" s="88">
        <v>11934</v>
      </c>
      <c r="BL742" s="84" t="s">
        <v>1579</v>
      </c>
      <c r="BS742" s="88">
        <v>0</v>
      </c>
      <c r="BV742" s="89">
        <v>159624</v>
      </c>
      <c r="BW742" s="89">
        <v>115614</v>
      </c>
      <c r="BX742" s="89">
        <v>43536</v>
      </c>
      <c r="BY742" s="89">
        <v>44010</v>
      </c>
      <c r="BZ742" s="112">
        <v>27.571041948579161</v>
      </c>
    </row>
    <row r="743" spans="1:89" x14ac:dyDescent="0.15">
      <c r="A743" s="84">
        <v>2</v>
      </c>
      <c r="B743" s="85">
        <v>43564</v>
      </c>
      <c r="C743" s="85">
        <v>43567</v>
      </c>
      <c r="E743" s="85">
        <v>43596</v>
      </c>
      <c r="F743" s="85" t="s">
        <v>338</v>
      </c>
      <c r="G743" s="85">
        <v>43566</v>
      </c>
      <c r="H743" s="85" t="s">
        <v>338</v>
      </c>
      <c r="I743" s="84" t="s">
        <v>1191</v>
      </c>
      <c r="J743" s="84">
        <v>2</v>
      </c>
      <c r="L743" s="84">
        <v>0</v>
      </c>
      <c r="M743" s="85">
        <v>43536</v>
      </c>
      <c r="N743" s="85" t="s">
        <v>265</v>
      </c>
      <c r="O743" s="86" t="s">
        <v>340</v>
      </c>
      <c r="P743" s="84" t="s">
        <v>26</v>
      </c>
      <c r="Q743" s="86" t="s">
        <v>137</v>
      </c>
      <c r="R743" s="86" t="s">
        <v>2338</v>
      </c>
      <c r="S743" s="87" t="s">
        <v>720</v>
      </c>
      <c r="T743" s="87" t="s">
        <v>1075</v>
      </c>
      <c r="U743" s="88">
        <v>81900</v>
      </c>
      <c r="V743" s="88">
        <v>88452</v>
      </c>
      <c r="W743" s="88">
        <v>81900</v>
      </c>
      <c r="X743" s="88">
        <v>88452</v>
      </c>
      <c r="Z743" s="88">
        <v>0</v>
      </c>
      <c r="AA743" s="85">
        <v>43565</v>
      </c>
      <c r="AB743" s="85">
        <v>43565</v>
      </c>
      <c r="AD743" s="84">
        <v>0</v>
      </c>
      <c r="AG743" s="84">
        <v>0</v>
      </c>
      <c r="AJ743" s="84">
        <v>0</v>
      </c>
      <c r="AR743" s="85">
        <v>43563</v>
      </c>
      <c r="AS743" s="84">
        <v>6001664890</v>
      </c>
      <c r="AT743" s="85">
        <v>43563</v>
      </c>
      <c r="AU743" s="84" t="s">
        <v>1692</v>
      </c>
      <c r="AV743" s="85">
        <v>43567</v>
      </c>
      <c r="AW743" s="123">
        <v>43585</v>
      </c>
      <c r="AX743" s="123">
        <v>43605</v>
      </c>
      <c r="AY743" s="132">
        <v>78624</v>
      </c>
      <c r="AZ743" s="132">
        <f>ROUNDDOWN(AY743+(AY743*MASTER!$A$2/100),0)</f>
        <v>84913</v>
      </c>
      <c r="BA743" s="84" t="s">
        <v>543</v>
      </c>
      <c r="BB743" s="88">
        <v>44000</v>
      </c>
      <c r="BC743" s="88">
        <v>47520</v>
      </c>
      <c r="BD743" s="84" t="s">
        <v>1579</v>
      </c>
      <c r="BG743" s="88">
        <v>0</v>
      </c>
      <c r="BK743" s="88">
        <v>0</v>
      </c>
      <c r="BS743" s="88">
        <v>0</v>
      </c>
      <c r="BV743" s="89">
        <v>88452</v>
      </c>
      <c r="BW743" s="89">
        <v>47520</v>
      </c>
      <c r="BX743" s="89">
        <v>43536</v>
      </c>
      <c r="BY743" s="89">
        <v>40932</v>
      </c>
      <c r="BZ743" s="112">
        <v>46.275946275946275</v>
      </c>
    </row>
    <row r="744" spans="1:89" x14ac:dyDescent="0.15">
      <c r="A744" s="84">
        <v>2</v>
      </c>
      <c r="C744" s="85" t="s">
        <v>338</v>
      </c>
      <c r="D744" s="85">
        <v>43536</v>
      </c>
      <c r="E744" s="85">
        <v>43536</v>
      </c>
      <c r="F744" s="85" t="s">
        <v>338</v>
      </c>
      <c r="G744" s="85">
        <v>43536</v>
      </c>
      <c r="H744" s="85" t="s">
        <v>338</v>
      </c>
      <c r="I744" s="84" t="s">
        <v>380</v>
      </c>
      <c r="J744" s="84">
        <v>4</v>
      </c>
      <c r="L744" s="84">
        <v>0</v>
      </c>
      <c r="M744" s="85">
        <v>43536</v>
      </c>
      <c r="N744" s="85" t="s">
        <v>265</v>
      </c>
      <c r="O744" s="86" t="s">
        <v>340</v>
      </c>
      <c r="P744" s="84" t="s">
        <v>6</v>
      </c>
      <c r="Q744" s="86" t="s">
        <v>137</v>
      </c>
      <c r="R744" s="86" t="s">
        <v>2339</v>
      </c>
      <c r="S744" s="87" t="s">
        <v>1428</v>
      </c>
      <c r="T744" s="87" t="s">
        <v>1212</v>
      </c>
      <c r="U744" s="88">
        <v>0</v>
      </c>
      <c r="V744" s="88">
        <v>0</v>
      </c>
      <c r="W744" s="88">
        <v>0</v>
      </c>
      <c r="X744" s="88">
        <v>0</v>
      </c>
      <c r="Y744" s="88">
        <v>0</v>
      </c>
      <c r="Z744" s="88">
        <v>0</v>
      </c>
      <c r="AA744" s="85">
        <v>43531</v>
      </c>
      <c r="AB744" s="85">
        <v>43532</v>
      </c>
      <c r="AD744" s="84">
        <v>0</v>
      </c>
      <c r="AG744" s="84">
        <v>0</v>
      </c>
      <c r="AJ744" s="84">
        <v>0</v>
      </c>
      <c r="AY744" s="132">
        <v>0</v>
      </c>
      <c r="AZ744" s="132">
        <f>ROUNDDOWN(AY744+(AY744*MASTER!$A$2/100),0)</f>
        <v>0</v>
      </c>
      <c r="BA744" s="84" t="s">
        <v>400</v>
      </c>
      <c r="BB744" s="88">
        <v>22000</v>
      </c>
      <c r="BC744" s="88">
        <v>23760</v>
      </c>
      <c r="BD744" s="84" t="s">
        <v>1268</v>
      </c>
      <c r="BG744" s="88">
        <v>0</v>
      </c>
      <c r="BK744" s="88">
        <v>0</v>
      </c>
      <c r="BS744" s="88">
        <v>0</v>
      </c>
      <c r="BV744" s="89">
        <v>0</v>
      </c>
      <c r="BW744" s="89">
        <v>23760</v>
      </c>
      <c r="BX744" s="89">
        <v>43536</v>
      </c>
      <c r="BY744" s="89">
        <v>-23760</v>
      </c>
      <c r="BZ744" s="112" t="s">
        <v>338</v>
      </c>
      <c r="CD744" s="87" t="s">
        <v>2340</v>
      </c>
    </row>
    <row r="745" spans="1:89" x14ac:dyDescent="0.15">
      <c r="A745" s="84">
        <v>1</v>
      </c>
      <c r="B745" s="85">
        <v>43543</v>
      </c>
      <c r="C745" s="85">
        <v>43551</v>
      </c>
      <c r="F745" s="85" t="s">
        <v>338</v>
      </c>
      <c r="H745" s="85" t="s">
        <v>338</v>
      </c>
      <c r="J745" s="84">
        <v>2</v>
      </c>
      <c r="L745" s="84">
        <v>0</v>
      </c>
      <c r="M745" s="85">
        <v>43537</v>
      </c>
      <c r="N745" s="85" t="s">
        <v>265</v>
      </c>
      <c r="O745" s="86" t="s">
        <v>340</v>
      </c>
      <c r="P745" s="84" t="s">
        <v>26</v>
      </c>
      <c r="Q745" s="86" t="s">
        <v>137</v>
      </c>
      <c r="R745" s="86" t="s">
        <v>2341</v>
      </c>
      <c r="S745" s="87" t="s">
        <v>2234</v>
      </c>
      <c r="T745" s="87" t="s">
        <v>2342</v>
      </c>
      <c r="U745" s="88">
        <v>5000</v>
      </c>
      <c r="V745" s="88">
        <v>5400</v>
      </c>
      <c r="W745" s="88">
        <v>5000</v>
      </c>
      <c r="X745" s="88">
        <v>5400</v>
      </c>
      <c r="Z745" s="88">
        <v>0</v>
      </c>
      <c r="AD745" s="84">
        <v>0</v>
      </c>
      <c r="AG745" s="84">
        <v>0</v>
      </c>
      <c r="AJ745" s="84">
        <v>0</v>
      </c>
      <c r="AR745" s="85">
        <v>43538</v>
      </c>
      <c r="AS745" s="84">
        <v>6001657296</v>
      </c>
      <c r="AT745" s="85">
        <v>43542</v>
      </c>
      <c r="AU745" s="84" t="s">
        <v>1578</v>
      </c>
      <c r="AV745" s="85">
        <v>43551</v>
      </c>
      <c r="AW745" s="123">
        <v>43555</v>
      </c>
      <c r="AX745" s="123">
        <v>43575</v>
      </c>
      <c r="AY745" s="132">
        <v>4800</v>
      </c>
      <c r="AZ745" s="132">
        <f>ROUNDDOWN(AY745+(AY745*MASTER!$A$2/100),0)</f>
        <v>5184</v>
      </c>
      <c r="BC745" s="88">
        <v>0</v>
      </c>
      <c r="BG745" s="88">
        <v>0</v>
      </c>
      <c r="BK745" s="88">
        <v>0</v>
      </c>
      <c r="BS745" s="88">
        <v>0</v>
      </c>
      <c r="BV745" s="89">
        <v>5400</v>
      </c>
      <c r="BW745" s="89">
        <v>0</v>
      </c>
      <c r="BX745" s="89">
        <v>43537</v>
      </c>
      <c r="BY745" s="89">
        <v>5400</v>
      </c>
      <c r="BZ745" s="112">
        <v>100</v>
      </c>
    </row>
    <row r="746" spans="1:89" x14ac:dyDescent="0.15">
      <c r="A746" s="84">
        <v>2</v>
      </c>
      <c r="B746" s="85">
        <v>43570</v>
      </c>
      <c r="C746" s="85">
        <v>43577</v>
      </c>
      <c r="D746" s="85" t="s">
        <v>374</v>
      </c>
      <c r="E746" s="85">
        <v>43580</v>
      </c>
      <c r="F746" s="85">
        <v>43584</v>
      </c>
      <c r="G746" s="85">
        <v>43581</v>
      </c>
      <c r="H746" s="85">
        <v>43580</v>
      </c>
      <c r="I746" s="84" t="s">
        <v>401</v>
      </c>
      <c r="J746" s="84">
        <v>1</v>
      </c>
      <c r="L746" s="84">
        <v>0</v>
      </c>
      <c r="M746" s="85">
        <v>43537</v>
      </c>
      <c r="N746" s="85" t="s">
        <v>265</v>
      </c>
      <c r="O746" s="86" t="s">
        <v>340</v>
      </c>
      <c r="P746" s="84" t="s">
        <v>26</v>
      </c>
      <c r="Q746" s="86" t="s">
        <v>137</v>
      </c>
      <c r="R746" s="86" t="s">
        <v>2343</v>
      </c>
      <c r="S746" s="87" t="s">
        <v>978</v>
      </c>
      <c r="T746" s="87" t="s">
        <v>721</v>
      </c>
      <c r="U746" s="88">
        <v>23900</v>
      </c>
      <c r="V746" s="88">
        <v>25812</v>
      </c>
      <c r="W746" s="88">
        <v>14700</v>
      </c>
      <c r="X746" s="88">
        <v>15876</v>
      </c>
      <c r="Y746" s="88">
        <v>9200</v>
      </c>
      <c r="Z746" s="88">
        <v>9936</v>
      </c>
      <c r="AA746" s="85">
        <v>43576</v>
      </c>
      <c r="AB746" s="85">
        <v>43577</v>
      </c>
      <c r="AC746" s="85">
        <v>43577</v>
      </c>
      <c r="AD746" s="84">
        <v>0</v>
      </c>
      <c r="AG746" s="84">
        <v>0</v>
      </c>
      <c r="AJ746" s="84">
        <v>0</v>
      </c>
      <c r="AM746" s="84" t="s">
        <v>290</v>
      </c>
      <c r="AN746" s="84" t="s">
        <v>2344</v>
      </c>
      <c r="AR746" s="85">
        <v>43544</v>
      </c>
      <c r="AS746" s="84">
        <v>6001660003</v>
      </c>
      <c r="AT746" s="85">
        <v>43544</v>
      </c>
      <c r="AU746" s="84" t="s">
        <v>2345</v>
      </c>
      <c r="AV746" s="85">
        <v>43577</v>
      </c>
      <c r="AW746" s="123">
        <v>43585</v>
      </c>
      <c r="AX746" s="123">
        <v>43605</v>
      </c>
      <c r="AY746" s="132">
        <v>22944</v>
      </c>
      <c r="AZ746" s="132">
        <f>ROUNDDOWN(AY746+(AY746*MASTER!$A$2/100),0)</f>
        <v>24779</v>
      </c>
      <c r="BA746" s="84" t="s">
        <v>778</v>
      </c>
      <c r="BC746" s="88">
        <v>0</v>
      </c>
      <c r="BG746" s="88">
        <v>0</v>
      </c>
      <c r="BI746" s="84" t="s">
        <v>276</v>
      </c>
      <c r="BJ746" s="88">
        <v>5980</v>
      </c>
      <c r="BK746" s="88">
        <v>6458.4</v>
      </c>
      <c r="BL746" s="84" t="s">
        <v>1645</v>
      </c>
      <c r="BS746" s="88">
        <v>0</v>
      </c>
      <c r="BV746" s="89">
        <v>15876</v>
      </c>
      <c r="BW746" s="89">
        <v>6458.4</v>
      </c>
      <c r="BX746" s="89">
        <v>43537</v>
      </c>
      <c r="BY746" s="89">
        <v>9417.6</v>
      </c>
      <c r="BZ746" s="112">
        <v>59.319727891156461</v>
      </c>
      <c r="CK746" s="88">
        <v>0</v>
      </c>
    </row>
    <row r="747" spans="1:89" x14ac:dyDescent="0.15">
      <c r="A747" s="84">
        <v>2</v>
      </c>
      <c r="B747" s="85">
        <v>43570</v>
      </c>
      <c r="C747" s="85">
        <v>43580</v>
      </c>
      <c r="D747" s="85" t="s">
        <v>374</v>
      </c>
      <c r="E747" s="85">
        <v>43596</v>
      </c>
      <c r="F747" s="85">
        <v>43587</v>
      </c>
      <c r="G747" s="85">
        <v>43581</v>
      </c>
      <c r="H747" s="85">
        <v>43583</v>
      </c>
      <c r="I747" s="84" t="s">
        <v>1191</v>
      </c>
      <c r="J747" s="84">
        <v>1</v>
      </c>
      <c r="L747" s="84">
        <v>0</v>
      </c>
      <c r="M747" s="85">
        <v>43537</v>
      </c>
      <c r="N747" s="85" t="s">
        <v>265</v>
      </c>
      <c r="O747" s="86" t="s">
        <v>340</v>
      </c>
      <c r="P747" s="84" t="s">
        <v>26</v>
      </c>
      <c r="Q747" s="86" t="s">
        <v>137</v>
      </c>
      <c r="R747" s="86" t="s">
        <v>2346</v>
      </c>
      <c r="S747" s="87" t="s">
        <v>1024</v>
      </c>
      <c r="T747" s="87" t="s">
        <v>2347</v>
      </c>
      <c r="U747" s="88">
        <v>23900</v>
      </c>
      <c r="V747" s="88">
        <v>25812</v>
      </c>
      <c r="W747" s="88">
        <v>14700</v>
      </c>
      <c r="X747" s="88">
        <v>15876</v>
      </c>
      <c r="Y747" s="88">
        <v>9200</v>
      </c>
      <c r="Z747" s="88">
        <v>9936</v>
      </c>
      <c r="AA747" s="85">
        <v>43579</v>
      </c>
      <c r="AB747" s="85">
        <v>43580</v>
      </c>
      <c r="AC747" s="85">
        <v>43580</v>
      </c>
      <c r="AD747" s="84">
        <v>0</v>
      </c>
      <c r="AG747" s="84">
        <v>0</v>
      </c>
      <c r="AJ747" s="84">
        <v>0</v>
      </c>
      <c r="AM747" s="84" t="s">
        <v>290</v>
      </c>
      <c r="AN747" s="84" t="s">
        <v>2348</v>
      </c>
      <c r="AR747" s="85">
        <v>43558</v>
      </c>
      <c r="AS747" s="84">
        <v>6001663421</v>
      </c>
      <c r="AT747" s="85">
        <v>43558</v>
      </c>
      <c r="AU747" s="84" t="s">
        <v>2329</v>
      </c>
      <c r="AV747" s="85">
        <v>43580</v>
      </c>
      <c r="AW747" s="123">
        <v>43585</v>
      </c>
      <c r="AX747" s="123">
        <v>43605</v>
      </c>
      <c r="AY747" s="132">
        <v>22944</v>
      </c>
      <c r="AZ747" s="132">
        <f>ROUNDDOWN(AY747+(AY747*MASTER!$A$2/100),0)</f>
        <v>24779</v>
      </c>
      <c r="BA747" s="84" t="s">
        <v>778</v>
      </c>
      <c r="BC747" s="88">
        <v>0</v>
      </c>
      <c r="BG747" s="88">
        <v>0</v>
      </c>
      <c r="BI747" s="84" t="s">
        <v>276</v>
      </c>
      <c r="BJ747" s="88">
        <v>5980</v>
      </c>
      <c r="BK747" s="88">
        <v>6458.4</v>
      </c>
      <c r="BL747" s="84" t="s">
        <v>1645</v>
      </c>
      <c r="BS747" s="88">
        <v>0</v>
      </c>
      <c r="BV747" s="89">
        <v>15876</v>
      </c>
      <c r="BW747" s="89">
        <v>6458.4</v>
      </c>
      <c r="BX747" s="89">
        <v>43537</v>
      </c>
      <c r="BY747" s="89">
        <v>9417.6</v>
      </c>
      <c r="BZ747" s="112">
        <v>59.319727891156461</v>
      </c>
      <c r="CK747" s="88">
        <v>0</v>
      </c>
    </row>
    <row r="748" spans="1:89" x14ac:dyDescent="0.15">
      <c r="A748" s="84">
        <v>2</v>
      </c>
      <c r="B748" s="85">
        <v>43558</v>
      </c>
      <c r="C748" s="85">
        <v>43566</v>
      </c>
      <c r="D748" s="85">
        <v>43593</v>
      </c>
      <c r="E748" s="85">
        <v>43579</v>
      </c>
      <c r="F748" s="85">
        <v>43574</v>
      </c>
      <c r="G748" s="85">
        <v>43566</v>
      </c>
      <c r="H748" s="85">
        <v>43570</v>
      </c>
      <c r="I748" s="84" t="s">
        <v>1191</v>
      </c>
      <c r="J748" s="84">
        <v>1</v>
      </c>
      <c r="L748" s="84">
        <v>0</v>
      </c>
      <c r="M748" s="85">
        <v>43537</v>
      </c>
      <c r="N748" s="85" t="s">
        <v>265</v>
      </c>
      <c r="O748" s="86" t="s">
        <v>340</v>
      </c>
      <c r="P748" s="84" t="s">
        <v>26</v>
      </c>
      <c r="Q748" s="86" t="s">
        <v>137</v>
      </c>
      <c r="R748" s="86" t="s">
        <v>2349</v>
      </c>
      <c r="S748" s="87" t="s">
        <v>2184</v>
      </c>
      <c r="T748" s="87" t="s">
        <v>993</v>
      </c>
      <c r="U748" s="88">
        <v>83000</v>
      </c>
      <c r="V748" s="88">
        <v>89640</v>
      </c>
      <c r="W748" s="88">
        <v>71000</v>
      </c>
      <c r="X748" s="88">
        <v>76680</v>
      </c>
      <c r="Y748" s="88">
        <v>12000</v>
      </c>
      <c r="Z748" s="88">
        <v>12960</v>
      </c>
      <c r="AA748" s="85">
        <v>43566</v>
      </c>
      <c r="AB748" s="85">
        <v>43567</v>
      </c>
      <c r="AC748" s="85">
        <v>43567</v>
      </c>
      <c r="AD748" s="84">
        <v>0</v>
      </c>
      <c r="AG748" s="84">
        <v>0</v>
      </c>
      <c r="AJ748" s="84">
        <v>0</v>
      </c>
      <c r="AM748" s="84" t="s">
        <v>290</v>
      </c>
      <c r="AN748" s="84" t="s">
        <v>2350</v>
      </c>
      <c r="AR748" s="85">
        <v>43556</v>
      </c>
      <c r="AS748" s="84">
        <v>6001662513</v>
      </c>
      <c r="AT748" s="85">
        <v>43556</v>
      </c>
      <c r="AU748" s="84" t="s">
        <v>2213</v>
      </c>
      <c r="AV748" s="85">
        <v>43566</v>
      </c>
      <c r="AW748" s="123">
        <v>43585</v>
      </c>
      <c r="AX748" s="123">
        <v>43605</v>
      </c>
      <c r="AY748" s="132">
        <v>79680</v>
      </c>
      <c r="AZ748" s="132">
        <f>ROUNDDOWN(AY748+(AY748*MASTER!$A$2/100),0)</f>
        <v>86054</v>
      </c>
      <c r="BA748" s="84" t="s">
        <v>287</v>
      </c>
      <c r="BB748" s="88">
        <v>39000</v>
      </c>
      <c r="BC748" s="88">
        <v>42120</v>
      </c>
      <c r="BD748" s="84" t="s">
        <v>1579</v>
      </c>
      <c r="BG748" s="88">
        <v>0</v>
      </c>
      <c r="BI748" s="84" t="s">
        <v>434</v>
      </c>
      <c r="BJ748" s="88">
        <v>7800</v>
      </c>
      <c r="BK748" s="88">
        <v>8424</v>
      </c>
      <c r="BL748" s="84" t="s">
        <v>1579</v>
      </c>
      <c r="BS748" s="88">
        <v>0</v>
      </c>
      <c r="BV748" s="89">
        <v>76680</v>
      </c>
      <c r="BW748" s="89">
        <v>50544</v>
      </c>
      <c r="BX748" s="89">
        <v>43537</v>
      </c>
      <c r="BY748" s="89">
        <v>26136</v>
      </c>
      <c r="BZ748" s="112">
        <v>34.08450704225352</v>
      </c>
      <c r="CK748" s="88">
        <v>0</v>
      </c>
    </row>
    <row r="749" spans="1:89" s="151" customFormat="1" x14ac:dyDescent="0.15">
      <c r="A749" s="141">
        <v>3</v>
      </c>
      <c r="B749" s="142"/>
      <c r="C749" s="142" t="s">
        <v>338</v>
      </c>
      <c r="D749" s="142"/>
      <c r="E749" s="142"/>
      <c r="F749" s="142" t="s">
        <v>338</v>
      </c>
      <c r="G749" s="142"/>
      <c r="H749" s="142" t="s">
        <v>338</v>
      </c>
      <c r="I749" s="141"/>
      <c r="J749" s="141">
        <v>1</v>
      </c>
      <c r="K749" s="142"/>
      <c r="L749" s="141">
        <v>0</v>
      </c>
      <c r="M749" s="142">
        <v>43537</v>
      </c>
      <c r="N749" s="142" t="s">
        <v>265</v>
      </c>
      <c r="O749" s="143" t="s">
        <v>340</v>
      </c>
      <c r="P749" s="141" t="s">
        <v>26</v>
      </c>
      <c r="Q749" s="143" t="s">
        <v>137</v>
      </c>
      <c r="R749" s="143" t="s">
        <v>2351</v>
      </c>
      <c r="S749" s="144" t="s">
        <v>1482</v>
      </c>
      <c r="T749" s="144" t="s">
        <v>721</v>
      </c>
      <c r="U749" s="145">
        <v>23900</v>
      </c>
      <c r="V749" s="145">
        <v>25812</v>
      </c>
      <c r="W749" s="145">
        <v>14700</v>
      </c>
      <c r="X749" s="145">
        <v>15876</v>
      </c>
      <c r="Y749" s="145">
        <v>9200</v>
      </c>
      <c r="Z749" s="145">
        <v>9936</v>
      </c>
      <c r="AA749" s="142">
        <v>43580</v>
      </c>
      <c r="AB749" s="142">
        <v>43582</v>
      </c>
      <c r="AC749" s="142"/>
      <c r="AD749" s="141">
        <v>0</v>
      </c>
      <c r="AE749" s="141"/>
      <c r="AF749" s="141"/>
      <c r="AG749" s="141">
        <v>0</v>
      </c>
      <c r="AH749" s="141"/>
      <c r="AI749" s="141"/>
      <c r="AJ749" s="141">
        <v>0</v>
      </c>
      <c r="AK749" s="141"/>
      <c r="AL749" s="141"/>
      <c r="AM749" s="141" t="s">
        <v>290</v>
      </c>
      <c r="AN749" s="141" t="s">
        <v>2352</v>
      </c>
      <c r="AO749" s="142"/>
      <c r="AP749" s="141"/>
      <c r="AQ749" s="141"/>
      <c r="AR749" s="142"/>
      <c r="AS749" s="141"/>
      <c r="AT749" s="142"/>
      <c r="AU749" s="141"/>
      <c r="AV749" s="142"/>
      <c r="AW749" s="146"/>
      <c r="AX749" s="146"/>
      <c r="AY749" s="147">
        <v>22944</v>
      </c>
      <c r="AZ749" s="132">
        <f>ROUNDDOWN(AY749+(AY749*MASTER!$A$2/100),0)</f>
        <v>24779</v>
      </c>
      <c r="BA749" s="141"/>
      <c r="BB749" s="145"/>
      <c r="BC749" s="145">
        <v>0</v>
      </c>
      <c r="BD749" s="141"/>
      <c r="BE749" s="141"/>
      <c r="BF749" s="145"/>
      <c r="BG749" s="145">
        <v>0</v>
      </c>
      <c r="BH749" s="141"/>
      <c r="BI749" s="141"/>
      <c r="BJ749" s="145"/>
      <c r="BK749" s="145">
        <v>0</v>
      </c>
      <c r="BL749" s="141"/>
      <c r="BM749" s="145"/>
      <c r="BN749" s="145"/>
      <c r="BO749" s="145"/>
      <c r="BP749" s="145"/>
      <c r="BQ749" s="145"/>
      <c r="BR749" s="145"/>
      <c r="BS749" s="145">
        <v>0</v>
      </c>
      <c r="BT749" s="148"/>
      <c r="BU749" s="148"/>
      <c r="BV749" s="149">
        <v>15876</v>
      </c>
      <c r="BW749" s="149">
        <v>0</v>
      </c>
      <c r="BX749" s="149">
        <v>43537</v>
      </c>
      <c r="BY749" s="149">
        <v>15876</v>
      </c>
      <c r="BZ749" s="150">
        <v>100</v>
      </c>
      <c r="CA749" s="141"/>
      <c r="CB749" s="141"/>
      <c r="CC749" s="141"/>
      <c r="CD749" s="144" t="s">
        <v>2353</v>
      </c>
      <c r="CE749" s="142"/>
      <c r="CF749" s="142"/>
      <c r="CG749" s="142"/>
      <c r="CH749" s="142"/>
      <c r="CI749" s="142"/>
      <c r="CJ749" s="142"/>
      <c r="CK749" s="145">
        <v>0</v>
      </c>
    </row>
    <row r="750" spans="1:89" x14ac:dyDescent="0.15">
      <c r="A750" s="84">
        <v>2</v>
      </c>
      <c r="B750" s="85">
        <v>43570</v>
      </c>
      <c r="C750" s="85">
        <v>43579</v>
      </c>
      <c r="D750" s="85" t="s">
        <v>374</v>
      </c>
      <c r="E750" s="85">
        <v>43580</v>
      </c>
      <c r="F750" s="85">
        <v>43586</v>
      </c>
      <c r="G750" s="85">
        <v>43581</v>
      </c>
      <c r="H750" s="85">
        <v>43582</v>
      </c>
      <c r="I750" s="84" t="s">
        <v>401</v>
      </c>
      <c r="J750" s="84">
        <v>1</v>
      </c>
      <c r="L750" s="84">
        <v>0</v>
      </c>
      <c r="M750" s="85">
        <v>43537</v>
      </c>
      <c r="N750" s="85" t="s">
        <v>265</v>
      </c>
      <c r="O750" s="86" t="s">
        <v>340</v>
      </c>
      <c r="P750" s="84" t="s">
        <v>26</v>
      </c>
      <c r="Q750" s="86" t="s">
        <v>137</v>
      </c>
      <c r="R750" s="86" t="s">
        <v>2354</v>
      </c>
      <c r="S750" s="87" t="s">
        <v>1758</v>
      </c>
      <c r="T750" s="87" t="s">
        <v>794</v>
      </c>
      <c r="U750" s="88">
        <v>23900</v>
      </c>
      <c r="V750" s="88">
        <v>25812</v>
      </c>
      <c r="W750" s="88">
        <v>14700</v>
      </c>
      <c r="X750" s="88">
        <v>15876</v>
      </c>
      <c r="Y750" s="88">
        <v>9200</v>
      </c>
      <c r="Z750" s="88">
        <v>9936</v>
      </c>
      <c r="AA750" s="85">
        <v>43577</v>
      </c>
      <c r="AB750" s="85">
        <v>43579</v>
      </c>
      <c r="AC750" s="85">
        <v>43579</v>
      </c>
      <c r="AD750" s="84">
        <v>0</v>
      </c>
      <c r="AG750" s="84">
        <v>0</v>
      </c>
      <c r="AJ750" s="84">
        <v>0</v>
      </c>
      <c r="AM750" s="84" t="s">
        <v>290</v>
      </c>
      <c r="AN750" s="84" t="s">
        <v>2355</v>
      </c>
      <c r="AR750" s="85">
        <v>43556</v>
      </c>
      <c r="AS750" s="84">
        <v>6001662513</v>
      </c>
      <c r="AT750" s="85">
        <v>43556</v>
      </c>
      <c r="AU750" s="84" t="s">
        <v>2213</v>
      </c>
      <c r="AV750" s="85">
        <v>43579</v>
      </c>
      <c r="AW750" s="123">
        <v>43585</v>
      </c>
      <c r="AX750" s="123">
        <v>43605</v>
      </c>
      <c r="AY750" s="132">
        <v>22944</v>
      </c>
      <c r="AZ750" s="132">
        <f>ROUNDDOWN(AY750+(AY750*MASTER!$A$2/100),0)</f>
        <v>24779</v>
      </c>
      <c r="BA750" s="84" t="s">
        <v>778</v>
      </c>
      <c r="BC750" s="88">
        <v>0</v>
      </c>
      <c r="BG750" s="88">
        <v>0</v>
      </c>
      <c r="BI750" s="84" t="s">
        <v>276</v>
      </c>
      <c r="BJ750" s="88">
        <v>5980</v>
      </c>
      <c r="BK750" s="88">
        <v>6458.4</v>
      </c>
      <c r="BL750" s="84" t="s">
        <v>1645</v>
      </c>
      <c r="BS750" s="88">
        <v>0</v>
      </c>
      <c r="BV750" s="89">
        <v>15876</v>
      </c>
      <c r="BW750" s="89">
        <v>6458.4</v>
      </c>
      <c r="BX750" s="89">
        <v>43537</v>
      </c>
      <c r="BY750" s="89">
        <v>9417.6</v>
      </c>
      <c r="BZ750" s="112">
        <v>59.319727891156461</v>
      </c>
      <c r="CK750" s="88">
        <v>0</v>
      </c>
    </row>
    <row r="751" spans="1:89" x14ac:dyDescent="0.15">
      <c r="A751" s="84">
        <v>2</v>
      </c>
      <c r="B751" s="85">
        <v>43570</v>
      </c>
      <c r="C751" s="85">
        <v>43580</v>
      </c>
      <c r="D751" s="85" t="s">
        <v>374</v>
      </c>
      <c r="E751" s="85">
        <v>43593</v>
      </c>
      <c r="F751" s="85">
        <v>43587</v>
      </c>
      <c r="G751" s="85">
        <v>43593</v>
      </c>
      <c r="H751" s="85">
        <v>43583</v>
      </c>
      <c r="I751" s="84" t="s">
        <v>401</v>
      </c>
      <c r="J751" s="84">
        <v>1</v>
      </c>
      <c r="L751" s="84">
        <v>0</v>
      </c>
      <c r="M751" s="85">
        <v>43537</v>
      </c>
      <c r="N751" s="85" t="s">
        <v>265</v>
      </c>
      <c r="O751" s="86" t="s">
        <v>340</v>
      </c>
      <c r="P751" s="84" t="s">
        <v>26</v>
      </c>
      <c r="Q751" s="86" t="s">
        <v>137</v>
      </c>
      <c r="R751" s="86" t="s">
        <v>2356</v>
      </c>
      <c r="S751" s="87" t="s">
        <v>685</v>
      </c>
      <c r="T751" s="87" t="s">
        <v>794</v>
      </c>
      <c r="U751" s="88">
        <v>23900</v>
      </c>
      <c r="V751" s="88">
        <v>25812</v>
      </c>
      <c r="W751" s="88">
        <v>14700</v>
      </c>
      <c r="X751" s="88">
        <v>15876</v>
      </c>
      <c r="Y751" s="88">
        <v>9200</v>
      </c>
      <c r="Z751" s="88">
        <v>9936</v>
      </c>
      <c r="AA751" s="85">
        <v>43579</v>
      </c>
      <c r="AB751" s="85">
        <v>43580</v>
      </c>
      <c r="AC751" s="85">
        <v>43580</v>
      </c>
      <c r="AD751" s="84">
        <v>0</v>
      </c>
      <c r="AG751" s="84">
        <v>0</v>
      </c>
      <c r="AJ751" s="84">
        <v>0</v>
      </c>
      <c r="AM751" s="84" t="s">
        <v>290</v>
      </c>
      <c r="AN751" s="84" t="s">
        <v>2357</v>
      </c>
      <c r="AR751" s="85">
        <v>43556</v>
      </c>
      <c r="AS751" s="84">
        <v>6001662513</v>
      </c>
      <c r="AT751" s="85">
        <v>43556</v>
      </c>
      <c r="AU751" s="84" t="s">
        <v>2213</v>
      </c>
      <c r="AV751" s="85">
        <v>43580</v>
      </c>
      <c r="AW751" s="123">
        <v>43585</v>
      </c>
      <c r="AX751" s="123">
        <v>43605</v>
      </c>
      <c r="AY751" s="132">
        <v>22944</v>
      </c>
      <c r="AZ751" s="132">
        <f>ROUNDDOWN(AY751+(AY751*MASTER!$A$2/100),0)</f>
        <v>24779</v>
      </c>
      <c r="BA751" s="84" t="s">
        <v>778</v>
      </c>
      <c r="BC751" s="88">
        <v>0</v>
      </c>
      <c r="BG751" s="88">
        <v>0</v>
      </c>
      <c r="BI751" s="84" t="s">
        <v>276</v>
      </c>
      <c r="BJ751" s="88">
        <v>5980</v>
      </c>
      <c r="BK751" s="88">
        <v>6458.4</v>
      </c>
      <c r="BL751" s="84" t="s">
        <v>1645</v>
      </c>
      <c r="BS751" s="88">
        <v>0</v>
      </c>
      <c r="BV751" s="89">
        <v>15876</v>
      </c>
      <c r="BW751" s="89">
        <v>6458.4</v>
      </c>
      <c r="BX751" s="89">
        <v>43537</v>
      </c>
      <c r="BY751" s="89">
        <v>9417.6</v>
      </c>
      <c r="BZ751" s="112">
        <v>59.319727891156461</v>
      </c>
      <c r="CK751" s="88">
        <v>0</v>
      </c>
    </row>
    <row r="752" spans="1:89" x14ac:dyDescent="0.15">
      <c r="A752" s="84">
        <v>2</v>
      </c>
      <c r="B752" s="85">
        <v>43551</v>
      </c>
      <c r="C752" s="85">
        <v>43552</v>
      </c>
      <c r="D752" s="85">
        <v>43549</v>
      </c>
      <c r="E752" s="85">
        <v>43549</v>
      </c>
      <c r="F752" s="85" t="s">
        <v>338</v>
      </c>
      <c r="G752" s="85">
        <v>43549</v>
      </c>
      <c r="H752" s="85" t="s">
        <v>338</v>
      </c>
      <c r="I752" s="84" t="s">
        <v>380</v>
      </c>
      <c r="J752" s="84">
        <v>2</v>
      </c>
      <c r="L752" s="84">
        <v>0</v>
      </c>
      <c r="M752" s="85">
        <v>43537</v>
      </c>
      <c r="N752" s="85" t="s">
        <v>265</v>
      </c>
      <c r="O752" s="86" t="s">
        <v>340</v>
      </c>
      <c r="P752" s="84" t="s">
        <v>6</v>
      </c>
      <c r="Q752" s="86" t="s">
        <v>137</v>
      </c>
      <c r="R752" s="86" t="s">
        <v>2358</v>
      </c>
      <c r="S752" s="87" t="s">
        <v>1641</v>
      </c>
      <c r="T752" s="87" t="s">
        <v>342</v>
      </c>
      <c r="U752" s="88">
        <v>35000</v>
      </c>
      <c r="V752" s="88">
        <v>37800</v>
      </c>
      <c r="W752" s="88">
        <v>35000</v>
      </c>
      <c r="X752" s="88">
        <v>37800</v>
      </c>
      <c r="Z752" s="88">
        <v>0</v>
      </c>
      <c r="AA752" s="85">
        <v>43549</v>
      </c>
      <c r="AB752" s="85">
        <v>43549</v>
      </c>
      <c r="AD752" s="84">
        <v>0</v>
      </c>
      <c r="AG752" s="84">
        <v>0</v>
      </c>
      <c r="AJ752" s="84">
        <v>0</v>
      </c>
      <c r="AN752" s="84" t="s">
        <v>338</v>
      </c>
      <c r="AR752" s="85">
        <v>43550</v>
      </c>
      <c r="AS752" s="84">
        <v>6001661194</v>
      </c>
      <c r="AT752" s="85">
        <v>43550</v>
      </c>
      <c r="AU752" s="84" t="s">
        <v>2359</v>
      </c>
      <c r="AV752" s="85">
        <v>43552</v>
      </c>
      <c r="AW752" s="123">
        <v>43555</v>
      </c>
      <c r="AX752" s="123">
        <v>43575</v>
      </c>
      <c r="AY752" s="132">
        <v>33600</v>
      </c>
      <c r="AZ752" s="132">
        <f>ROUNDDOWN(AY752+(AY752*MASTER!$A$2/100),0)</f>
        <v>36288</v>
      </c>
      <c r="BA752" s="84" t="s">
        <v>287</v>
      </c>
      <c r="BB752" s="88">
        <v>23000</v>
      </c>
      <c r="BC752" s="88">
        <v>24840</v>
      </c>
      <c r="BD752" s="84" t="s">
        <v>1579</v>
      </c>
      <c r="BG752" s="88">
        <v>0</v>
      </c>
      <c r="BK752" s="88">
        <v>0</v>
      </c>
      <c r="BS752" s="88">
        <v>0</v>
      </c>
      <c r="BV752" s="89">
        <v>37800</v>
      </c>
      <c r="BW752" s="89">
        <v>24840</v>
      </c>
      <c r="BX752" s="89">
        <v>43537</v>
      </c>
      <c r="BY752" s="89">
        <v>12960</v>
      </c>
      <c r="BZ752" s="112">
        <v>34.285714285714285</v>
      </c>
      <c r="CK752" s="88">
        <v>0</v>
      </c>
    </row>
    <row r="753" spans="1:89" x14ac:dyDescent="0.15">
      <c r="A753" s="84">
        <v>2</v>
      </c>
      <c r="B753" s="85">
        <v>43570</v>
      </c>
      <c r="C753" s="85">
        <v>43580</v>
      </c>
      <c r="D753" s="85">
        <v>43619</v>
      </c>
      <c r="E753" s="85">
        <v>43592</v>
      </c>
      <c r="F753" s="85">
        <v>43587</v>
      </c>
      <c r="G753" s="85">
        <v>43592</v>
      </c>
      <c r="H753" s="85">
        <v>43583</v>
      </c>
      <c r="I753" s="84" t="s">
        <v>401</v>
      </c>
      <c r="J753" s="84">
        <v>1</v>
      </c>
      <c r="L753" s="84">
        <v>0</v>
      </c>
      <c r="M753" s="85">
        <v>43537</v>
      </c>
      <c r="N753" s="85" t="s">
        <v>265</v>
      </c>
      <c r="O753" s="86" t="s">
        <v>340</v>
      </c>
      <c r="P753" s="84" t="s">
        <v>26</v>
      </c>
      <c r="Q753" s="86" t="s">
        <v>137</v>
      </c>
      <c r="R753" s="86" t="s">
        <v>2360</v>
      </c>
      <c r="S753" s="87" t="s">
        <v>1697</v>
      </c>
      <c r="T753" s="87" t="s">
        <v>2055</v>
      </c>
      <c r="U753" s="88">
        <v>341700</v>
      </c>
      <c r="V753" s="88">
        <v>369036</v>
      </c>
      <c r="W753" s="88">
        <v>332500</v>
      </c>
      <c r="X753" s="88">
        <v>359100</v>
      </c>
      <c r="Y753" s="88">
        <v>9200</v>
      </c>
      <c r="Z753" s="88">
        <v>9936</v>
      </c>
      <c r="AA753" s="85">
        <v>43577</v>
      </c>
      <c r="AB753" s="85">
        <v>43580</v>
      </c>
      <c r="AC753" s="85">
        <v>43580</v>
      </c>
      <c r="AD753" s="84">
        <v>0</v>
      </c>
      <c r="AG753" s="84">
        <v>0</v>
      </c>
      <c r="AJ753" s="84">
        <v>0</v>
      </c>
      <c r="AM753" s="84" t="s">
        <v>290</v>
      </c>
      <c r="AN753" s="84" t="s">
        <v>2361</v>
      </c>
      <c r="AR753" s="85">
        <v>43563</v>
      </c>
      <c r="AS753" s="84">
        <v>6001664890</v>
      </c>
      <c r="AT753" s="85">
        <v>43563</v>
      </c>
      <c r="AU753" s="84" t="s">
        <v>1692</v>
      </c>
      <c r="AV753" s="85">
        <v>43580</v>
      </c>
      <c r="AW753" s="123">
        <v>43585</v>
      </c>
      <c r="AX753" s="123">
        <v>43605</v>
      </c>
      <c r="AY753" s="132">
        <v>328032</v>
      </c>
      <c r="AZ753" s="132">
        <f>ROUNDDOWN(AY753+(AY753*MASTER!$A$2/100),0)</f>
        <v>354274</v>
      </c>
      <c r="BA753" s="84" t="s">
        <v>400</v>
      </c>
      <c r="BB753" s="88">
        <v>81400</v>
      </c>
      <c r="BC753" s="88">
        <v>87912</v>
      </c>
      <c r="BD753" s="84" t="s">
        <v>2197</v>
      </c>
      <c r="BG753" s="88">
        <v>0</v>
      </c>
      <c r="BI753" s="84" t="s">
        <v>434</v>
      </c>
      <c r="BJ753" s="88">
        <v>5980</v>
      </c>
      <c r="BK753" s="88">
        <v>6458.4</v>
      </c>
      <c r="BL753" s="84" t="s">
        <v>2197</v>
      </c>
      <c r="BS753" s="88">
        <v>0</v>
      </c>
      <c r="BV753" s="89">
        <v>359100</v>
      </c>
      <c r="BW753" s="89">
        <v>94370.4</v>
      </c>
      <c r="BX753" s="89">
        <v>43537</v>
      </c>
      <c r="BY753" s="89">
        <v>264729.59999999998</v>
      </c>
      <c r="BZ753" s="112">
        <v>73.720300751879691</v>
      </c>
      <c r="CD753" s="87" t="s">
        <v>2362</v>
      </c>
      <c r="CK753" s="88">
        <v>31500</v>
      </c>
    </row>
    <row r="754" spans="1:89" s="151" customFormat="1" x14ac:dyDescent="0.15">
      <c r="A754" s="141">
        <v>3</v>
      </c>
      <c r="B754" s="142"/>
      <c r="C754" s="142" t="s">
        <v>338</v>
      </c>
      <c r="D754" s="142"/>
      <c r="E754" s="142"/>
      <c r="F754" s="142" t="s">
        <v>338</v>
      </c>
      <c r="G754" s="142"/>
      <c r="H754" s="142" t="s">
        <v>338</v>
      </c>
      <c r="I754" s="141"/>
      <c r="J754" s="141">
        <v>2</v>
      </c>
      <c r="K754" s="142"/>
      <c r="L754" s="141">
        <v>0</v>
      </c>
      <c r="M754" s="142">
        <v>43537</v>
      </c>
      <c r="N754" s="142" t="s">
        <v>265</v>
      </c>
      <c r="O754" s="143" t="s">
        <v>340</v>
      </c>
      <c r="P754" s="141" t="s">
        <v>6</v>
      </c>
      <c r="Q754" s="143" t="s">
        <v>137</v>
      </c>
      <c r="R754" s="143" t="s">
        <v>2363</v>
      </c>
      <c r="S754" s="144" t="s">
        <v>550</v>
      </c>
      <c r="T754" s="144" t="s">
        <v>2364</v>
      </c>
      <c r="U754" s="145">
        <v>35000</v>
      </c>
      <c r="V754" s="145">
        <v>37800</v>
      </c>
      <c r="W754" s="145">
        <v>35000</v>
      </c>
      <c r="X754" s="145">
        <v>37800</v>
      </c>
      <c r="Y754" s="145"/>
      <c r="Z754" s="145">
        <v>0</v>
      </c>
      <c r="AA754" s="142"/>
      <c r="AB754" s="142"/>
      <c r="AC754" s="142"/>
      <c r="AD754" s="141">
        <v>0</v>
      </c>
      <c r="AE754" s="141"/>
      <c r="AF754" s="141"/>
      <c r="AG754" s="141">
        <v>0</v>
      </c>
      <c r="AH754" s="141"/>
      <c r="AI754" s="141"/>
      <c r="AJ754" s="141">
        <v>0</v>
      </c>
      <c r="AK754" s="141"/>
      <c r="AL754" s="141"/>
      <c r="AM754" s="141"/>
      <c r="AN754" s="141" t="s">
        <v>338</v>
      </c>
      <c r="AO754" s="142"/>
      <c r="AP754" s="141"/>
      <c r="AQ754" s="141"/>
      <c r="AR754" s="142"/>
      <c r="AS754" s="141"/>
      <c r="AT754" s="142"/>
      <c r="AU754" s="141"/>
      <c r="AV754" s="142"/>
      <c r="AW754" s="146"/>
      <c r="AX754" s="146"/>
      <c r="AY754" s="147">
        <v>33600</v>
      </c>
      <c r="AZ754" s="132">
        <f>ROUNDDOWN(AY754+(AY754*MASTER!$A$2/100),0)</f>
        <v>36288</v>
      </c>
      <c r="BA754" s="141"/>
      <c r="BB754" s="145"/>
      <c r="BC754" s="145">
        <v>0</v>
      </c>
      <c r="BD754" s="141"/>
      <c r="BE754" s="141"/>
      <c r="BF754" s="145"/>
      <c r="BG754" s="145">
        <v>0</v>
      </c>
      <c r="BH754" s="141"/>
      <c r="BI754" s="141"/>
      <c r="BJ754" s="145"/>
      <c r="BK754" s="145">
        <v>0</v>
      </c>
      <c r="BL754" s="141"/>
      <c r="BM754" s="145"/>
      <c r="BN754" s="145"/>
      <c r="BO754" s="145"/>
      <c r="BP754" s="145"/>
      <c r="BQ754" s="145"/>
      <c r="BR754" s="145"/>
      <c r="BS754" s="145">
        <v>0</v>
      </c>
      <c r="BT754" s="148"/>
      <c r="BU754" s="148"/>
      <c r="BV754" s="149">
        <v>37800</v>
      </c>
      <c r="BW754" s="149">
        <v>0</v>
      </c>
      <c r="BX754" s="149">
        <v>43537</v>
      </c>
      <c r="BY754" s="149">
        <v>37800</v>
      </c>
      <c r="BZ754" s="150">
        <v>100</v>
      </c>
      <c r="CA754" s="141"/>
      <c r="CB754" s="141"/>
      <c r="CC754" s="141"/>
      <c r="CD754" s="144" t="s">
        <v>2365</v>
      </c>
      <c r="CE754" s="142"/>
      <c r="CF754" s="142"/>
      <c r="CG754" s="142"/>
      <c r="CH754" s="142"/>
      <c r="CI754" s="142"/>
      <c r="CJ754" s="142"/>
      <c r="CK754" s="145">
        <v>0</v>
      </c>
    </row>
    <row r="755" spans="1:89" x14ac:dyDescent="0.15">
      <c r="A755" s="84">
        <v>2</v>
      </c>
      <c r="B755" s="85">
        <v>43560</v>
      </c>
      <c r="C755" s="85">
        <v>43571</v>
      </c>
      <c r="D755" s="85">
        <v>43595</v>
      </c>
      <c r="E755" s="85">
        <v>43573</v>
      </c>
      <c r="F755" s="85">
        <v>43578</v>
      </c>
      <c r="G755" s="85">
        <v>43572</v>
      </c>
      <c r="H755" s="85">
        <v>43574</v>
      </c>
      <c r="I755" s="84" t="s">
        <v>401</v>
      </c>
      <c r="J755" s="84">
        <v>2</v>
      </c>
      <c r="L755" s="84">
        <v>0</v>
      </c>
      <c r="M755" s="85">
        <v>43538</v>
      </c>
      <c r="N755" s="85" t="s">
        <v>265</v>
      </c>
      <c r="O755" s="86" t="s">
        <v>340</v>
      </c>
      <c r="P755" s="84" t="s">
        <v>26</v>
      </c>
      <c r="Q755" s="86" t="s">
        <v>137</v>
      </c>
      <c r="R755" s="86" t="s">
        <v>2366</v>
      </c>
      <c r="S755" s="87" t="s">
        <v>2367</v>
      </c>
      <c r="T755" s="87" t="s">
        <v>1573</v>
      </c>
      <c r="U755" s="88">
        <v>142500</v>
      </c>
      <c r="V755" s="88">
        <v>153900</v>
      </c>
      <c r="W755" s="88">
        <v>142500</v>
      </c>
      <c r="X755" s="88">
        <v>153900</v>
      </c>
      <c r="Z755" s="88">
        <v>0</v>
      </c>
      <c r="AA755" s="85">
        <v>43568</v>
      </c>
      <c r="AB755" s="85">
        <v>43571</v>
      </c>
      <c r="AC755" s="85">
        <v>43571</v>
      </c>
      <c r="AD755" s="84">
        <v>0</v>
      </c>
      <c r="AG755" s="84">
        <v>0</v>
      </c>
      <c r="AJ755" s="84">
        <v>0</v>
      </c>
      <c r="AM755" s="84" t="s">
        <v>290</v>
      </c>
      <c r="AN755" s="84" t="s">
        <v>2368</v>
      </c>
      <c r="AR755" s="85">
        <v>43556</v>
      </c>
      <c r="AS755" s="84">
        <v>6001662513</v>
      </c>
      <c r="AT755" s="85">
        <v>43556</v>
      </c>
      <c r="AU755" s="84" t="s">
        <v>2213</v>
      </c>
      <c r="AV755" s="85">
        <v>43571</v>
      </c>
      <c r="AW755" s="123">
        <v>43585</v>
      </c>
      <c r="AX755" s="123">
        <v>43605</v>
      </c>
      <c r="AY755" s="132">
        <v>136800</v>
      </c>
      <c r="AZ755" s="132">
        <f>ROUNDDOWN(AY755+(AY755*MASTER!$A$2/100),0)</f>
        <v>147744</v>
      </c>
      <c r="BA755" s="84" t="s">
        <v>400</v>
      </c>
      <c r="BB755" s="88">
        <v>56400</v>
      </c>
      <c r="BC755" s="88">
        <v>60912</v>
      </c>
      <c r="BD755" s="84" t="s">
        <v>1579</v>
      </c>
      <c r="BG755" s="88">
        <v>0</v>
      </c>
      <c r="BK755" s="88">
        <v>0</v>
      </c>
      <c r="BS755" s="88">
        <v>0</v>
      </c>
      <c r="BV755" s="89">
        <v>153900</v>
      </c>
      <c r="BW755" s="89">
        <v>60912</v>
      </c>
      <c r="BX755" s="89">
        <v>43538</v>
      </c>
      <c r="BY755" s="89">
        <v>92988</v>
      </c>
      <c r="BZ755" s="112">
        <v>60.421052631578945</v>
      </c>
      <c r="CK755" s="88">
        <v>31500</v>
      </c>
    </row>
    <row r="756" spans="1:89" x14ac:dyDescent="0.15">
      <c r="A756" s="84">
        <v>2</v>
      </c>
      <c r="B756" s="85">
        <v>43570</v>
      </c>
      <c r="C756" s="85">
        <v>43582</v>
      </c>
      <c r="D756" s="85" t="s">
        <v>374</v>
      </c>
      <c r="E756" s="85">
        <v>43593</v>
      </c>
      <c r="F756" s="85">
        <v>43589</v>
      </c>
      <c r="G756" s="85">
        <v>43593</v>
      </c>
      <c r="H756" s="85">
        <v>43585</v>
      </c>
      <c r="I756" s="84" t="s">
        <v>401</v>
      </c>
      <c r="J756" s="84">
        <v>1</v>
      </c>
      <c r="L756" s="84">
        <v>0</v>
      </c>
      <c r="M756" s="85">
        <v>43538</v>
      </c>
      <c r="N756" s="85" t="s">
        <v>265</v>
      </c>
      <c r="O756" s="86" t="s">
        <v>340</v>
      </c>
      <c r="P756" s="84" t="s">
        <v>26</v>
      </c>
      <c r="Q756" s="86" t="s">
        <v>137</v>
      </c>
      <c r="R756" s="86" t="s">
        <v>2369</v>
      </c>
      <c r="S756" s="87" t="s">
        <v>384</v>
      </c>
      <c r="T756" s="87" t="s">
        <v>794</v>
      </c>
      <c r="U756" s="88">
        <v>23900</v>
      </c>
      <c r="V756" s="88">
        <v>25812</v>
      </c>
      <c r="W756" s="88">
        <v>14700</v>
      </c>
      <c r="X756" s="88">
        <v>15876</v>
      </c>
      <c r="Y756" s="88">
        <v>9200</v>
      </c>
      <c r="Z756" s="88">
        <v>9936</v>
      </c>
      <c r="AA756" s="85">
        <v>43581</v>
      </c>
      <c r="AB756" s="85">
        <v>43582</v>
      </c>
      <c r="AC756" s="85">
        <v>43582</v>
      </c>
      <c r="AD756" s="84">
        <v>0</v>
      </c>
      <c r="AG756" s="84">
        <v>0</v>
      </c>
      <c r="AJ756" s="84">
        <v>0</v>
      </c>
      <c r="AM756" s="84" t="s">
        <v>290</v>
      </c>
      <c r="AN756" s="84" t="s">
        <v>2370</v>
      </c>
      <c r="AR756" s="85">
        <v>43556</v>
      </c>
      <c r="AS756" s="84">
        <v>6001662513</v>
      </c>
      <c r="AT756" s="85">
        <v>43556</v>
      </c>
      <c r="AU756" s="84" t="s">
        <v>2213</v>
      </c>
      <c r="AV756" s="85">
        <v>43582</v>
      </c>
      <c r="AW756" s="123">
        <v>43585</v>
      </c>
      <c r="AX756" s="123">
        <v>43605</v>
      </c>
      <c r="AY756" s="132">
        <v>22944</v>
      </c>
      <c r="AZ756" s="132">
        <f>ROUNDDOWN(AY756+(AY756*MASTER!$A$2/100),0)</f>
        <v>24779</v>
      </c>
      <c r="BA756" s="84" t="s">
        <v>778</v>
      </c>
      <c r="BC756" s="88">
        <v>0</v>
      </c>
      <c r="BG756" s="88">
        <v>0</v>
      </c>
      <c r="BI756" s="84" t="s">
        <v>434</v>
      </c>
      <c r="BJ756" s="88">
        <v>5980</v>
      </c>
      <c r="BK756" s="88">
        <v>6458.4</v>
      </c>
      <c r="BL756" s="84" t="s">
        <v>2197</v>
      </c>
      <c r="BS756" s="88">
        <v>0</v>
      </c>
      <c r="BV756" s="89">
        <v>15876</v>
      </c>
      <c r="BW756" s="89">
        <v>6458.4</v>
      </c>
      <c r="BX756" s="89">
        <v>43538</v>
      </c>
      <c r="BY756" s="89">
        <v>9417.6</v>
      </c>
      <c r="BZ756" s="112">
        <v>59.319727891156461</v>
      </c>
      <c r="CK756" s="88">
        <v>0</v>
      </c>
    </row>
    <row r="757" spans="1:89" x14ac:dyDescent="0.15">
      <c r="A757" s="84">
        <v>1</v>
      </c>
      <c r="B757" s="85">
        <v>43542</v>
      </c>
      <c r="C757" s="85">
        <v>43539</v>
      </c>
      <c r="F757" s="85" t="s">
        <v>338</v>
      </c>
      <c r="H757" s="85" t="s">
        <v>338</v>
      </c>
      <c r="J757" s="84">
        <v>2</v>
      </c>
      <c r="L757" s="84">
        <v>0</v>
      </c>
      <c r="M757" s="85">
        <v>43538</v>
      </c>
      <c r="N757" s="85" t="s">
        <v>265</v>
      </c>
      <c r="O757" s="86" t="s">
        <v>340</v>
      </c>
      <c r="P757" s="84" t="s">
        <v>271</v>
      </c>
      <c r="Q757" s="86" t="s">
        <v>137</v>
      </c>
      <c r="R757" s="86" t="s">
        <v>2371</v>
      </c>
      <c r="S757" s="87" t="s">
        <v>928</v>
      </c>
      <c r="T757" s="87" t="s">
        <v>2205</v>
      </c>
      <c r="U757" s="88">
        <v>300000</v>
      </c>
      <c r="V757" s="88">
        <v>324000</v>
      </c>
      <c r="W757" s="88">
        <v>300000</v>
      </c>
      <c r="X757" s="88">
        <v>324000</v>
      </c>
      <c r="Z757" s="88">
        <v>0</v>
      </c>
      <c r="AD757" s="84">
        <v>0</v>
      </c>
      <c r="AG757" s="84">
        <v>0</v>
      </c>
      <c r="AJ757" s="84">
        <v>0</v>
      </c>
      <c r="AN757" s="84" t="s">
        <v>338</v>
      </c>
      <c r="AR757" s="85">
        <v>43539</v>
      </c>
      <c r="AS757" s="84">
        <v>6001657831</v>
      </c>
      <c r="AT757" s="85">
        <v>43539</v>
      </c>
      <c r="AU757" s="84" t="s">
        <v>1955</v>
      </c>
      <c r="AV757" s="85">
        <v>43539</v>
      </c>
      <c r="AW757" s="123">
        <v>43555</v>
      </c>
      <c r="AX757" s="123">
        <v>43575</v>
      </c>
      <c r="AY757" s="132">
        <v>288000</v>
      </c>
      <c r="AZ757" s="132">
        <f>ROUNDDOWN(AY757+(AY757*MASTER!$A$2/100),0)</f>
        <v>311040</v>
      </c>
      <c r="BC757" s="88">
        <v>0</v>
      </c>
      <c r="BG757" s="88">
        <v>0</v>
      </c>
      <c r="BK757" s="88">
        <v>0</v>
      </c>
      <c r="BS757" s="88">
        <v>0</v>
      </c>
      <c r="BV757" s="89">
        <v>324000</v>
      </c>
      <c r="BW757" s="89">
        <v>0</v>
      </c>
      <c r="BX757" s="89">
        <v>43538</v>
      </c>
      <c r="BY757" s="89">
        <v>324000</v>
      </c>
      <c r="BZ757" s="112">
        <v>100</v>
      </c>
      <c r="CK757" s="88">
        <v>300000</v>
      </c>
    </row>
    <row r="758" spans="1:89" x14ac:dyDescent="0.15">
      <c r="A758" s="84">
        <v>2</v>
      </c>
      <c r="B758" s="85">
        <v>43571</v>
      </c>
      <c r="C758" s="85">
        <v>43580</v>
      </c>
      <c r="D758" s="85">
        <v>43619</v>
      </c>
      <c r="E758" s="85">
        <v>43592</v>
      </c>
      <c r="F758" s="85">
        <v>43587</v>
      </c>
      <c r="G758" s="85">
        <v>43592</v>
      </c>
      <c r="H758" s="85">
        <v>43583</v>
      </c>
      <c r="I758" s="84" t="s">
        <v>401</v>
      </c>
      <c r="J758" s="84">
        <v>2</v>
      </c>
      <c r="L758" s="84">
        <v>0</v>
      </c>
      <c r="M758" s="85">
        <v>43538</v>
      </c>
      <c r="N758" s="85" t="s">
        <v>265</v>
      </c>
      <c r="O758" s="86" t="s">
        <v>340</v>
      </c>
      <c r="P758" s="84" t="s">
        <v>26</v>
      </c>
      <c r="Q758" s="86" t="s">
        <v>137</v>
      </c>
      <c r="R758" s="86" t="s">
        <v>2372</v>
      </c>
      <c r="S758" s="87" t="s">
        <v>2373</v>
      </c>
      <c r="T758" s="87" t="s">
        <v>2034</v>
      </c>
      <c r="U758" s="88">
        <v>142500</v>
      </c>
      <c r="V758" s="88">
        <v>153900</v>
      </c>
      <c r="W758" s="88">
        <v>142500</v>
      </c>
      <c r="X758" s="88">
        <v>153900</v>
      </c>
      <c r="Z758" s="88">
        <v>0</v>
      </c>
      <c r="AA758" s="85">
        <v>43577</v>
      </c>
      <c r="AB758" s="85">
        <v>43580</v>
      </c>
      <c r="AC758" s="85">
        <v>43580</v>
      </c>
      <c r="AD758" s="84">
        <v>0</v>
      </c>
      <c r="AG758" s="84">
        <v>0</v>
      </c>
      <c r="AJ758" s="84">
        <v>0</v>
      </c>
      <c r="AM758" s="84" t="s">
        <v>290</v>
      </c>
      <c r="AN758" s="84" t="s">
        <v>2374</v>
      </c>
      <c r="AR758" s="85">
        <v>43565</v>
      </c>
      <c r="AS758" s="84">
        <v>6001665602</v>
      </c>
      <c r="AT758" s="85">
        <v>43570</v>
      </c>
      <c r="AU758" s="84" t="s">
        <v>2325</v>
      </c>
      <c r="AV758" s="85">
        <v>43580</v>
      </c>
      <c r="AW758" s="123">
        <v>43585</v>
      </c>
      <c r="AX758" s="123">
        <v>43605</v>
      </c>
      <c r="AY758" s="132">
        <v>136800</v>
      </c>
      <c r="AZ758" s="132">
        <f>ROUNDDOWN(AY758+(AY758*MASTER!$A$2/100),0)</f>
        <v>147744</v>
      </c>
      <c r="BA758" s="84" t="s">
        <v>400</v>
      </c>
      <c r="BB758" s="88">
        <v>62480</v>
      </c>
      <c r="BC758" s="88">
        <v>67478.399999999994</v>
      </c>
      <c r="BD758" s="84" t="s">
        <v>2197</v>
      </c>
      <c r="BG758" s="88">
        <v>0</v>
      </c>
      <c r="BK758" s="88">
        <v>0</v>
      </c>
      <c r="BS758" s="88">
        <v>0</v>
      </c>
      <c r="BV758" s="89">
        <v>153900</v>
      </c>
      <c r="BW758" s="89">
        <v>67478.399999999994</v>
      </c>
      <c r="BX758" s="89">
        <v>43538</v>
      </c>
      <c r="BY758" s="89">
        <v>86421.6</v>
      </c>
      <c r="BZ758" s="112">
        <v>56.154385964912279</v>
      </c>
      <c r="CK758" s="88">
        <v>31500</v>
      </c>
    </row>
    <row r="759" spans="1:89" x14ac:dyDescent="0.15">
      <c r="A759" s="84">
        <v>2</v>
      </c>
      <c r="B759" s="85">
        <v>43544</v>
      </c>
      <c r="C759" s="85">
        <v>43553</v>
      </c>
      <c r="D759" s="85">
        <v>43593</v>
      </c>
      <c r="E759" s="85">
        <v>43579</v>
      </c>
      <c r="F759" s="85">
        <v>43558</v>
      </c>
      <c r="G759" s="85">
        <v>43552</v>
      </c>
      <c r="H759" s="85">
        <v>43554</v>
      </c>
      <c r="I759" s="84" t="s">
        <v>1191</v>
      </c>
      <c r="J759" s="84">
        <v>2</v>
      </c>
      <c r="L759" s="84">
        <v>0</v>
      </c>
      <c r="M759" s="85">
        <v>43539</v>
      </c>
      <c r="N759" s="85" t="s">
        <v>265</v>
      </c>
      <c r="O759" s="86" t="s">
        <v>340</v>
      </c>
      <c r="P759" s="84" t="s">
        <v>26</v>
      </c>
      <c r="Q759" s="86" t="s">
        <v>137</v>
      </c>
      <c r="R759" s="86" t="s">
        <v>2375</v>
      </c>
      <c r="S759" s="87" t="s">
        <v>1717</v>
      </c>
      <c r="T759" s="87" t="s">
        <v>2376</v>
      </c>
      <c r="U759" s="88">
        <v>372500</v>
      </c>
      <c r="V759" s="88">
        <v>402300</v>
      </c>
      <c r="W759" s="88">
        <v>372500</v>
      </c>
      <c r="X759" s="88">
        <v>402300</v>
      </c>
      <c r="Z759" s="88">
        <v>0</v>
      </c>
      <c r="AA759" s="85">
        <v>43548</v>
      </c>
      <c r="AB759" s="85">
        <v>43551</v>
      </c>
      <c r="AC759" s="85">
        <v>43551</v>
      </c>
      <c r="AD759" s="84">
        <v>0</v>
      </c>
      <c r="AG759" s="84">
        <v>0</v>
      </c>
      <c r="AJ759" s="84">
        <v>0</v>
      </c>
      <c r="AM759" s="84" t="s">
        <v>290</v>
      </c>
      <c r="AN759" s="84" t="s">
        <v>2377</v>
      </c>
      <c r="AR759" s="85">
        <v>43543</v>
      </c>
      <c r="AS759" s="84">
        <v>6001659164</v>
      </c>
      <c r="AT759" s="85">
        <v>43543</v>
      </c>
      <c r="AU759" s="84" t="s">
        <v>2378</v>
      </c>
      <c r="AV759" s="85">
        <v>43553</v>
      </c>
      <c r="AW759" s="123">
        <v>43555</v>
      </c>
      <c r="AX759" s="123">
        <v>43575</v>
      </c>
      <c r="AY759" s="132">
        <v>357600</v>
      </c>
      <c r="AZ759" s="132">
        <f>ROUNDDOWN(AY759+(AY759*MASTER!$A$2/100),0)</f>
        <v>386208</v>
      </c>
      <c r="BA759" s="84" t="s">
        <v>287</v>
      </c>
      <c r="BB759" s="88">
        <v>224000</v>
      </c>
      <c r="BC759" s="88">
        <v>241920</v>
      </c>
      <c r="BD759" s="84" t="s">
        <v>1579</v>
      </c>
      <c r="BG759" s="88">
        <v>0</v>
      </c>
      <c r="BK759" s="88">
        <v>0</v>
      </c>
      <c r="BS759" s="88">
        <v>0</v>
      </c>
      <c r="BV759" s="89">
        <v>402300</v>
      </c>
      <c r="BW759" s="89">
        <v>241920</v>
      </c>
      <c r="BX759" s="89">
        <v>43539</v>
      </c>
      <c r="BY759" s="89">
        <v>160380</v>
      </c>
      <c r="BZ759" s="112">
        <v>39.865771812080538</v>
      </c>
      <c r="CK759" s="88">
        <v>31500</v>
      </c>
    </row>
    <row r="760" spans="1:89" x14ac:dyDescent="0.15">
      <c r="A760" s="84">
        <v>2</v>
      </c>
      <c r="B760" s="85">
        <v>43571</v>
      </c>
      <c r="C760" s="85">
        <v>43580</v>
      </c>
      <c r="D760" s="85">
        <v>43610</v>
      </c>
      <c r="E760" s="85">
        <v>43592</v>
      </c>
      <c r="F760" s="85">
        <v>43587</v>
      </c>
      <c r="G760" s="85">
        <v>43580</v>
      </c>
      <c r="H760" s="85">
        <v>43583</v>
      </c>
      <c r="I760" s="84" t="s">
        <v>401</v>
      </c>
      <c r="J760" s="84">
        <v>2</v>
      </c>
      <c r="L760" s="84">
        <v>0</v>
      </c>
      <c r="M760" s="85">
        <v>43539</v>
      </c>
      <c r="N760" s="85" t="s">
        <v>265</v>
      </c>
      <c r="O760" s="86" t="s">
        <v>340</v>
      </c>
      <c r="P760" s="84" t="s">
        <v>26</v>
      </c>
      <c r="Q760" s="86" t="s">
        <v>137</v>
      </c>
      <c r="R760" s="86" t="s">
        <v>2379</v>
      </c>
      <c r="S760" s="87" t="s">
        <v>821</v>
      </c>
      <c r="T760" s="87" t="s">
        <v>1573</v>
      </c>
      <c r="U760" s="88">
        <v>142500</v>
      </c>
      <c r="V760" s="88">
        <v>153900</v>
      </c>
      <c r="W760" s="88">
        <v>142500</v>
      </c>
      <c r="X760" s="88">
        <v>153900</v>
      </c>
      <c r="Z760" s="88">
        <v>0</v>
      </c>
      <c r="AA760" s="85">
        <v>43578</v>
      </c>
      <c r="AB760" s="85">
        <v>43580</v>
      </c>
      <c r="AC760" s="85">
        <v>43580</v>
      </c>
      <c r="AD760" s="84">
        <v>0</v>
      </c>
      <c r="AG760" s="84">
        <v>0</v>
      </c>
      <c r="AJ760" s="84">
        <v>0</v>
      </c>
      <c r="AM760" s="84" t="s">
        <v>290</v>
      </c>
      <c r="AN760" s="84" t="s">
        <v>2380</v>
      </c>
      <c r="AR760" s="85">
        <v>43565</v>
      </c>
      <c r="AS760" s="84">
        <v>6001665602</v>
      </c>
      <c r="AT760" s="85">
        <v>43570</v>
      </c>
      <c r="AU760" s="84" t="s">
        <v>2325</v>
      </c>
      <c r="AV760" s="85">
        <v>43580</v>
      </c>
      <c r="AW760" s="123">
        <v>43585</v>
      </c>
      <c r="AX760" s="123">
        <v>43605</v>
      </c>
      <c r="AY760" s="132">
        <v>136800</v>
      </c>
      <c r="AZ760" s="132">
        <f>ROUNDDOWN(AY760+(AY760*MASTER!$A$2/100),0)</f>
        <v>147744</v>
      </c>
      <c r="BA760" s="84" t="s">
        <v>286</v>
      </c>
      <c r="BB760" s="88">
        <v>88400</v>
      </c>
      <c r="BC760" s="88">
        <v>95472</v>
      </c>
      <c r="BD760" s="84" t="s">
        <v>2197</v>
      </c>
      <c r="BG760" s="88">
        <v>0</v>
      </c>
      <c r="BK760" s="88">
        <v>0</v>
      </c>
      <c r="BS760" s="88">
        <v>0</v>
      </c>
      <c r="BV760" s="89">
        <v>153900</v>
      </c>
      <c r="BW760" s="89">
        <v>95472</v>
      </c>
      <c r="BX760" s="89">
        <v>43539</v>
      </c>
      <c r="BY760" s="89">
        <v>58428</v>
      </c>
      <c r="BZ760" s="112">
        <v>37.964912280701753</v>
      </c>
      <c r="CK760" s="88">
        <v>31500</v>
      </c>
    </row>
    <row r="761" spans="1:89" x14ac:dyDescent="0.15">
      <c r="A761" s="84">
        <v>2</v>
      </c>
      <c r="B761" s="85">
        <v>43558</v>
      </c>
      <c r="C761" s="85">
        <v>43559</v>
      </c>
      <c r="D761" s="85">
        <v>43595</v>
      </c>
      <c r="E761" s="85">
        <v>43560</v>
      </c>
      <c r="F761" s="85">
        <v>43566</v>
      </c>
      <c r="G761" s="85">
        <v>43559</v>
      </c>
      <c r="H761" s="85">
        <v>43562</v>
      </c>
      <c r="I761" s="84" t="s">
        <v>401</v>
      </c>
      <c r="J761" s="84">
        <v>1</v>
      </c>
      <c r="L761" s="84">
        <v>0</v>
      </c>
      <c r="M761" s="85">
        <v>43539</v>
      </c>
      <c r="N761" s="85" t="s">
        <v>265</v>
      </c>
      <c r="O761" s="86" t="s">
        <v>340</v>
      </c>
      <c r="P761" s="84" t="s">
        <v>26</v>
      </c>
      <c r="Q761" s="86" t="s">
        <v>137</v>
      </c>
      <c r="R761" s="86" t="s">
        <v>2381</v>
      </c>
      <c r="S761" s="87" t="s">
        <v>2382</v>
      </c>
      <c r="T761" s="87" t="s">
        <v>1275</v>
      </c>
      <c r="U761" s="88">
        <v>59200</v>
      </c>
      <c r="V761" s="88">
        <v>63936</v>
      </c>
      <c r="W761" s="88">
        <v>47000</v>
      </c>
      <c r="X761" s="88">
        <v>50760</v>
      </c>
      <c r="Y761" s="88">
        <v>12200</v>
      </c>
      <c r="Z761" s="88">
        <v>13176</v>
      </c>
      <c r="AA761" s="85">
        <v>43557</v>
      </c>
      <c r="AB761" s="85">
        <v>43559</v>
      </c>
      <c r="AC761" s="85">
        <v>43559</v>
      </c>
      <c r="AD761" s="84">
        <v>0</v>
      </c>
      <c r="AG761" s="84">
        <v>0</v>
      </c>
      <c r="AJ761" s="84">
        <v>0</v>
      </c>
      <c r="AM761" s="84" t="s">
        <v>290</v>
      </c>
      <c r="AN761" s="84" t="s">
        <v>2383</v>
      </c>
      <c r="AR761" s="85">
        <v>43556</v>
      </c>
      <c r="AS761" s="84">
        <v>6001662513</v>
      </c>
      <c r="AT761" s="85">
        <v>43556</v>
      </c>
      <c r="AU761" s="84" t="s">
        <v>2213</v>
      </c>
      <c r="AV761" s="85">
        <v>43559</v>
      </c>
      <c r="AW761" s="123">
        <v>43585</v>
      </c>
      <c r="AX761" s="123">
        <v>43605</v>
      </c>
      <c r="AY761" s="132">
        <v>56832</v>
      </c>
      <c r="AZ761" s="132">
        <f>ROUNDDOWN(AY761+(AY761*MASTER!$A$2/100),0)</f>
        <v>61378</v>
      </c>
      <c r="BA761" s="84" t="s">
        <v>400</v>
      </c>
      <c r="BB761" s="88">
        <v>46000</v>
      </c>
      <c r="BC761" s="88">
        <v>49680</v>
      </c>
      <c r="BD761" s="84" t="s">
        <v>1579</v>
      </c>
      <c r="BG761" s="88">
        <v>0</v>
      </c>
      <c r="BI761" s="84" t="s">
        <v>434</v>
      </c>
      <c r="BJ761" s="88">
        <v>7930</v>
      </c>
      <c r="BK761" s="88">
        <v>8564.4</v>
      </c>
      <c r="BL761" s="84" t="s">
        <v>1579</v>
      </c>
      <c r="BS761" s="88">
        <v>0</v>
      </c>
      <c r="BV761" s="89">
        <v>50760</v>
      </c>
      <c r="BW761" s="89">
        <v>58244.4</v>
      </c>
      <c r="BX761" s="89">
        <v>43539</v>
      </c>
      <c r="BY761" s="89">
        <v>-7484.4</v>
      </c>
      <c r="BZ761" s="112">
        <v>-14.744680851063832</v>
      </c>
      <c r="CK761" s="88">
        <v>0</v>
      </c>
    </row>
    <row r="762" spans="1:89" x14ac:dyDescent="0.15">
      <c r="A762" s="84">
        <v>2</v>
      </c>
      <c r="B762" s="85">
        <v>43570</v>
      </c>
      <c r="C762" s="85">
        <v>43579</v>
      </c>
      <c r="D762" s="85" t="s">
        <v>374</v>
      </c>
      <c r="E762" s="85">
        <v>43580</v>
      </c>
      <c r="F762" s="85">
        <v>43586</v>
      </c>
      <c r="G762" s="85">
        <v>43581</v>
      </c>
      <c r="H762" s="85">
        <v>43582</v>
      </c>
      <c r="I762" s="84" t="s">
        <v>401</v>
      </c>
      <c r="J762" s="84">
        <v>1</v>
      </c>
      <c r="L762" s="84">
        <v>0</v>
      </c>
      <c r="M762" s="85">
        <v>43539</v>
      </c>
      <c r="N762" s="85" t="s">
        <v>265</v>
      </c>
      <c r="O762" s="86" t="s">
        <v>340</v>
      </c>
      <c r="P762" s="84" t="s">
        <v>26</v>
      </c>
      <c r="Q762" s="86" t="s">
        <v>137</v>
      </c>
      <c r="R762" s="86" t="s">
        <v>2384</v>
      </c>
      <c r="S762" s="87" t="s">
        <v>602</v>
      </c>
      <c r="T762" s="87" t="s">
        <v>794</v>
      </c>
      <c r="U762" s="88">
        <v>23900</v>
      </c>
      <c r="V762" s="88">
        <v>25812</v>
      </c>
      <c r="W762" s="88">
        <v>14700</v>
      </c>
      <c r="X762" s="88">
        <v>15876</v>
      </c>
      <c r="Y762" s="88">
        <v>9200</v>
      </c>
      <c r="Z762" s="88">
        <v>9936</v>
      </c>
      <c r="AA762" s="85">
        <v>43577</v>
      </c>
      <c r="AB762" s="85">
        <v>43579</v>
      </c>
      <c r="AC762" s="85">
        <v>43579</v>
      </c>
      <c r="AD762" s="84">
        <v>0</v>
      </c>
      <c r="AG762" s="84">
        <v>0</v>
      </c>
      <c r="AJ762" s="84">
        <v>0</v>
      </c>
      <c r="AM762" s="84" t="s">
        <v>290</v>
      </c>
      <c r="AN762" s="84" t="s">
        <v>2385</v>
      </c>
      <c r="AR762" s="85">
        <v>43556</v>
      </c>
      <c r="AS762" s="84">
        <v>6001662513</v>
      </c>
      <c r="AT762" s="85">
        <v>43556</v>
      </c>
      <c r="AU762" s="84" t="s">
        <v>2213</v>
      </c>
      <c r="AV762" s="85">
        <v>43579</v>
      </c>
      <c r="AW762" s="123">
        <v>43585</v>
      </c>
      <c r="AX762" s="123">
        <v>43605</v>
      </c>
      <c r="AY762" s="132">
        <v>22944</v>
      </c>
      <c r="AZ762" s="132">
        <f>ROUNDDOWN(AY762+(AY762*MASTER!$A$2/100),0)</f>
        <v>24779</v>
      </c>
      <c r="BA762" s="84" t="s">
        <v>778</v>
      </c>
      <c r="BC762" s="88">
        <v>0</v>
      </c>
      <c r="BG762" s="88">
        <v>0</v>
      </c>
      <c r="BI762" s="84" t="s">
        <v>276</v>
      </c>
      <c r="BJ762" s="88">
        <v>5980</v>
      </c>
      <c r="BK762" s="88">
        <v>6458.4</v>
      </c>
      <c r="BL762" s="84" t="s">
        <v>1645</v>
      </c>
      <c r="BS762" s="88">
        <v>0</v>
      </c>
      <c r="BV762" s="89">
        <v>15876</v>
      </c>
      <c r="BW762" s="89">
        <v>6458.4</v>
      </c>
      <c r="BX762" s="89">
        <v>43539</v>
      </c>
      <c r="BY762" s="89">
        <v>9417.6</v>
      </c>
      <c r="BZ762" s="112">
        <v>59.319727891156461</v>
      </c>
      <c r="CK762" s="88">
        <v>0</v>
      </c>
    </row>
    <row r="763" spans="1:89" x14ac:dyDescent="0.15">
      <c r="A763" s="84">
        <v>2</v>
      </c>
      <c r="B763" s="85">
        <v>43570</v>
      </c>
      <c r="C763" s="85">
        <v>43580</v>
      </c>
      <c r="D763" s="85" t="s">
        <v>374</v>
      </c>
      <c r="E763" s="85">
        <v>43596</v>
      </c>
      <c r="F763" s="85">
        <v>43587</v>
      </c>
      <c r="G763" s="85">
        <v>43581</v>
      </c>
      <c r="H763" s="85">
        <v>43583</v>
      </c>
      <c r="I763" s="84" t="s">
        <v>1191</v>
      </c>
      <c r="J763" s="84">
        <v>1</v>
      </c>
      <c r="L763" s="84">
        <v>0</v>
      </c>
      <c r="M763" s="85">
        <v>43539</v>
      </c>
      <c r="N763" s="85" t="s">
        <v>265</v>
      </c>
      <c r="O763" s="86" t="s">
        <v>340</v>
      </c>
      <c r="P763" s="84" t="s">
        <v>26</v>
      </c>
      <c r="Q763" s="86" t="s">
        <v>137</v>
      </c>
      <c r="R763" s="86" t="s">
        <v>2386</v>
      </c>
      <c r="S763" s="87" t="s">
        <v>1626</v>
      </c>
      <c r="T763" s="87" t="s">
        <v>794</v>
      </c>
      <c r="U763" s="88">
        <v>23900</v>
      </c>
      <c r="V763" s="88">
        <v>25812</v>
      </c>
      <c r="W763" s="88">
        <v>14700</v>
      </c>
      <c r="X763" s="88">
        <v>15876</v>
      </c>
      <c r="Y763" s="88">
        <v>9200</v>
      </c>
      <c r="Z763" s="88">
        <v>9936</v>
      </c>
      <c r="AA763" s="85">
        <v>43579</v>
      </c>
      <c r="AB763" s="85">
        <v>43580</v>
      </c>
      <c r="AC763" s="85">
        <v>43580</v>
      </c>
      <c r="AD763" s="84">
        <v>0</v>
      </c>
      <c r="AG763" s="84">
        <v>0</v>
      </c>
      <c r="AJ763" s="84">
        <v>0</v>
      </c>
      <c r="AM763" s="84" t="s">
        <v>290</v>
      </c>
      <c r="AN763" s="84" t="s">
        <v>2387</v>
      </c>
      <c r="AR763" s="85">
        <v>43557</v>
      </c>
      <c r="AS763" s="84">
        <v>6001662910</v>
      </c>
      <c r="AT763" s="85">
        <v>43557</v>
      </c>
      <c r="AU763" s="84" t="s">
        <v>2244</v>
      </c>
      <c r="AV763" s="85">
        <v>43580</v>
      </c>
      <c r="AW763" s="123">
        <v>43585</v>
      </c>
      <c r="AX763" s="123">
        <v>43605</v>
      </c>
      <c r="AY763" s="132">
        <v>22944</v>
      </c>
      <c r="AZ763" s="132">
        <f>ROUNDDOWN(AY763+(AY763*MASTER!$A$2/100),0)</f>
        <v>24779</v>
      </c>
      <c r="BA763" s="84" t="s">
        <v>778</v>
      </c>
      <c r="BC763" s="88">
        <v>0</v>
      </c>
      <c r="BG763" s="88">
        <v>0</v>
      </c>
      <c r="BI763" s="84" t="s">
        <v>276</v>
      </c>
      <c r="BJ763" s="88">
        <v>5980</v>
      </c>
      <c r="BK763" s="88">
        <v>6458.4</v>
      </c>
      <c r="BL763" s="84" t="s">
        <v>1645</v>
      </c>
      <c r="BS763" s="88">
        <v>0</v>
      </c>
      <c r="BV763" s="89">
        <v>15876</v>
      </c>
      <c r="BW763" s="89">
        <v>6458.4</v>
      </c>
      <c r="BX763" s="89">
        <v>43539</v>
      </c>
      <c r="BY763" s="89">
        <v>9417.6</v>
      </c>
      <c r="BZ763" s="112">
        <v>59.319727891156461</v>
      </c>
      <c r="CK763" s="88">
        <v>0</v>
      </c>
    </row>
    <row r="764" spans="1:89" x14ac:dyDescent="0.15">
      <c r="A764" s="84">
        <v>2</v>
      </c>
      <c r="B764" s="85">
        <v>43570</v>
      </c>
      <c r="C764" s="85">
        <v>43582</v>
      </c>
      <c r="D764" s="85" t="s">
        <v>374</v>
      </c>
      <c r="E764" s="85">
        <v>43596</v>
      </c>
      <c r="F764" s="85">
        <v>43589</v>
      </c>
      <c r="G764" s="85">
        <v>43593</v>
      </c>
      <c r="H764" s="85">
        <v>43585</v>
      </c>
      <c r="I764" s="84" t="s">
        <v>1191</v>
      </c>
      <c r="J764" s="84">
        <v>1</v>
      </c>
      <c r="L764" s="84">
        <v>0</v>
      </c>
      <c r="M764" s="85">
        <v>43539</v>
      </c>
      <c r="N764" s="85" t="s">
        <v>265</v>
      </c>
      <c r="O764" s="86" t="s">
        <v>340</v>
      </c>
      <c r="P764" s="84" t="s">
        <v>26</v>
      </c>
      <c r="Q764" s="86" t="s">
        <v>137</v>
      </c>
      <c r="R764" s="86" t="s">
        <v>2388</v>
      </c>
      <c r="S764" s="87" t="s">
        <v>1307</v>
      </c>
      <c r="T764" s="87" t="s">
        <v>2318</v>
      </c>
      <c r="U764" s="88">
        <v>23900</v>
      </c>
      <c r="V764" s="88">
        <v>25812</v>
      </c>
      <c r="W764" s="88">
        <v>14700</v>
      </c>
      <c r="X764" s="88">
        <v>15876</v>
      </c>
      <c r="Y764" s="88">
        <v>9200</v>
      </c>
      <c r="Z764" s="88">
        <v>9936</v>
      </c>
      <c r="AA764" s="85">
        <v>43579</v>
      </c>
      <c r="AB764" s="85">
        <v>43582</v>
      </c>
      <c r="AC764" s="85">
        <v>43582</v>
      </c>
      <c r="AD764" s="84">
        <v>0</v>
      </c>
      <c r="AG764" s="84">
        <v>0</v>
      </c>
      <c r="AJ764" s="84">
        <v>0</v>
      </c>
      <c r="AM764" s="84" t="s">
        <v>290</v>
      </c>
      <c r="AN764" s="84" t="s">
        <v>2389</v>
      </c>
      <c r="AR764" s="85">
        <v>43556</v>
      </c>
      <c r="AS764" s="84">
        <v>6001662513</v>
      </c>
      <c r="AT764" s="85">
        <v>43556</v>
      </c>
      <c r="AU764" s="84" t="s">
        <v>2213</v>
      </c>
      <c r="AV764" s="85">
        <v>43582</v>
      </c>
      <c r="AW764" s="123">
        <v>43585</v>
      </c>
      <c r="AX764" s="123">
        <v>43605</v>
      </c>
      <c r="AY764" s="132">
        <v>22944</v>
      </c>
      <c r="AZ764" s="132">
        <f>ROUNDDOWN(AY764+(AY764*MASTER!$A$2/100),0)</f>
        <v>24779</v>
      </c>
      <c r="BA764" s="84" t="s">
        <v>778</v>
      </c>
      <c r="BC764" s="88">
        <v>0</v>
      </c>
      <c r="BG764" s="88">
        <v>0</v>
      </c>
      <c r="BI764" s="84" t="s">
        <v>276</v>
      </c>
      <c r="BJ764" s="88">
        <v>5980</v>
      </c>
      <c r="BK764" s="88">
        <v>6458.4</v>
      </c>
      <c r="BL764" s="84" t="s">
        <v>1645</v>
      </c>
      <c r="BS764" s="88">
        <v>0</v>
      </c>
      <c r="BV764" s="89">
        <v>15876</v>
      </c>
      <c r="BW764" s="89">
        <v>6458.4</v>
      </c>
      <c r="BX764" s="89">
        <v>43539</v>
      </c>
      <c r="BY764" s="89">
        <v>9417.6</v>
      </c>
      <c r="BZ764" s="112">
        <v>59.319727891156461</v>
      </c>
      <c r="CK764" s="88">
        <v>0</v>
      </c>
    </row>
    <row r="765" spans="1:89" x14ac:dyDescent="0.15">
      <c r="A765" s="84">
        <v>1</v>
      </c>
      <c r="B765" s="85">
        <v>43544</v>
      </c>
      <c r="C765" s="85">
        <v>43555</v>
      </c>
      <c r="F765" s="85" t="s">
        <v>338</v>
      </c>
      <c r="H765" s="85" t="s">
        <v>338</v>
      </c>
      <c r="J765" s="84">
        <v>2</v>
      </c>
      <c r="L765" s="84">
        <v>0</v>
      </c>
      <c r="M765" s="85">
        <v>43542</v>
      </c>
      <c r="N765" s="85" t="s">
        <v>265</v>
      </c>
      <c r="O765" s="86" t="s">
        <v>340</v>
      </c>
      <c r="P765" s="84" t="s">
        <v>271</v>
      </c>
      <c r="Q765" s="86" t="s">
        <v>137</v>
      </c>
      <c r="R765" s="86" t="s">
        <v>2390</v>
      </c>
      <c r="S765" s="87" t="s">
        <v>351</v>
      </c>
      <c r="T765" s="87" t="s">
        <v>2391</v>
      </c>
      <c r="U765" s="88">
        <v>200000</v>
      </c>
      <c r="V765" s="88">
        <v>216000</v>
      </c>
      <c r="W765" s="88">
        <v>200000</v>
      </c>
      <c r="X765" s="88">
        <v>216000</v>
      </c>
      <c r="Z765" s="88">
        <v>0</v>
      </c>
      <c r="AD765" s="84">
        <v>0</v>
      </c>
      <c r="AG765" s="84">
        <v>0</v>
      </c>
      <c r="AJ765" s="84">
        <v>0</v>
      </c>
      <c r="AN765" s="84" t="s">
        <v>338</v>
      </c>
      <c r="AR765" s="85">
        <v>43543</v>
      </c>
      <c r="AS765" s="84">
        <v>6001659164</v>
      </c>
      <c r="AT765" s="85">
        <v>43543</v>
      </c>
      <c r="AU765" s="84" t="s">
        <v>2378</v>
      </c>
      <c r="AV765" s="85">
        <v>43555</v>
      </c>
      <c r="AW765" s="123">
        <v>43555</v>
      </c>
      <c r="AX765" s="123">
        <v>43575</v>
      </c>
      <c r="AY765" s="132">
        <v>192000</v>
      </c>
      <c r="AZ765" s="132">
        <f>ROUNDDOWN(AY765+(AY765*MASTER!$A$2/100),0)</f>
        <v>207360</v>
      </c>
      <c r="BC765" s="88">
        <v>0</v>
      </c>
      <c r="BG765" s="88">
        <v>0</v>
      </c>
      <c r="BK765" s="88">
        <v>0</v>
      </c>
      <c r="BS765" s="88">
        <v>0</v>
      </c>
      <c r="BV765" s="89">
        <v>216000</v>
      </c>
      <c r="BW765" s="89">
        <v>0</v>
      </c>
      <c r="BX765" s="89">
        <v>43542</v>
      </c>
      <c r="BY765" s="89">
        <v>216000</v>
      </c>
      <c r="BZ765" s="112">
        <v>100</v>
      </c>
      <c r="CK765" s="88">
        <v>0</v>
      </c>
    </row>
    <row r="766" spans="1:89" x14ac:dyDescent="0.15">
      <c r="A766" s="84">
        <v>2</v>
      </c>
      <c r="B766" s="85">
        <v>43550</v>
      </c>
      <c r="C766" s="85">
        <v>43549</v>
      </c>
      <c r="D766" s="85">
        <v>43550</v>
      </c>
      <c r="E766" s="85">
        <v>43550</v>
      </c>
      <c r="F766" s="85" t="s">
        <v>338</v>
      </c>
      <c r="G766" s="85">
        <v>43550</v>
      </c>
      <c r="H766" s="85" t="s">
        <v>338</v>
      </c>
      <c r="I766" s="84" t="s">
        <v>547</v>
      </c>
      <c r="J766" s="84">
        <v>2</v>
      </c>
      <c r="L766" s="84">
        <v>0</v>
      </c>
      <c r="M766" s="85">
        <v>43542</v>
      </c>
      <c r="N766" s="85" t="s">
        <v>265</v>
      </c>
      <c r="O766" s="86" t="s">
        <v>340</v>
      </c>
      <c r="P766" s="84" t="s">
        <v>6</v>
      </c>
      <c r="Q766" s="86" t="s">
        <v>137</v>
      </c>
      <c r="R766" s="86" t="s">
        <v>2392</v>
      </c>
      <c r="S766" s="87" t="s">
        <v>1896</v>
      </c>
      <c r="T766" s="87" t="s">
        <v>342</v>
      </c>
      <c r="U766" s="88">
        <v>35000</v>
      </c>
      <c r="V766" s="88">
        <v>37800</v>
      </c>
      <c r="W766" s="88">
        <v>35000</v>
      </c>
      <c r="X766" s="88">
        <v>37800</v>
      </c>
      <c r="Z766" s="88">
        <v>0</v>
      </c>
      <c r="AA766" s="85">
        <v>43546</v>
      </c>
      <c r="AB766" s="85">
        <v>43547</v>
      </c>
      <c r="AD766" s="84">
        <v>0</v>
      </c>
      <c r="AG766" s="84">
        <v>0</v>
      </c>
      <c r="AJ766" s="84">
        <v>0</v>
      </c>
      <c r="AR766" s="85">
        <v>43544</v>
      </c>
      <c r="AS766" s="84">
        <v>6001660085</v>
      </c>
      <c r="AT766" s="85">
        <v>43549</v>
      </c>
      <c r="AU766" s="84" t="s">
        <v>2393</v>
      </c>
      <c r="AV766" s="85">
        <v>43549</v>
      </c>
      <c r="AW766" s="123">
        <v>43555</v>
      </c>
      <c r="AX766" s="123">
        <v>43575</v>
      </c>
      <c r="AY766" s="132">
        <v>33600</v>
      </c>
      <c r="AZ766" s="132">
        <f>ROUNDDOWN(AY766+(AY766*MASTER!$A$2/100),0)</f>
        <v>36288</v>
      </c>
      <c r="BA766" s="84" t="s">
        <v>540</v>
      </c>
      <c r="BB766" s="88">
        <v>21000</v>
      </c>
      <c r="BC766" s="88">
        <v>22680</v>
      </c>
      <c r="BD766" s="84" t="s">
        <v>1659</v>
      </c>
      <c r="BG766" s="88">
        <v>0</v>
      </c>
      <c r="BK766" s="88">
        <v>0</v>
      </c>
      <c r="BS766" s="88">
        <v>0</v>
      </c>
      <c r="BV766" s="89">
        <v>37800</v>
      </c>
      <c r="BW766" s="89">
        <v>22680</v>
      </c>
      <c r="BX766" s="89">
        <v>43542</v>
      </c>
      <c r="BY766" s="89">
        <v>15120</v>
      </c>
      <c r="BZ766" s="112">
        <v>40</v>
      </c>
    </row>
    <row r="767" spans="1:89" x14ac:dyDescent="0.15">
      <c r="A767" s="84">
        <v>2</v>
      </c>
      <c r="C767" s="85" t="s">
        <v>338</v>
      </c>
      <c r="F767" s="85" t="s">
        <v>338</v>
      </c>
      <c r="H767" s="85" t="s">
        <v>338</v>
      </c>
      <c r="J767" s="84">
        <v>4</v>
      </c>
      <c r="L767" s="84">
        <v>0</v>
      </c>
      <c r="M767" s="85">
        <v>43542</v>
      </c>
      <c r="N767" s="85" t="s">
        <v>265</v>
      </c>
      <c r="O767" s="86" t="s">
        <v>340</v>
      </c>
      <c r="P767" s="84" t="s">
        <v>272</v>
      </c>
      <c r="Q767" s="86" t="s">
        <v>137</v>
      </c>
      <c r="R767" s="86" t="s">
        <v>2394</v>
      </c>
      <c r="S767" s="87" t="s">
        <v>351</v>
      </c>
      <c r="T767" s="87" t="s">
        <v>2395</v>
      </c>
      <c r="U767" s="88">
        <v>0</v>
      </c>
      <c r="V767" s="88">
        <v>0</v>
      </c>
      <c r="W767" s="88">
        <v>0</v>
      </c>
      <c r="X767" s="88">
        <v>0</v>
      </c>
      <c r="Y767" s="88">
        <v>0</v>
      </c>
      <c r="Z767" s="88">
        <v>0</v>
      </c>
      <c r="AA767" s="85">
        <v>43524</v>
      </c>
      <c r="AB767" s="85">
        <v>43524</v>
      </c>
      <c r="AD767" s="84">
        <v>0</v>
      </c>
      <c r="AG767" s="84">
        <v>0</v>
      </c>
      <c r="AJ767" s="84">
        <v>0</v>
      </c>
      <c r="AN767" s="84" t="s">
        <v>338</v>
      </c>
      <c r="AY767" s="132">
        <f>ROUNDDOWN((0.96*U767),0)</f>
        <v>0</v>
      </c>
      <c r="AZ767" s="132">
        <f>ROUNDDOWN(AY767+(AY767*MASTER!$A$2/100),0)</f>
        <v>0</v>
      </c>
      <c r="BA767" s="84" t="s">
        <v>14</v>
      </c>
      <c r="BB767" s="88">
        <v>17000</v>
      </c>
      <c r="BC767" s="88">
        <v>18360</v>
      </c>
      <c r="BD767" s="84" t="s">
        <v>1268</v>
      </c>
      <c r="BG767" s="88">
        <v>0</v>
      </c>
      <c r="BK767" s="88">
        <v>0</v>
      </c>
      <c r="BS767" s="88">
        <v>0</v>
      </c>
      <c r="BV767" s="89">
        <v>0</v>
      </c>
      <c r="BW767" s="89">
        <v>18360</v>
      </c>
      <c r="BX767" s="89">
        <v>43542</v>
      </c>
      <c r="BY767" s="89">
        <v>-18360</v>
      </c>
      <c r="BZ767" s="112" t="s">
        <v>338</v>
      </c>
    </row>
    <row r="768" spans="1:89" x14ac:dyDescent="0.15">
      <c r="A768" s="84">
        <v>2</v>
      </c>
      <c r="B768" s="85">
        <v>43571</v>
      </c>
      <c r="C768" s="85">
        <v>43582</v>
      </c>
      <c r="D768" s="85">
        <v>43622</v>
      </c>
      <c r="E768" s="85">
        <v>43596</v>
      </c>
      <c r="F768" s="85">
        <v>43589</v>
      </c>
      <c r="G768" s="85">
        <v>43581</v>
      </c>
      <c r="H768" s="85">
        <v>43585</v>
      </c>
      <c r="I768" s="84" t="s">
        <v>1191</v>
      </c>
      <c r="J768" s="84">
        <v>1</v>
      </c>
      <c r="L768" s="84">
        <v>0</v>
      </c>
      <c r="M768" s="85">
        <v>43543</v>
      </c>
      <c r="N768" s="85" t="s">
        <v>265</v>
      </c>
      <c r="O768" s="86" t="s">
        <v>340</v>
      </c>
      <c r="P768" s="84" t="s">
        <v>26</v>
      </c>
      <c r="Q768" s="86" t="s">
        <v>137</v>
      </c>
      <c r="R768" s="86" t="s">
        <v>2396</v>
      </c>
      <c r="S768" s="87" t="s">
        <v>1356</v>
      </c>
      <c r="T768" s="87" t="s">
        <v>594</v>
      </c>
      <c r="U768" s="88">
        <v>215000</v>
      </c>
      <c r="V768" s="88">
        <v>232200</v>
      </c>
      <c r="W768" s="88">
        <v>195000</v>
      </c>
      <c r="X768" s="88">
        <v>210600</v>
      </c>
      <c r="Y768" s="88">
        <v>20000</v>
      </c>
      <c r="Z768" s="88">
        <v>21600</v>
      </c>
      <c r="AA768" s="85">
        <v>43579</v>
      </c>
      <c r="AB768" s="85">
        <v>43582</v>
      </c>
      <c r="AC768" s="85">
        <v>43582</v>
      </c>
      <c r="AD768" s="84">
        <v>0</v>
      </c>
      <c r="AG768" s="84">
        <v>0</v>
      </c>
      <c r="AJ768" s="84">
        <v>0</v>
      </c>
      <c r="AM768" s="84" t="s">
        <v>290</v>
      </c>
      <c r="AN768" s="84" t="s">
        <v>2397</v>
      </c>
      <c r="AR768" s="85">
        <v>43565</v>
      </c>
      <c r="AS768" s="84">
        <v>6001665602</v>
      </c>
      <c r="AT768" s="85">
        <v>43570</v>
      </c>
      <c r="AU768" s="84" t="s">
        <v>2325</v>
      </c>
      <c r="AV768" s="85">
        <v>43582</v>
      </c>
      <c r="AW768" s="123">
        <v>43585</v>
      </c>
      <c r="AX768" s="123">
        <v>43605</v>
      </c>
      <c r="AY768" s="132">
        <v>206400</v>
      </c>
      <c r="AZ768" s="132">
        <f>ROUNDDOWN(AY768+(AY768*MASTER!$A$2/100),0)</f>
        <v>222912</v>
      </c>
      <c r="BA768" s="84" t="s">
        <v>287</v>
      </c>
      <c r="BB768" s="88">
        <v>93600</v>
      </c>
      <c r="BC768" s="88">
        <v>101088</v>
      </c>
      <c r="BD768" s="84" t="s">
        <v>2197</v>
      </c>
      <c r="BG768" s="88">
        <v>0</v>
      </c>
      <c r="BI768" s="84" t="s">
        <v>434</v>
      </c>
      <c r="BJ768" s="88">
        <v>13000</v>
      </c>
      <c r="BK768" s="88">
        <v>14040</v>
      </c>
      <c r="BL768" s="84" t="s">
        <v>2197</v>
      </c>
      <c r="BS768" s="88">
        <v>0</v>
      </c>
      <c r="BV768" s="89">
        <v>210600</v>
      </c>
      <c r="BW768" s="89">
        <v>115128</v>
      </c>
      <c r="BX768" s="89">
        <v>43543</v>
      </c>
      <c r="BY768" s="89">
        <v>95472</v>
      </c>
      <c r="BZ768" s="112">
        <v>45.333333333333329</v>
      </c>
      <c r="CK768" s="88">
        <v>31500</v>
      </c>
    </row>
    <row r="769" spans="1:89" x14ac:dyDescent="0.15">
      <c r="A769" s="84">
        <v>2</v>
      </c>
      <c r="B769" s="85">
        <v>43570</v>
      </c>
      <c r="C769" s="85">
        <v>43581</v>
      </c>
      <c r="D769" s="85" t="s">
        <v>374</v>
      </c>
      <c r="E769" s="85">
        <v>43596</v>
      </c>
      <c r="F769" s="85">
        <v>43588</v>
      </c>
      <c r="G769" s="85">
        <v>43593</v>
      </c>
      <c r="H769" s="85">
        <v>43584</v>
      </c>
      <c r="I769" s="84" t="s">
        <v>1191</v>
      </c>
      <c r="J769" s="84">
        <v>1</v>
      </c>
      <c r="L769" s="84">
        <v>0</v>
      </c>
      <c r="M769" s="85">
        <v>43543</v>
      </c>
      <c r="N769" s="85" t="s">
        <v>265</v>
      </c>
      <c r="O769" s="86" t="s">
        <v>340</v>
      </c>
      <c r="P769" s="84" t="s">
        <v>26</v>
      </c>
      <c r="Q769" s="86" t="s">
        <v>137</v>
      </c>
      <c r="R769" s="86" t="s">
        <v>2398</v>
      </c>
      <c r="S769" s="87" t="s">
        <v>2399</v>
      </c>
      <c r="T769" s="87" t="s">
        <v>721</v>
      </c>
      <c r="U769" s="88">
        <v>23900</v>
      </c>
      <c r="V769" s="88">
        <v>25812</v>
      </c>
      <c r="W769" s="88">
        <v>14700</v>
      </c>
      <c r="X769" s="88">
        <v>15876</v>
      </c>
      <c r="Y769" s="88">
        <v>9200</v>
      </c>
      <c r="Z769" s="88">
        <v>9936</v>
      </c>
      <c r="AA769" s="85">
        <v>43580</v>
      </c>
      <c r="AB769" s="85">
        <v>43581</v>
      </c>
      <c r="AC769" s="85">
        <v>43581</v>
      </c>
      <c r="AD769" s="84">
        <v>0</v>
      </c>
      <c r="AG769" s="84">
        <v>0</v>
      </c>
      <c r="AJ769" s="84">
        <v>0</v>
      </c>
      <c r="AM769" s="84" t="s">
        <v>290</v>
      </c>
      <c r="AN769" s="84" t="s">
        <v>2400</v>
      </c>
      <c r="AR769" s="85">
        <v>43556</v>
      </c>
      <c r="AS769" s="84">
        <v>6001662513</v>
      </c>
      <c r="AT769" s="85">
        <v>43556</v>
      </c>
      <c r="AU769" s="84" t="s">
        <v>2213</v>
      </c>
      <c r="AV769" s="85">
        <v>43581</v>
      </c>
      <c r="AW769" s="123">
        <v>43585</v>
      </c>
      <c r="AX769" s="123">
        <v>43605</v>
      </c>
      <c r="AY769" s="132">
        <v>22944</v>
      </c>
      <c r="AZ769" s="132">
        <f>ROUNDDOWN(AY769+(AY769*MASTER!$A$2/100),0)</f>
        <v>24779</v>
      </c>
      <c r="BA769" s="84" t="s">
        <v>778</v>
      </c>
      <c r="BC769" s="88">
        <v>0</v>
      </c>
      <c r="BG769" s="88">
        <v>0</v>
      </c>
      <c r="BI769" s="84" t="s">
        <v>276</v>
      </c>
      <c r="BJ769" s="88">
        <v>5980</v>
      </c>
      <c r="BK769" s="88">
        <v>6458.4</v>
      </c>
      <c r="BL769" s="84" t="s">
        <v>1645</v>
      </c>
      <c r="BS769" s="88">
        <v>0</v>
      </c>
      <c r="BV769" s="89">
        <v>15876</v>
      </c>
      <c r="BW769" s="89">
        <v>6458.4</v>
      </c>
      <c r="BX769" s="89">
        <v>43543</v>
      </c>
      <c r="BY769" s="89">
        <v>9417.6</v>
      </c>
      <c r="BZ769" s="112">
        <v>59.319727891156461</v>
      </c>
      <c r="CK769" s="88">
        <v>0</v>
      </c>
    </row>
    <row r="770" spans="1:89" x14ac:dyDescent="0.15">
      <c r="A770" s="84">
        <v>2</v>
      </c>
      <c r="B770" s="85">
        <v>43581</v>
      </c>
      <c r="C770" s="85">
        <v>43598</v>
      </c>
      <c r="D770" s="85" t="s">
        <v>374</v>
      </c>
      <c r="E770" s="85">
        <v>43601</v>
      </c>
      <c r="F770" s="85">
        <v>43605</v>
      </c>
      <c r="G770" s="85">
        <v>43601</v>
      </c>
      <c r="H770" s="85">
        <v>43601</v>
      </c>
      <c r="I770" s="84" t="s">
        <v>401</v>
      </c>
      <c r="J770" s="84">
        <v>1</v>
      </c>
      <c r="L770" s="84">
        <v>0</v>
      </c>
      <c r="M770" s="85">
        <v>43543</v>
      </c>
      <c r="N770" s="85" t="s">
        <v>265</v>
      </c>
      <c r="O770" s="86" t="s">
        <v>340</v>
      </c>
      <c r="P770" s="84" t="s">
        <v>26</v>
      </c>
      <c r="Q770" s="86" t="s">
        <v>137</v>
      </c>
      <c r="R770" s="86" t="s">
        <v>2401</v>
      </c>
      <c r="S770" s="87" t="s">
        <v>1282</v>
      </c>
      <c r="T770" s="87" t="s">
        <v>2402</v>
      </c>
      <c r="U770" s="88">
        <v>23900</v>
      </c>
      <c r="V770" s="88">
        <v>25812</v>
      </c>
      <c r="W770" s="88">
        <v>14700</v>
      </c>
      <c r="X770" s="88">
        <v>15876</v>
      </c>
      <c r="Y770" s="88">
        <v>9200</v>
      </c>
      <c r="Z770" s="88">
        <v>9936</v>
      </c>
      <c r="AA770" s="85">
        <v>43597</v>
      </c>
      <c r="AB770" s="85">
        <v>43598</v>
      </c>
      <c r="AC770" s="85">
        <v>43598</v>
      </c>
      <c r="AD770" s="84">
        <v>0</v>
      </c>
      <c r="AG770" s="84">
        <v>0</v>
      </c>
      <c r="AJ770" s="84">
        <v>0</v>
      </c>
      <c r="AM770" s="84" t="s">
        <v>290</v>
      </c>
      <c r="AN770" s="84" t="s">
        <v>2403</v>
      </c>
      <c r="AR770" s="85">
        <v>43572</v>
      </c>
      <c r="AS770" s="84">
        <v>6001667681</v>
      </c>
      <c r="AT770" s="85">
        <v>43573</v>
      </c>
      <c r="AU770" s="84" t="s">
        <v>2322</v>
      </c>
      <c r="AV770" s="85">
        <v>43598</v>
      </c>
      <c r="AW770" s="123">
        <v>43616</v>
      </c>
      <c r="AX770" s="123">
        <v>43636</v>
      </c>
      <c r="AY770" s="132">
        <v>22944</v>
      </c>
      <c r="AZ770" s="132">
        <f>ROUNDDOWN(AY770+(AY770*MASTER!$A$2/100),0)</f>
        <v>24779</v>
      </c>
      <c r="BA770" s="84" t="s">
        <v>778</v>
      </c>
      <c r="BC770" s="88">
        <v>0</v>
      </c>
      <c r="BG770" s="88">
        <v>0</v>
      </c>
      <c r="BI770" s="84" t="s">
        <v>276</v>
      </c>
      <c r="BJ770" s="88">
        <v>5980</v>
      </c>
      <c r="BK770" s="88">
        <v>6458.4</v>
      </c>
      <c r="BL770" s="84" t="s">
        <v>1645</v>
      </c>
      <c r="BS770" s="88">
        <v>0</v>
      </c>
      <c r="BV770" s="89">
        <v>15876</v>
      </c>
      <c r="BW770" s="89">
        <v>6458.4</v>
      </c>
      <c r="BX770" s="89">
        <v>43543</v>
      </c>
      <c r="BY770" s="89">
        <v>9417.6</v>
      </c>
      <c r="BZ770" s="112">
        <v>59.319727891156461</v>
      </c>
      <c r="CK770" s="88">
        <v>0</v>
      </c>
    </row>
    <row r="771" spans="1:89" x14ac:dyDescent="0.15">
      <c r="A771" s="84">
        <v>2</v>
      </c>
      <c r="B771" s="85">
        <v>43570</v>
      </c>
      <c r="C771" s="85">
        <v>43581</v>
      </c>
      <c r="D771" s="85" t="s">
        <v>374</v>
      </c>
      <c r="E771" s="85">
        <v>43593</v>
      </c>
      <c r="F771" s="85">
        <v>43588</v>
      </c>
      <c r="G771" s="85">
        <v>43593</v>
      </c>
      <c r="H771" s="85">
        <v>43584</v>
      </c>
      <c r="I771" s="84" t="s">
        <v>401</v>
      </c>
      <c r="J771" s="84">
        <v>1</v>
      </c>
      <c r="L771" s="84">
        <v>0</v>
      </c>
      <c r="M771" s="85">
        <v>43543</v>
      </c>
      <c r="N771" s="85" t="s">
        <v>265</v>
      </c>
      <c r="O771" s="86" t="s">
        <v>340</v>
      </c>
      <c r="P771" s="84" t="s">
        <v>26</v>
      </c>
      <c r="Q771" s="86" t="s">
        <v>137</v>
      </c>
      <c r="R771" s="86" t="s">
        <v>2404</v>
      </c>
      <c r="S771" s="87" t="s">
        <v>2405</v>
      </c>
      <c r="T771" s="87" t="s">
        <v>794</v>
      </c>
      <c r="U771" s="88">
        <v>23900</v>
      </c>
      <c r="V771" s="88">
        <v>25812</v>
      </c>
      <c r="W771" s="88">
        <v>14700</v>
      </c>
      <c r="X771" s="88">
        <v>15876</v>
      </c>
      <c r="Y771" s="88">
        <v>9200</v>
      </c>
      <c r="Z771" s="88">
        <v>9936</v>
      </c>
      <c r="AA771" s="85">
        <v>43580</v>
      </c>
      <c r="AB771" s="85">
        <v>43581</v>
      </c>
      <c r="AC771" s="85">
        <v>43581</v>
      </c>
      <c r="AD771" s="84">
        <v>0</v>
      </c>
      <c r="AG771" s="84">
        <v>0</v>
      </c>
      <c r="AJ771" s="84">
        <v>0</v>
      </c>
      <c r="AM771" s="84" t="s">
        <v>290</v>
      </c>
      <c r="AN771" s="84" t="s">
        <v>2406</v>
      </c>
      <c r="AR771" s="85">
        <v>43556</v>
      </c>
      <c r="AS771" s="84">
        <v>6001662513</v>
      </c>
      <c r="AT771" s="85">
        <v>43556</v>
      </c>
      <c r="AU771" s="84" t="s">
        <v>2213</v>
      </c>
      <c r="AV771" s="85">
        <v>43581</v>
      </c>
      <c r="AW771" s="123">
        <v>43585</v>
      </c>
      <c r="AX771" s="123">
        <v>43605</v>
      </c>
      <c r="AY771" s="132">
        <v>22944</v>
      </c>
      <c r="AZ771" s="132">
        <f>ROUNDDOWN(AY771+(AY771*MASTER!$A$2/100),0)</f>
        <v>24779</v>
      </c>
      <c r="BA771" s="84" t="s">
        <v>778</v>
      </c>
      <c r="BC771" s="88">
        <v>0</v>
      </c>
      <c r="BG771" s="88">
        <v>0</v>
      </c>
      <c r="BI771" s="84" t="s">
        <v>276</v>
      </c>
      <c r="BJ771" s="88">
        <v>5980</v>
      </c>
      <c r="BK771" s="88">
        <v>6458.4</v>
      </c>
      <c r="BL771" s="84" t="s">
        <v>1645</v>
      </c>
      <c r="BS771" s="88">
        <v>0</v>
      </c>
      <c r="BV771" s="89">
        <v>15876</v>
      </c>
      <c r="BW771" s="89">
        <v>6458.4</v>
      </c>
      <c r="BX771" s="89">
        <v>43543</v>
      </c>
      <c r="BY771" s="89">
        <v>9417.6</v>
      </c>
      <c r="BZ771" s="112">
        <v>59.319727891156461</v>
      </c>
      <c r="CK771" s="88">
        <v>0</v>
      </c>
    </row>
    <row r="772" spans="1:89" x14ac:dyDescent="0.15">
      <c r="A772" s="84">
        <v>2</v>
      </c>
      <c r="B772" s="85">
        <v>43570</v>
      </c>
      <c r="C772" s="85">
        <v>43581</v>
      </c>
      <c r="D772" s="85">
        <v>43622</v>
      </c>
      <c r="E772" s="85">
        <v>43596</v>
      </c>
      <c r="F772" s="85">
        <v>43588</v>
      </c>
      <c r="G772" s="85">
        <v>43592</v>
      </c>
      <c r="H772" s="85">
        <v>43584</v>
      </c>
      <c r="I772" s="84" t="s">
        <v>1191</v>
      </c>
      <c r="J772" s="84">
        <v>1</v>
      </c>
      <c r="L772" s="84">
        <v>0</v>
      </c>
      <c r="M772" s="85">
        <v>43543</v>
      </c>
      <c r="N772" s="85" t="s">
        <v>265</v>
      </c>
      <c r="O772" s="86" t="s">
        <v>340</v>
      </c>
      <c r="P772" s="84" t="s">
        <v>26</v>
      </c>
      <c r="Q772" s="86" t="s">
        <v>137</v>
      </c>
      <c r="R772" s="86" t="s">
        <v>2407</v>
      </c>
      <c r="S772" s="87" t="s">
        <v>1171</v>
      </c>
      <c r="T772" s="87" t="s">
        <v>2408</v>
      </c>
      <c r="U772" s="88">
        <v>71700</v>
      </c>
      <c r="V772" s="88">
        <v>77436</v>
      </c>
      <c r="W772" s="88">
        <v>59500</v>
      </c>
      <c r="X772" s="88">
        <v>64260</v>
      </c>
      <c r="Y772" s="88">
        <v>12200</v>
      </c>
      <c r="Z772" s="88">
        <v>13176</v>
      </c>
      <c r="AA772" s="85">
        <v>43579</v>
      </c>
      <c r="AB772" s="85">
        <v>43581</v>
      </c>
      <c r="AC772" s="85">
        <v>43581</v>
      </c>
      <c r="AD772" s="84">
        <v>0</v>
      </c>
      <c r="AG772" s="84">
        <v>0</v>
      </c>
      <c r="AJ772" s="84">
        <v>0</v>
      </c>
      <c r="AM772" s="84" t="s">
        <v>290</v>
      </c>
      <c r="AN772" s="84" t="s">
        <v>2409</v>
      </c>
      <c r="AR772" s="85">
        <v>43556</v>
      </c>
      <c r="AS772" s="84">
        <v>6001662513</v>
      </c>
      <c r="AT772" s="85">
        <v>43556</v>
      </c>
      <c r="AU772" s="84" t="s">
        <v>2213</v>
      </c>
      <c r="AV772" s="85">
        <v>43581</v>
      </c>
      <c r="AW772" s="123">
        <v>43585</v>
      </c>
      <c r="AX772" s="123">
        <v>43605</v>
      </c>
      <c r="AY772" s="132">
        <v>68832</v>
      </c>
      <c r="AZ772" s="132">
        <f>ROUNDDOWN(AY772+(AY772*MASTER!$A$2/100),0)</f>
        <v>74338</v>
      </c>
      <c r="BA772" s="84" t="s">
        <v>287</v>
      </c>
      <c r="BB772" s="88">
        <v>42000</v>
      </c>
      <c r="BC772" s="88">
        <v>45360</v>
      </c>
      <c r="BD772" s="84" t="s">
        <v>2197</v>
      </c>
      <c r="BG772" s="88">
        <v>0</v>
      </c>
      <c r="BI772" s="84" t="s">
        <v>434</v>
      </c>
      <c r="BJ772" s="88">
        <v>7930</v>
      </c>
      <c r="BK772" s="88">
        <v>8564.4</v>
      </c>
      <c r="BL772" s="84" t="s">
        <v>2197</v>
      </c>
      <c r="BS772" s="88">
        <v>0</v>
      </c>
      <c r="BV772" s="89">
        <v>64260</v>
      </c>
      <c r="BW772" s="89">
        <v>53924.4</v>
      </c>
      <c r="BX772" s="89">
        <v>43543</v>
      </c>
      <c r="BY772" s="89">
        <v>10335.6</v>
      </c>
      <c r="BZ772" s="112">
        <v>16.084033613445374</v>
      </c>
      <c r="CK772" s="88">
        <v>0</v>
      </c>
    </row>
    <row r="773" spans="1:89" x14ac:dyDescent="0.15">
      <c r="A773" s="84">
        <v>2</v>
      </c>
      <c r="B773" s="85">
        <v>43570</v>
      </c>
      <c r="C773" s="85">
        <v>43582</v>
      </c>
      <c r="D773" s="85">
        <v>43622</v>
      </c>
      <c r="E773" s="85">
        <v>43596</v>
      </c>
      <c r="F773" s="85">
        <v>43588</v>
      </c>
      <c r="G773" s="85">
        <v>43581</v>
      </c>
      <c r="H773" s="85">
        <v>43584</v>
      </c>
      <c r="I773" s="84" t="s">
        <v>1191</v>
      </c>
      <c r="J773" s="84">
        <v>1</v>
      </c>
      <c r="L773" s="84">
        <v>0</v>
      </c>
      <c r="M773" s="85">
        <v>43543</v>
      </c>
      <c r="N773" s="85" t="s">
        <v>265</v>
      </c>
      <c r="O773" s="86" t="s">
        <v>340</v>
      </c>
      <c r="P773" s="84" t="s">
        <v>26</v>
      </c>
      <c r="Q773" s="86" t="s">
        <v>137</v>
      </c>
      <c r="R773" s="86" t="s">
        <v>2410</v>
      </c>
      <c r="S773" s="87" t="s">
        <v>2156</v>
      </c>
      <c r="T773" s="87" t="s">
        <v>2411</v>
      </c>
      <c r="U773" s="88">
        <v>224500</v>
      </c>
      <c r="V773" s="88">
        <v>242460</v>
      </c>
      <c r="W773" s="88">
        <v>129800</v>
      </c>
      <c r="X773" s="88">
        <v>140184</v>
      </c>
      <c r="Y773" s="88">
        <v>94700</v>
      </c>
      <c r="Z773" s="88">
        <v>102276</v>
      </c>
      <c r="AA773" s="85">
        <v>43580</v>
      </c>
      <c r="AB773" s="85">
        <v>43581</v>
      </c>
      <c r="AC773" s="85">
        <v>43581</v>
      </c>
      <c r="AD773" s="84">
        <v>0</v>
      </c>
      <c r="AG773" s="84">
        <v>0</v>
      </c>
      <c r="AJ773" s="84">
        <v>0</v>
      </c>
      <c r="AM773" s="84" t="s">
        <v>290</v>
      </c>
      <c r="AN773" s="84" t="s">
        <v>2412</v>
      </c>
      <c r="AR773" s="85">
        <v>43556</v>
      </c>
      <c r="AS773" s="84">
        <v>6001662513</v>
      </c>
      <c r="AT773" s="85">
        <v>43556</v>
      </c>
      <c r="AU773" s="84" t="s">
        <v>2213</v>
      </c>
      <c r="AV773" s="85">
        <v>43582</v>
      </c>
      <c r="AW773" s="123">
        <v>43585</v>
      </c>
      <c r="AX773" s="123">
        <v>43605</v>
      </c>
      <c r="AY773" s="132">
        <v>215520</v>
      </c>
      <c r="AZ773" s="132">
        <f>ROUNDDOWN(AY773+(AY773*MASTER!$A$2/100),0)</f>
        <v>232761</v>
      </c>
      <c r="BA773" s="84" t="s">
        <v>287</v>
      </c>
      <c r="BB773" s="88">
        <v>50000</v>
      </c>
      <c r="BC773" s="88">
        <v>54000</v>
      </c>
      <c r="BD773" s="84" t="s">
        <v>2197</v>
      </c>
      <c r="BG773" s="88">
        <v>0</v>
      </c>
      <c r="BI773" s="84" t="s">
        <v>434</v>
      </c>
      <c r="BJ773" s="88">
        <v>61555</v>
      </c>
      <c r="BK773" s="88">
        <v>66479.399999999994</v>
      </c>
      <c r="BL773" s="84" t="s">
        <v>2197</v>
      </c>
      <c r="BS773" s="88">
        <v>0</v>
      </c>
      <c r="BV773" s="89">
        <v>140184</v>
      </c>
      <c r="BW773" s="89">
        <v>120479.4</v>
      </c>
      <c r="BX773" s="89">
        <v>43543</v>
      </c>
      <c r="BY773" s="89">
        <v>19704.599999999999</v>
      </c>
      <c r="BZ773" s="112">
        <v>14.056240369799697</v>
      </c>
      <c r="CK773" s="88">
        <v>6300</v>
      </c>
    </row>
    <row r="774" spans="1:89" x14ac:dyDescent="0.15">
      <c r="A774" s="84">
        <v>2</v>
      </c>
      <c r="B774" s="85">
        <v>43550</v>
      </c>
      <c r="C774" s="85">
        <v>43550</v>
      </c>
      <c r="D774" s="85">
        <v>43546</v>
      </c>
      <c r="E774" s="85">
        <v>43546</v>
      </c>
      <c r="F774" s="85" t="s">
        <v>338</v>
      </c>
      <c r="G774" s="85">
        <v>43546</v>
      </c>
      <c r="H774" s="85" t="s">
        <v>338</v>
      </c>
      <c r="I774" s="84" t="s">
        <v>380</v>
      </c>
      <c r="J774" s="84">
        <v>2</v>
      </c>
      <c r="L774" s="84">
        <v>0</v>
      </c>
      <c r="M774" s="85">
        <v>43543</v>
      </c>
      <c r="N774" s="85" t="s">
        <v>265</v>
      </c>
      <c r="O774" s="86" t="s">
        <v>340</v>
      </c>
      <c r="P774" s="84" t="s">
        <v>6</v>
      </c>
      <c r="Q774" s="86" t="s">
        <v>137</v>
      </c>
      <c r="R774" s="86" t="s">
        <v>2413</v>
      </c>
      <c r="S774" s="87" t="s">
        <v>403</v>
      </c>
      <c r="T774" s="87" t="s">
        <v>342</v>
      </c>
      <c r="U774" s="88">
        <v>35000</v>
      </c>
      <c r="V774" s="88">
        <v>37800</v>
      </c>
      <c r="W774" s="88">
        <v>35000</v>
      </c>
      <c r="X774" s="88">
        <v>37800</v>
      </c>
      <c r="Z774" s="88">
        <v>0</v>
      </c>
      <c r="AA774" s="85">
        <v>43543</v>
      </c>
      <c r="AB774" s="85">
        <v>43543</v>
      </c>
      <c r="AD774" s="84">
        <v>0</v>
      </c>
      <c r="AG774" s="84">
        <v>0</v>
      </c>
      <c r="AJ774" s="84">
        <v>0</v>
      </c>
      <c r="AN774" s="84" t="s">
        <v>338</v>
      </c>
      <c r="AR774" s="85">
        <v>43549</v>
      </c>
      <c r="AS774" s="84">
        <v>6001660792</v>
      </c>
      <c r="AT774" s="85">
        <v>43549</v>
      </c>
      <c r="AU774" s="84" t="s">
        <v>2414</v>
      </c>
      <c r="AV774" s="85">
        <v>43550</v>
      </c>
      <c r="AW774" s="123">
        <v>43555</v>
      </c>
      <c r="AX774" s="123">
        <v>43575</v>
      </c>
      <c r="AY774" s="132">
        <v>33600</v>
      </c>
      <c r="AZ774" s="132">
        <f>ROUNDDOWN(AY774+(AY774*MASTER!$A$2/100),0)</f>
        <v>36288</v>
      </c>
      <c r="BA774" s="84" t="s">
        <v>543</v>
      </c>
      <c r="BB774" s="88">
        <v>24000</v>
      </c>
      <c r="BC774" s="88">
        <v>25920</v>
      </c>
      <c r="BD774" s="84" t="s">
        <v>1268</v>
      </c>
      <c r="BG774" s="88">
        <v>0</v>
      </c>
      <c r="BK774" s="88">
        <v>0</v>
      </c>
      <c r="BS774" s="88">
        <v>0</v>
      </c>
      <c r="BV774" s="89">
        <v>37800</v>
      </c>
      <c r="BW774" s="89">
        <v>25920</v>
      </c>
      <c r="BX774" s="89">
        <v>43543</v>
      </c>
      <c r="BY774" s="89">
        <v>11880</v>
      </c>
      <c r="BZ774" s="112">
        <v>31.428571428571427</v>
      </c>
      <c r="CK774" s="88">
        <v>0</v>
      </c>
    </row>
    <row r="775" spans="1:89" s="151" customFormat="1" x14ac:dyDescent="0.15">
      <c r="A775" s="141">
        <v>3</v>
      </c>
      <c r="B775" s="142"/>
      <c r="C775" s="142" t="s">
        <v>338</v>
      </c>
      <c r="D775" s="142"/>
      <c r="E775" s="142"/>
      <c r="F775" s="142" t="s">
        <v>338</v>
      </c>
      <c r="G775" s="142"/>
      <c r="H775" s="142" t="s">
        <v>338</v>
      </c>
      <c r="I775" s="141"/>
      <c r="J775" s="141">
        <v>2</v>
      </c>
      <c r="K775" s="142"/>
      <c r="L775" s="141">
        <v>0</v>
      </c>
      <c r="M775" s="142">
        <v>43543</v>
      </c>
      <c r="N775" s="142" t="s">
        <v>265</v>
      </c>
      <c r="O775" s="143" t="s">
        <v>340</v>
      </c>
      <c r="P775" s="141" t="s">
        <v>26</v>
      </c>
      <c r="Q775" s="143" t="s">
        <v>137</v>
      </c>
      <c r="R775" s="143" t="s">
        <v>2415</v>
      </c>
      <c r="S775" s="144" t="s">
        <v>2416</v>
      </c>
      <c r="T775" s="144" t="s">
        <v>2417</v>
      </c>
      <c r="U775" s="145">
        <v>42000</v>
      </c>
      <c r="V775" s="145">
        <v>45360</v>
      </c>
      <c r="W775" s="145">
        <v>42000</v>
      </c>
      <c r="X775" s="145">
        <v>45360</v>
      </c>
      <c r="Y775" s="145"/>
      <c r="Z775" s="145">
        <v>0</v>
      </c>
      <c r="AA775" s="142"/>
      <c r="AB775" s="142"/>
      <c r="AC775" s="142"/>
      <c r="AD775" s="141">
        <v>0</v>
      </c>
      <c r="AE775" s="141"/>
      <c r="AF775" s="141"/>
      <c r="AG775" s="141">
        <v>0</v>
      </c>
      <c r="AH775" s="141"/>
      <c r="AI775" s="141"/>
      <c r="AJ775" s="141">
        <v>0</v>
      </c>
      <c r="AK775" s="141"/>
      <c r="AL775" s="141"/>
      <c r="AM775" s="141"/>
      <c r="AN775" s="141"/>
      <c r="AO775" s="142"/>
      <c r="AP775" s="141"/>
      <c r="AQ775" s="141"/>
      <c r="AR775" s="142"/>
      <c r="AS775" s="141"/>
      <c r="AT775" s="142"/>
      <c r="AU775" s="141"/>
      <c r="AV775" s="142"/>
      <c r="AW775" s="146"/>
      <c r="AX775" s="146"/>
      <c r="AY775" s="147">
        <v>40320</v>
      </c>
      <c r="AZ775" s="132">
        <f>ROUNDDOWN(AY775+(AY775*MASTER!$A$2/100),0)</f>
        <v>43545</v>
      </c>
      <c r="BA775" s="141"/>
      <c r="BB775" s="145"/>
      <c r="BC775" s="145">
        <v>0</v>
      </c>
      <c r="BD775" s="141"/>
      <c r="BE775" s="141"/>
      <c r="BF775" s="145"/>
      <c r="BG775" s="145">
        <v>0</v>
      </c>
      <c r="BH775" s="141"/>
      <c r="BI775" s="141"/>
      <c r="BJ775" s="145"/>
      <c r="BK775" s="145">
        <v>0</v>
      </c>
      <c r="BL775" s="141"/>
      <c r="BM775" s="145"/>
      <c r="BN775" s="145"/>
      <c r="BO775" s="145"/>
      <c r="BP775" s="145"/>
      <c r="BQ775" s="145"/>
      <c r="BR775" s="145"/>
      <c r="BS775" s="145">
        <v>0</v>
      </c>
      <c r="BT775" s="148"/>
      <c r="BU775" s="148"/>
      <c r="BV775" s="149">
        <v>45360</v>
      </c>
      <c r="BW775" s="149">
        <v>0</v>
      </c>
      <c r="BX775" s="149">
        <v>43543</v>
      </c>
      <c r="BY775" s="149">
        <v>45360</v>
      </c>
      <c r="BZ775" s="150">
        <v>100</v>
      </c>
      <c r="CA775" s="141"/>
      <c r="CB775" s="141"/>
      <c r="CC775" s="141"/>
      <c r="CD775" s="144" t="s">
        <v>2418</v>
      </c>
      <c r="CE775" s="142"/>
      <c r="CF775" s="142"/>
      <c r="CG775" s="142"/>
      <c r="CH775" s="142"/>
      <c r="CI775" s="142"/>
      <c r="CJ775" s="142"/>
      <c r="CK775" s="145"/>
    </row>
    <row r="776" spans="1:89" s="151" customFormat="1" x14ac:dyDescent="0.15">
      <c r="A776" s="141">
        <v>3</v>
      </c>
      <c r="B776" s="142"/>
      <c r="C776" s="142" t="s">
        <v>338</v>
      </c>
      <c r="D776" s="142"/>
      <c r="E776" s="142"/>
      <c r="F776" s="142" t="s">
        <v>338</v>
      </c>
      <c r="G776" s="142"/>
      <c r="H776" s="142" t="s">
        <v>338</v>
      </c>
      <c r="I776" s="141"/>
      <c r="J776" s="141">
        <v>2</v>
      </c>
      <c r="K776" s="142"/>
      <c r="L776" s="141">
        <v>0</v>
      </c>
      <c r="M776" s="142">
        <v>43543</v>
      </c>
      <c r="N776" s="142" t="s">
        <v>265</v>
      </c>
      <c r="O776" s="143" t="s">
        <v>340</v>
      </c>
      <c r="P776" s="141" t="s">
        <v>6</v>
      </c>
      <c r="Q776" s="143" t="s">
        <v>137</v>
      </c>
      <c r="R776" s="143" t="s">
        <v>2419</v>
      </c>
      <c r="S776" s="144" t="s">
        <v>1717</v>
      </c>
      <c r="T776" s="144" t="s">
        <v>342</v>
      </c>
      <c r="U776" s="145">
        <v>35000</v>
      </c>
      <c r="V776" s="145">
        <v>37800</v>
      </c>
      <c r="W776" s="145">
        <v>35000</v>
      </c>
      <c r="X776" s="145">
        <v>37800</v>
      </c>
      <c r="Y776" s="145"/>
      <c r="Z776" s="145">
        <v>0</v>
      </c>
      <c r="AA776" s="142"/>
      <c r="AB776" s="142"/>
      <c r="AC776" s="142"/>
      <c r="AD776" s="141">
        <v>0</v>
      </c>
      <c r="AE776" s="141"/>
      <c r="AF776" s="141"/>
      <c r="AG776" s="141">
        <v>0</v>
      </c>
      <c r="AH776" s="141"/>
      <c r="AI776" s="141"/>
      <c r="AJ776" s="141">
        <v>0</v>
      </c>
      <c r="AK776" s="141"/>
      <c r="AL776" s="141"/>
      <c r="AM776" s="141"/>
      <c r="AN776" s="141"/>
      <c r="AO776" s="142"/>
      <c r="AP776" s="141"/>
      <c r="AQ776" s="141"/>
      <c r="AR776" s="142"/>
      <c r="AS776" s="141"/>
      <c r="AT776" s="142"/>
      <c r="AU776" s="141"/>
      <c r="AV776" s="142"/>
      <c r="AW776" s="146"/>
      <c r="AX776" s="146"/>
      <c r="AY776" s="147">
        <v>33600</v>
      </c>
      <c r="AZ776" s="132">
        <f>ROUNDDOWN(AY776+(AY776*MASTER!$A$2/100),0)</f>
        <v>36288</v>
      </c>
      <c r="BA776" s="141"/>
      <c r="BB776" s="145"/>
      <c r="BC776" s="145">
        <v>0</v>
      </c>
      <c r="BD776" s="141"/>
      <c r="BE776" s="141"/>
      <c r="BF776" s="145"/>
      <c r="BG776" s="145">
        <v>0</v>
      </c>
      <c r="BH776" s="141"/>
      <c r="BI776" s="141"/>
      <c r="BJ776" s="145"/>
      <c r="BK776" s="145">
        <v>0</v>
      </c>
      <c r="BL776" s="141"/>
      <c r="BM776" s="145"/>
      <c r="BN776" s="145"/>
      <c r="BO776" s="145"/>
      <c r="BP776" s="145"/>
      <c r="BQ776" s="145"/>
      <c r="BR776" s="145"/>
      <c r="BS776" s="145">
        <v>0</v>
      </c>
      <c r="BT776" s="148"/>
      <c r="BU776" s="148"/>
      <c r="BV776" s="149">
        <v>37800</v>
      </c>
      <c r="BW776" s="149">
        <v>0</v>
      </c>
      <c r="BX776" s="149">
        <v>43543</v>
      </c>
      <c r="BY776" s="149">
        <v>37800</v>
      </c>
      <c r="BZ776" s="150">
        <v>100</v>
      </c>
      <c r="CA776" s="141"/>
      <c r="CB776" s="141"/>
      <c r="CC776" s="141"/>
      <c r="CD776" s="144"/>
      <c r="CE776" s="142"/>
      <c r="CF776" s="142"/>
      <c r="CG776" s="142"/>
      <c r="CH776" s="142"/>
      <c r="CI776" s="142"/>
      <c r="CJ776" s="142"/>
      <c r="CK776" s="145"/>
    </row>
    <row r="777" spans="1:89" x14ac:dyDescent="0.15">
      <c r="A777" s="84">
        <v>2</v>
      </c>
      <c r="B777" s="85">
        <v>43579</v>
      </c>
      <c r="C777" s="85">
        <v>43578</v>
      </c>
      <c r="D777" s="85">
        <v>43571</v>
      </c>
      <c r="E777" s="85">
        <v>43571</v>
      </c>
      <c r="F777" s="85" t="s">
        <v>338</v>
      </c>
      <c r="G777" s="85">
        <v>43571</v>
      </c>
      <c r="H777" s="85" t="s">
        <v>338</v>
      </c>
      <c r="I777" s="84" t="s">
        <v>380</v>
      </c>
      <c r="J777" s="84">
        <v>2</v>
      </c>
      <c r="L777" s="84">
        <v>0</v>
      </c>
      <c r="M777" s="85">
        <v>43543</v>
      </c>
      <c r="N777" s="85" t="s">
        <v>265</v>
      </c>
      <c r="O777" s="86" t="s">
        <v>340</v>
      </c>
      <c r="P777" s="84" t="s">
        <v>6</v>
      </c>
      <c r="Q777" s="86" t="s">
        <v>137</v>
      </c>
      <c r="R777" s="86" t="s">
        <v>2420</v>
      </c>
      <c r="S777" s="87" t="s">
        <v>1274</v>
      </c>
      <c r="T777" s="87" t="s">
        <v>342</v>
      </c>
      <c r="U777" s="88">
        <v>35000</v>
      </c>
      <c r="V777" s="88">
        <v>37800</v>
      </c>
      <c r="W777" s="88">
        <v>35000</v>
      </c>
      <c r="X777" s="88">
        <v>37800</v>
      </c>
      <c r="Z777" s="88">
        <v>0</v>
      </c>
      <c r="AA777" s="85">
        <v>43566</v>
      </c>
      <c r="AB777" s="85">
        <v>43566</v>
      </c>
      <c r="AD777" s="84">
        <v>0</v>
      </c>
      <c r="AG777" s="84">
        <v>0</v>
      </c>
      <c r="AJ777" s="84">
        <v>0</v>
      </c>
      <c r="AN777" s="84" t="s">
        <v>338</v>
      </c>
      <c r="AR777" s="85">
        <v>43577</v>
      </c>
      <c r="AS777" s="84">
        <v>6001669162</v>
      </c>
      <c r="AT777" s="85">
        <v>43577</v>
      </c>
      <c r="AU777" s="84" t="s">
        <v>2421</v>
      </c>
      <c r="AV777" s="85">
        <v>43578</v>
      </c>
      <c r="AW777" s="123">
        <v>43585</v>
      </c>
      <c r="AX777" s="123">
        <v>43605</v>
      </c>
      <c r="AY777" s="132">
        <v>33600</v>
      </c>
      <c r="AZ777" s="132">
        <f>ROUNDDOWN(AY777+(AY777*MASTER!$A$2/100),0)</f>
        <v>36288</v>
      </c>
      <c r="BA777" s="84" t="s">
        <v>287</v>
      </c>
      <c r="BB777" s="88">
        <v>33000</v>
      </c>
      <c r="BC777" s="88">
        <v>35640</v>
      </c>
      <c r="BD777" s="84" t="s">
        <v>1579</v>
      </c>
      <c r="BG777" s="88">
        <v>0</v>
      </c>
      <c r="BK777" s="88">
        <v>0</v>
      </c>
      <c r="BS777" s="88">
        <v>0</v>
      </c>
      <c r="BV777" s="89">
        <v>37800</v>
      </c>
      <c r="BW777" s="89">
        <v>35640</v>
      </c>
      <c r="BX777" s="89">
        <v>43543</v>
      </c>
      <c r="BY777" s="89">
        <v>2160</v>
      </c>
      <c r="BZ777" s="112">
        <v>5.7142857142857144</v>
      </c>
      <c r="CK777" s="88">
        <v>0</v>
      </c>
    </row>
    <row r="778" spans="1:89" x14ac:dyDescent="0.15">
      <c r="A778" s="84">
        <v>2</v>
      </c>
      <c r="C778" s="85" t="s">
        <v>338</v>
      </c>
      <c r="F778" s="85" t="s">
        <v>338</v>
      </c>
      <c r="H778" s="85" t="s">
        <v>338</v>
      </c>
      <c r="J778" s="84">
        <v>4</v>
      </c>
      <c r="L778" s="84">
        <v>0</v>
      </c>
      <c r="M778" s="85">
        <v>43543</v>
      </c>
      <c r="N778" s="85" t="s">
        <v>265</v>
      </c>
      <c r="O778" s="86" t="s">
        <v>340</v>
      </c>
      <c r="P778" s="84" t="s">
        <v>6</v>
      </c>
      <c r="Q778" s="86" t="s">
        <v>137</v>
      </c>
      <c r="R778" s="86" t="s">
        <v>2422</v>
      </c>
      <c r="S778" s="87" t="s">
        <v>419</v>
      </c>
      <c r="T778" s="87" t="s">
        <v>479</v>
      </c>
      <c r="U778" s="88">
        <v>0</v>
      </c>
      <c r="V778" s="88">
        <v>0</v>
      </c>
      <c r="W778" s="88">
        <v>0</v>
      </c>
      <c r="X778" s="88">
        <v>0</v>
      </c>
      <c r="Y778" s="88">
        <v>0</v>
      </c>
      <c r="Z778" s="88">
        <v>0</v>
      </c>
      <c r="AA778" s="85">
        <v>43524</v>
      </c>
      <c r="AB778" s="85">
        <v>43524</v>
      </c>
      <c r="AD778" s="84">
        <v>0</v>
      </c>
      <c r="AG778" s="84">
        <v>0</v>
      </c>
      <c r="AJ778" s="84">
        <v>0</v>
      </c>
      <c r="AN778" s="84" t="s">
        <v>338</v>
      </c>
      <c r="AY778" s="132">
        <v>0</v>
      </c>
      <c r="AZ778" s="132">
        <f>ROUNDDOWN(AY778+(AY778*MASTER!$A$2/100),0)</f>
        <v>0</v>
      </c>
      <c r="BA778" s="84" t="s">
        <v>543</v>
      </c>
      <c r="BB778" s="88">
        <v>23000</v>
      </c>
      <c r="BC778" s="88">
        <v>24840</v>
      </c>
      <c r="BD778" s="84" t="s">
        <v>1268</v>
      </c>
      <c r="BG778" s="88">
        <v>0</v>
      </c>
      <c r="BK778" s="88">
        <v>0</v>
      </c>
      <c r="BS778" s="88">
        <v>0</v>
      </c>
      <c r="BV778" s="89">
        <v>0</v>
      </c>
      <c r="BW778" s="89">
        <v>24840</v>
      </c>
      <c r="BX778" s="89">
        <v>43543</v>
      </c>
      <c r="BY778" s="89">
        <v>-24840</v>
      </c>
      <c r="BZ778" s="112" t="s">
        <v>338</v>
      </c>
    </row>
    <row r="779" spans="1:89" x14ac:dyDescent="0.15">
      <c r="A779" s="84">
        <v>2</v>
      </c>
      <c r="B779" s="85">
        <v>43551</v>
      </c>
      <c r="C779" s="85">
        <v>43552</v>
      </c>
      <c r="D779" s="85">
        <v>43546</v>
      </c>
      <c r="E779" s="85">
        <v>43546</v>
      </c>
      <c r="F779" s="85" t="s">
        <v>338</v>
      </c>
      <c r="G779" s="85">
        <v>43546</v>
      </c>
      <c r="H779" s="85" t="s">
        <v>338</v>
      </c>
      <c r="I779" s="84" t="s">
        <v>547</v>
      </c>
      <c r="J779" s="84">
        <v>2</v>
      </c>
      <c r="L779" s="84">
        <v>0</v>
      </c>
      <c r="M779" s="85">
        <v>43543</v>
      </c>
      <c r="N779" s="85" t="s">
        <v>265</v>
      </c>
      <c r="O779" s="86" t="s">
        <v>340</v>
      </c>
      <c r="P779" s="84" t="s">
        <v>6</v>
      </c>
      <c r="Q779" s="86" t="s">
        <v>137</v>
      </c>
      <c r="R779" s="86" t="s">
        <v>2423</v>
      </c>
      <c r="S779" s="87" t="s">
        <v>1599</v>
      </c>
      <c r="T779" s="87" t="s">
        <v>342</v>
      </c>
      <c r="U779" s="88">
        <v>35000</v>
      </c>
      <c r="V779" s="88">
        <v>37800</v>
      </c>
      <c r="W779" s="88">
        <v>35000</v>
      </c>
      <c r="X779" s="88">
        <v>37800</v>
      </c>
      <c r="Z779" s="88">
        <v>0</v>
      </c>
      <c r="AA779" s="85">
        <v>43544</v>
      </c>
      <c r="AB779" s="85">
        <v>43544</v>
      </c>
      <c r="AD779" s="84">
        <v>0</v>
      </c>
      <c r="AG779" s="84">
        <v>0</v>
      </c>
      <c r="AJ779" s="84">
        <v>0</v>
      </c>
      <c r="AR779" s="85">
        <v>43550</v>
      </c>
      <c r="AS779" s="84">
        <v>6001661194</v>
      </c>
      <c r="AT779" s="85">
        <v>43550</v>
      </c>
      <c r="AU779" s="84" t="s">
        <v>2359</v>
      </c>
      <c r="AV779" s="85">
        <v>43552</v>
      </c>
      <c r="AW779" s="123">
        <v>43555</v>
      </c>
      <c r="AX779" s="123">
        <v>43575</v>
      </c>
      <c r="AY779" s="132">
        <v>33600</v>
      </c>
      <c r="AZ779" s="132">
        <f>ROUNDDOWN(AY779+(AY779*MASTER!$A$2/100),0)</f>
        <v>36288</v>
      </c>
      <c r="BA779" s="84" t="s">
        <v>287</v>
      </c>
      <c r="BB779" s="88">
        <v>21000</v>
      </c>
      <c r="BC779" s="88">
        <v>22680</v>
      </c>
      <c r="BD779" s="84" t="s">
        <v>1268</v>
      </c>
      <c r="BG779" s="88">
        <v>0</v>
      </c>
      <c r="BK779" s="88">
        <v>0</v>
      </c>
      <c r="BS779" s="88">
        <v>0</v>
      </c>
      <c r="BV779" s="89">
        <v>37800</v>
      </c>
      <c r="BW779" s="89">
        <v>22680</v>
      </c>
      <c r="BX779" s="89">
        <v>43543</v>
      </c>
      <c r="BY779" s="89">
        <v>15120</v>
      </c>
      <c r="BZ779" s="112">
        <v>40</v>
      </c>
    </row>
    <row r="780" spans="1:89" x14ac:dyDescent="0.15">
      <c r="A780" s="84">
        <v>1</v>
      </c>
      <c r="C780" s="85" t="s">
        <v>338</v>
      </c>
      <c r="F780" s="85" t="s">
        <v>338</v>
      </c>
      <c r="H780" s="85" t="s">
        <v>338</v>
      </c>
      <c r="J780" s="84">
        <v>4</v>
      </c>
      <c r="L780" s="84">
        <v>0</v>
      </c>
      <c r="M780" s="85">
        <v>43544</v>
      </c>
      <c r="N780" s="85" t="s">
        <v>265</v>
      </c>
      <c r="O780" s="86" t="s">
        <v>340</v>
      </c>
      <c r="P780" s="84" t="s">
        <v>26</v>
      </c>
      <c r="Q780" s="86" t="s">
        <v>137</v>
      </c>
      <c r="R780" s="86" t="s">
        <v>2424</v>
      </c>
      <c r="S780" s="87" t="s">
        <v>2046</v>
      </c>
      <c r="T780" s="87" t="s">
        <v>2425</v>
      </c>
      <c r="U780" s="88">
        <v>0</v>
      </c>
      <c r="V780" s="88">
        <v>0</v>
      </c>
      <c r="W780" s="88">
        <v>0</v>
      </c>
      <c r="X780" s="88">
        <v>0</v>
      </c>
      <c r="Y780" s="88">
        <v>0</v>
      </c>
      <c r="Z780" s="88">
        <v>0</v>
      </c>
      <c r="AA780" s="85">
        <v>43537</v>
      </c>
      <c r="AB780" s="85">
        <v>43544</v>
      </c>
      <c r="AD780" s="84">
        <v>0</v>
      </c>
      <c r="AG780" s="84">
        <v>0</v>
      </c>
      <c r="AJ780" s="84">
        <v>0</v>
      </c>
      <c r="AY780" s="132">
        <v>0</v>
      </c>
      <c r="AZ780" s="132">
        <f>ROUNDDOWN(AY780+(AY780*MASTER!$A$2/100),0)</f>
        <v>0</v>
      </c>
      <c r="BC780" s="88">
        <v>0</v>
      </c>
      <c r="BG780" s="88">
        <v>0</v>
      </c>
      <c r="BI780" s="84" t="s">
        <v>434</v>
      </c>
      <c r="BJ780" s="88">
        <v>7800</v>
      </c>
      <c r="BK780" s="88">
        <v>8424</v>
      </c>
      <c r="BL780" s="84" t="s">
        <v>1567</v>
      </c>
      <c r="BS780" s="88">
        <v>0</v>
      </c>
      <c r="BV780" s="89">
        <v>0</v>
      </c>
      <c r="BW780" s="89">
        <v>8424</v>
      </c>
      <c r="BX780" s="89">
        <v>43544</v>
      </c>
      <c r="BY780" s="89">
        <v>-8424</v>
      </c>
      <c r="BZ780" s="112" t="s">
        <v>338</v>
      </c>
      <c r="CD780" s="87" t="s">
        <v>2426</v>
      </c>
    </row>
    <row r="781" spans="1:89" x14ac:dyDescent="0.15">
      <c r="A781" s="84">
        <v>1</v>
      </c>
      <c r="C781" s="85" t="s">
        <v>338</v>
      </c>
      <c r="F781" s="85" t="s">
        <v>338</v>
      </c>
      <c r="H781" s="85" t="s">
        <v>338</v>
      </c>
      <c r="J781" s="84">
        <v>4</v>
      </c>
      <c r="L781" s="84">
        <v>0</v>
      </c>
      <c r="M781" s="85">
        <v>43544</v>
      </c>
      <c r="N781" s="85" t="s">
        <v>265</v>
      </c>
      <c r="O781" s="86" t="s">
        <v>340</v>
      </c>
      <c r="P781" s="84" t="s">
        <v>26</v>
      </c>
      <c r="Q781" s="86" t="s">
        <v>137</v>
      </c>
      <c r="R781" s="86" t="s">
        <v>2427</v>
      </c>
      <c r="S781" s="87" t="s">
        <v>928</v>
      </c>
      <c r="T781" s="87" t="s">
        <v>2428</v>
      </c>
      <c r="U781" s="88">
        <v>0</v>
      </c>
      <c r="V781" s="88">
        <v>0</v>
      </c>
      <c r="W781" s="88">
        <v>0</v>
      </c>
      <c r="X781" s="88">
        <v>0</v>
      </c>
      <c r="Y781" s="88">
        <v>0</v>
      </c>
      <c r="Z781" s="88">
        <v>0</v>
      </c>
      <c r="AA781" s="85">
        <v>43537</v>
      </c>
      <c r="AB781" s="85">
        <v>43539</v>
      </c>
      <c r="AD781" s="84">
        <v>0</v>
      </c>
      <c r="AG781" s="84">
        <v>0</v>
      </c>
      <c r="AJ781" s="84">
        <v>0</v>
      </c>
      <c r="AY781" s="132">
        <v>0</v>
      </c>
      <c r="AZ781" s="132">
        <f>ROUNDDOWN(AY781+(AY781*MASTER!$A$2/100),0)</f>
        <v>0</v>
      </c>
      <c r="BC781" s="88">
        <v>0</v>
      </c>
      <c r="BG781" s="88">
        <v>0</v>
      </c>
      <c r="BI781" s="84" t="s">
        <v>434</v>
      </c>
      <c r="BJ781" s="88">
        <v>7800</v>
      </c>
      <c r="BK781" s="88">
        <v>8424</v>
      </c>
      <c r="BL781" s="84" t="s">
        <v>1567</v>
      </c>
      <c r="BS781" s="88">
        <v>0</v>
      </c>
      <c r="BV781" s="89">
        <v>0</v>
      </c>
      <c r="BW781" s="89">
        <v>8424</v>
      </c>
      <c r="BX781" s="89">
        <v>43544</v>
      </c>
      <c r="BY781" s="89">
        <v>-8424</v>
      </c>
      <c r="BZ781" s="112" t="s">
        <v>338</v>
      </c>
      <c r="CD781" s="87" t="s">
        <v>2429</v>
      </c>
    </row>
    <row r="782" spans="1:89" x14ac:dyDescent="0.15">
      <c r="A782" s="84">
        <v>1</v>
      </c>
      <c r="C782" s="85" t="s">
        <v>338</v>
      </c>
      <c r="F782" s="85" t="s">
        <v>338</v>
      </c>
      <c r="H782" s="85" t="s">
        <v>338</v>
      </c>
      <c r="J782" s="84">
        <v>4</v>
      </c>
      <c r="L782" s="84">
        <v>0</v>
      </c>
      <c r="M782" s="85">
        <v>43544</v>
      </c>
      <c r="N782" s="85" t="s">
        <v>265</v>
      </c>
      <c r="O782" s="86" t="s">
        <v>340</v>
      </c>
      <c r="P782" s="84" t="s">
        <v>26</v>
      </c>
      <c r="Q782" s="86" t="s">
        <v>137</v>
      </c>
      <c r="R782" s="86" t="s">
        <v>2430</v>
      </c>
      <c r="S782" s="87" t="s">
        <v>351</v>
      </c>
      <c r="T782" s="87" t="s">
        <v>2431</v>
      </c>
      <c r="U782" s="88">
        <v>0</v>
      </c>
      <c r="V782" s="88">
        <v>0</v>
      </c>
      <c r="W782" s="88">
        <v>0</v>
      </c>
      <c r="X782" s="88">
        <v>0</v>
      </c>
      <c r="Y782" s="88">
        <v>0</v>
      </c>
      <c r="Z782" s="88">
        <v>0</v>
      </c>
      <c r="AA782" s="85">
        <v>43508</v>
      </c>
      <c r="AB782" s="85">
        <v>43517</v>
      </c>
      <c r="AD782" s="84">
        <v>0</v>
      </c>
      <c r="AG782" s="84">
        <v>0</v>
      </c>
      <c r="AJ782" s="84">
        <v>0</v>
      </c>
      <c r="AY782" s="132">
        <v>0</v>
      </c>
      <c r="AZ782" s="132">
        <f>ROUNDDOWN(AY782+(AY782*MASTER!$A$2/100),0)</f>
        <v>0</v>
      </c>
      <c r="BC782" s="88">
        <v>0</v>
      </c>
      <c r="BG782" s="88">
        <v>0</v>
      </c>
      <c r="BI782" s="84" t="s">
        <v>434</v>
      </c>
      <c r="BJ782" s="88">
        <v>113750</v>
      </c>
      <c r="BK782" s="88">
        <v>122850</v>
      </c>
      <c r="BL782" s="84" t="s">
        <v>1567</v>
      </c>
      <c r="BS782" s="88">
        <v>0</v>
      </c>
      <c r="BV782" s="89">
        <v>0</v>
      </c>
      <c r="BW782" s="89">
        <v>122850</v>
      </c>
      <c r="BX782" s="89">
        <v>43544</v>
      </c>
      <c r="BY782" s="89">
        <v>-122850</v>
      </c>
      <c r="BZ782" s="112" t="s">
        <v>338</v>
      </c>
    </row>
    <row r="783" spans="1:89" x14ac:dyDescent="0.15">
      <c r="A783" s="84">
        <v>2</v>
      </c>
      <c r="B783" s="85">
        <v>43570</v>
      </c>
      <c r="C783" s="85">
        <v>43581</v>
      </c>
      <c r="D783" s="85">
        <v>43581</v>
      </c>
      <c r="E783" s="85">
        <v>43596</v>
      </c>
      <c r="F783" s="85">
        <v>43588</v>
      </c>
      <c r="G783" s="85">
        <v>43581</v>
      </c>
      <c r="H783" s="85">
        <v>43584</v>
      </c>
      <c r="I783" s="84" t="s">
        <v>1191</v>
      </c>
      <c r="J783" s="84">
        <v>1</v>
      </c>
      <c r="L783" s="84">
        <v>0</v>
      </c>
      <c r="M783" s="85">
        <v>43544</v>
      </c>
      <c r="N783" s="85" t="s">
        <v>265</v>
      </c>
      <c r="O783" s="86" t="s">
        <v>340</v>
      </c>
      <c r="P783" s="84" t="s">
        <v>26</v>
      </c>
      <c r="Q783" s="86" t="s">
        <v>137</v>
      </c>
      <c r="R783" s="86" t="s">
        <v>2432</v>
      </c>
      <c r="S783" s="87" t="s">
        <v>1060</v>
      </c>
      <c r="T783" s="87" t="s">
        <v>706</v>
      </c>
      <c r="U783" s="88">
        <v>205800</v>
      </c>
      <c r="V783" s="88">
        <v>222264</v>
      </c>
      <c r="W783" s="88">
        <v>117300</v>
      </c>
      <c r="X783" s="88">
        <v>126684</v>
      </c>
      <c r="Y783" s="88">
        <v>88500</v>
      </c>
      <c r="Z783" s="88">
        <v>95580</v>
      </c>
      <c r="AA783" s="85">
        <v>43580</v>
      </c>
      <c r="AB783" s="85">
        <v>43581</v>
      </c>
      <c r="AC783" s="85">
        <v>43581</v>
      </c>
      <c r="AD783" s="84">
        <v>0</v>
      </c>
      <c r="AG783" s="84">
        <v>0</v>
      </c>
      <c r="AJ783" s="84">
        <v>0</v>
      </c>
      <c r="AM783" s="84" t="s">
        <v>290</v>
      </c>
      <c r="AN783" s="84" t="s">
        <v>2433</v>
      </c>
      <c r="AR783" s="85">
        <v>43563</v>
      </c>
      <c r="AS783" s="84">
        <v>6001664890</v>
      </c>
      <c r="AT783" s="85">
        <v>43563</v>
      </c>
      <c r="AU783" s="84" t="s">
        <v>1692</v>
      </c>
      <c r="AV783" s="85">
        <v>43581</v>
      </c>
      <c r="AW783" s="123">
        <v>43585</v>
      </c>
      <c r="AX783" s="123">
        <v>43605</v>
      </c>
      <c r="AY783" s="132">
        <v>197568</v>
      </c>
      <c r="AZ783" s="132">
        <f>ROUNDDOWN(AY783+(AY783*MASTER!$A$2/100),0)</f>
        <v>213373</v>
      </c>
      <c r="BA783" s="84" t="s">
        <v>778</v>
      </c>
      <c r="BC783" s="88">
        <v>0</v>
      </c>
      <c r="BG783" s="88">
        <v>0</v>
      </c>
      <c r="BI783" s="84" t="s">
        <v>276</v>
      </c>
      <c r="BJ783" s="88">
        <v>57525</v>
      </c>
      <c r="BK783" s="88">
        <v>62127</v>
      </c>
      <c r="BL783" s="84" t="s">
        <v>1645</v>
      </c>
      <c r="BS783" s="88">
        <v>0</v>
      </c>
      <c r="BV783" s="89">
        <v>126684</v>
      </c>
      <c r="BW783" s="89">
        <v>62127</v>
      </c>
      <c r="BX783" s="89">
        <v>43544</v>
      </c>
      <c r="BY783" s="89">
        <v>64557</v>
      </c>
      <c r="BZ783" s="112">
        <v>50.959079283887462</v>
      </c>
      <c r="CK783" s="88">
        <v>6300</v>
      </c>
    </row>
    <row r="784" spans="1:89" x14ac:dyDescent="0.15">
      <c r="A784" s="84">
        <v>2</v>
      </c>
      <c r="B784" s="85">
        <v>43570</v>
      </c>
      <c r="C784" s="85">
        <v>43581</v>
      </c>
      <c r="D784" s="85">
        <v>43622</v>
      </c>
      <c r="E784" s="85">
        <v>43596</v>
      </c>
      <c r="F784" s="85">
        <v>43588</v>
      </c>
      <c r="G784" s="85">
        <v>43580</v>
      </c>
      <c r="H784" s="85">
        <v>43584</v>
      </c>
      <c r="I784" s="84" t="s">
        <v>1191</v>
      </c>
      <c r="J784" s="84">
        <v>1</v>
      </c>
      <c r="L784" s="84">
        <v>0</v>
      </c>
      <c r="M784" s="85">
        <v>43544</v>
      </c>
      <c r="N784" s="85" t="s">
        <v>265</v>
      </c>
      <c r="O784" s="86" t="s">
        <v>340</v>
      </c>
      <c r="P784" s="84" t="s">
        <v>26</v>
      </c>
      <c r="Q784" s="86" t="s">
        <v>137</v>
      </c>
      <c r="R784" s="86" t="s">
        <v>2434</v>
      </c>
      <c r="S784" s="87" t="s">
        <v>913</v>
      </c>
      <c r="T784" s="87" t="s">
        <v>2435</v>
      </c>
      <c r="U784" s="88">
        <v>306700</v>
      </c>
      <c r="V784" s="88">
        <v>331236</v>
      </c>
      <c r="W784" s="88">
        <v>187000</v>
      </c>
      <c r="X784" s="88">
        <v>201960</v>
      </c>
      <c r="Y784" s="88">
        <v>119700</v>
      </c>
      <c r="Z784" s="88">
        <v>129276</v>
      </c>
      <c r="AA784" s="85">
        <v>43579</v>
      </c>
      <c r="AB784" s="85">
        <v>43581</v>
      </c>
      <c r="AC784" s="85">
        <v>43581</v>
      </c>
      <c r="AD784" s="84">
        <v>0</v>
      </c>
      <c r="AG784" s="84">
        <v>0</v>
      </c>
      <c r="AJ784" s="84">
        <v>0</v>
      </c>
      <c r="AM784" s="84" t="s">
        <v>290</v>
      </c>
      <c r="AN784" s="84" t="s">
        <v>2436</v>
      </c>
      <c r="AR784" s="85">
        <v>43556</v>
      </c>
      <c r="AS784" s="84">
        <v>6001662513</v>
      </c>
      <c r="AT784" s="85">
        <v>43556</v>
      </c>
      <c r="AU784" s="84" t="s">
        <v>2213</v>
      </c>
      <c r="AV784" s="85">
        <v>43581</v>
      </c>
      <c r="AW784" s="123">
        <v>43585</v>
      </c>
      <c r="AX784" s="123">
        <v>43605</v>
      </c>
      <c r="AY784" s="132">
        <v>294432</v>
      </c>
      <c r="AZ784" s="132">
        <f>ROUNDDOWN(AY784+(AY784*MASTER!$A$2/100),0)</f>
        <v>317986</v>
      </c>
      <c r="BA784" s="84" t="s">
        <v>287</v>
      </c>
      <c r="BB784" s="88">
        <v>35000</v>
      </c>
      <c r="BC784" s="88">
        <v>37800</v>
      </c>
      <c r="BD784" s="84" t="s">
        <v>2197</v>
      </c>
      <c r="BG784" s="88">
        <v>0</v>
      </c>
      <c r="BI784" s="84" t="s">
        <v>434</v>
      </c>
      <c r="BJ784" s="88">
        <v>77805</v>
      </c>
      <c r="BK784" s="88">
        <v>84029.4</v>
      </c>
      <c r="BL784" s="84" t="s">
        <v>2197</v>
      </c>
      <c r="BS784" s="88">
        <v>0</v>
      </c>
      <c r="BV784" s="89">
        <v>201960</v>
      </c>
      <c r="BW784" s="89">
        <v>121829.4</v>
      </c>
      <c r="BX784" s="89">
        <v>43544</v>
      </c>
      <c r="BY784" s="89">
        <v>80130.600000000006</v>
      </c>
      <c r="BZ784" s="112">
        <v>39.676470588235297</v>
      </c>
      <c r="CK784" s="88">
        <v>31500</v>
      </c>
    </row>
    <row r="785" spans="1:89" x14ac:dyDescent="0.15">
      <c r="A785" s="84">
        <v>2</v>
      </c>
      <c r="B785" s="85">
        <v>43564</v>
      </c>
      <c r="C785" s="85">
        <v>43575</v>
      </c>
      <c r="D785" s="85">
        <v>43593</v>
      </c>
      <c r="E785" s="85">
        <v>43579</v>
      </c>
      <c r="F785" s="85">
        <v>43582</v>
      </c>
      <c r="G785" s="85">
        <v>43577</v>
      </c>
      <c r="H785" s="85">
        <v>43578</v>
      </c>
      <c r="I785" s="84" t="s">
        <v>1191</v>
      </c>
      <c r="J785" s="84">
        <v>1</v>
      </c>
      <c r="L785" s="84">
        <v>0</v>
      </c>
      <c r="M785" s="85">
        <v>43544</v>
      </c>
      <c r="N785" s="85" t="s">
        <v>265</v>
      </c>
      <c r="O785" s="86" t="s">
        <v>340</v>
      </c>
      <c r="P785" s="84" t="s">
        <v>26</v>
      </c>
      <c r="Q785" s="86" t="s">
        <v>137</v>
      </c>
      <c r="R785" s="86" t="s">
        <v>2437</v>
      </c>
      <c r="S785" s="87" t="s">
        <v>571</v>
      </c>
      <c r="T785" s="87" t="s">
        <v>797</v>
      </c>
      <c r="U785" s="88">
        <v>50000</v>
      </c>
      <c r="V785" s="88">
        <v>54000</v>
      </c>
      <c r="W785" s="88">
        <v>47000</v>
      </c>
      <c r="X785" s="88">
        <v>50760</v>
      </c>
      <c r="Y785" s="88">
        <v>3000</v>
      </c>
      <c r="Z785" s="88">
        <v>3240</v>
      </c>
      <c r="AA785" s="85">
        <v>43572</v>
      </c>
      <c r="AB785" s="85">
        <v>43575</v>
      </c>
      <c r="AC785" s="85">
        <v>43575</v>
      </c>
      <c r="AD785" s="84">
        <v>0</v>
      </c>
      <c r="AG785" s="84">
        <v>0</v>
      </c>
      <c r="AJ785" s="84">
        <v>0</v>
      </c>
      <c r="AM785" s="84" t="s">
        <v>290</v>
      </c>
      <c r="AN785" s="84" t="s">
        <v>2438</v>
      </c>
      <c r="AR785" s="85">
        <v>43563</v>
      </c>
      <c r="AS785" s="84">
        <v>6001664890</v>
      </c>
      <c r="AT785" s="85">
        <v>43563</v>
      </c>
      <c r="AU785" s="84" t="s">
        <v>1692</v>
      </c>
      <c r="AV785" s="85">
        <v>43575</v>
      </c>
      <c r="AW785" s="123">
        <v>43585</v>
      </c>
      <c r="AX785" s="123">
        <v>43605</v>
      </c>
      <c r="AY785" s="132">
        <v>48000</v>
      </c>
      <c r="AZ785" s="132">
        <f>ROUNDDOWN(AY785+(AY785*MASTER!$A$2/100),0)</f>
        <v>51840</v>
      </c>
      <c r="BA785" s="84" t="s">
        <v>287</v>
      </c>
      <c r="BB785" s="88">
        <v>21000</v>
      </c>
      <c r="BC785" s="88">
        <v>22680</v>
      </c>
      <c r="BD785" s="84" t="s">
        <v>1579</v>
      </c>
      <c r="BG785" s="88">
        <v>0</v>
      </c>
      <c r="BI785" s="84" t="s">
        <v>434</v>
      </c>
      <c r="BJ785" s="88">
        <v>1950</v>
      </c>
      <c r="BK785" s="88">
        <v>2106</v>
      </c>
      <c r="BL785" s="84" t="s">
        <v>1579</v>
      </c>
      <c r="BS785" s="88">
        <v>0</v>
      </c>
      <c r="BV785" s="89">
        <v>50760</v>
      </c>
      <c r="BW785" s="89">
        <v>24786</v>
      </c>
      <c r="BX785" s="89">
        <v>43544</v>
      </c>
      <c r="BY785" s="89">
        <v>25974</v>
      </c>
      <c r="BZ785" s="112">
        <v>51.170212765957444</v>
      </c>
      <c r="CK785" s="88">
        <v>0</v>
      </c>
    </row>
    <row r="786" spans="1:89" x14ac:dyDescent="0.15">
      <c r="A786" s="84">
        <v>2</v>
      </c>
      <c r="B786" s="85">
        <v>43570</v>
      </c>
      <c r="C786" s="85">
        <v>43582</v>
      </c>
      <c r="D786" s="85" t="s">
        <v>374</v>
      </c>
      <c r="E786" s="85">
        <v>43596</v>
      </c>
      <c r="F786" s="85">
        <v>43589</v>
      </c>
      <c r="G786" s="85">
        <v>43593</v>
      </c>
      <c r="H786" s="85">
        <v>43585</v>
      </c>
      <c r="I786" s="84" t="s">
        <v>1191</v>
      </c>
      <c r="J786" s="84">
        <v>1</v>
      </c>
      <c r="L786" s="84">
        <v>0</v>
      </c>
      <c r="M786" s="85">
        <v>43544</v>
      </c>
      <c r="N786" s="85" t="s">
        <v>265</v>
      </c>
      <c r="O786" s="86" t="s">
        <v>340</v>
      </c>
      <c r="P786" s="84" t="s">
        <v>26</v>
      </c>
      <c r="Q786" s="86" t="s">
        <v>137</v>
      </c>
      <c r="R786" s="86" t="s">
        <v>2439</v>
      </c>
      <c r="S786" s="87" t="s">
        <v>1278</v>
      </c>
      <c r="T786" s="87" t="s">
        <v>2440</v>
      </c>
      <c r="U786" s="88">
        <v>23900</v>
      </c>
      <c r="V786" s="88">
        <v>25812</v>
      </c>
      <c r="W786" s="88">
        <v>14700</v>
      </c>
      <c r="X786" s="88">
        <v>15876</v>
      </c>
      <c r="Y786" s="88">
        <v>9200</v>
      </c>
      <c r="Z786" s="88">
        <v>9936</v>
      </c>
      <c r="AA786" s="85">
        <v>43581</v>
      </c>
      <c r="AB786" s="85">
        <v>43582</v>
      </c>
      <c r="AC786" s="85">
        <v>43582</v>
      </c>
      <c r="AD786" s="84">
        <v>0</v>
      </c>
      <c r="AG786" s="84">
        <v>0</v>
      </c>
      <c r="AJ786" s="84">
        <v>0</v>
      </c>
      <c r="AM786" s="84" t="s">
        <v>290</v>
      </c>
      <c r="AN786" s="84" t="s">
        <v>2441</v>
      </c>
      <c r="AR786" s="85">
        <v>43563</v>
      </c>
      <c r="AS786" s="84">
        <v>6001664890</v>
      </c>
      <c r="AT786" s="85">
        <v>43563</v>
      </c>
      <c r="AU786" s="84" t="s">
        <v>1692</v>
      </c>
      <c r="AV786" s="85">
        <v>43582</v>
      </c>
      <c r="AW786" s="123">
        <v>43585</v>
      </c>
      <c r="AX786" s="123">
        <v>43605</v>
      </c>
      <c r="AY786" s="132">
        <v>22944</v>
      </c>
      <c r="AZ786" s="132">
        <f>ROUNDDOWN(AY786+(AY786*MASTER!$A$2/100),0)</f>
        <v>24779</v>
      </c>
      <c r="BA786" s="84" t="s">
        <v>778</v>
      </c>
      <c r="BC786" s="88">
        <v>0</v>
      </c>
      <c r="BG786" s="88">
        <v>0</v>
      </c>
      <c r="BI786" s="84" t="s">
        <v>276</v>
      </c>
      <c r="BJ786" s="88">
        <v>5980</v>
      </c>
      <c r="BK786" s="88">
        <v>6458.4</v>
      </c>
      <c r="BL786" s="84" t="s">
        <v>1645</v>
      </c>
      <c r="BS786" s="88">
        <v>0</v>
      </c>
      <c r="BV786" s="89">
        <v>15876</v>
      </c>
      <c r="BW786" s="89">
        <v>6458.4</v>
      </c>
      <c r="BX786" s="89">
        <v>43544</v>
      </c>
      <c r="BY786" s="89">
        <v>9417.6</v>
      </c>
      <c r="BZ786" s="112">
        <v>59.319727891156461</v>
      </c>
      <c r="CK786" s="88">
        <v>0</v>
      </c>
    </row>
    <row r="787" spans="1:89" x14ac:dyDescent="0.15">
      <c r="A787" s="84">
        <v>1</v>
      </c>
      <c r="B787" s="85">
        <v>43570</v>
      </c>
      <c r="C787" s="85">
        <v>43580</v>
      </c>
      <c r="D787" s="85" t="s">
        <v>374</v>
      </c>
      <c r="E787" s="85">
        <v>43622</v>
      </c>
      <c r="F787" s="85">
        <v>43587</v>
      </c>
      <c r="G787" s="85">
        <v>43581</v>
      </c>
      <c r="H787" s="85">
        <v>43583</v>
      </c>
      <c r="I787" s="84" t="s">
        <v>1191</v>
      </c>
      <c r="J787" s="84">
        <v>1</v>
      </c>
      <c r="L787" s="84">
        <v>0</v>
      </c>
      <c r="M787" s="85">
        <v>43544</v>
      </c>
      <c r="N787" s="85" t="s">
        <v>265</v>
      </c>
      <c r="O787" s="86" t="s">
        <v>340</v>
      </c>
      <c r="P787" s="84" t="s">
        <v>26</v>
      </c>
      <c r="Q787" s="86" t="s">
        <v>137</v>
      </c>
      <c r="R787" s="86" t="s">
        <v>2442</v>
      </c>
      <c r="S787" s="87" t="s">
        <v>1069</v>
      </c>
      <c r="T787" s="87" t="s">
        <v>2443</v>
      </c>
      <c r="U787" s="88">
        <v>23900</v>
      </c>
      <c r="V787" s="88">
        <v>25812</v>
      </c>
      <c r="W787" s="88">
        <v>14700</v>
      </c>
      <c r="X787" s="88">
        <v>15876</v>
      </c>
      <c r="Y787" s="88">
        <v>9200</v>
      </c>
      <c r="Z787" s="88">
        <v>9936</v>
      </c>
      <c r="AA787" s="85">
        <v>43579</v>
      </c>
      <c r="AB787" s="85">
        <v>43580</v>
      </c>
      <c r="AC787" s="85">
        <v>43580</v>
      </c>
      <c r="AD787" s="84">
        <v>0</v>
      </c>
      <c r="AG787" s="84">
        <v>0</v>
      </c>
      <c r="AJ787" s="84">
        <v>0</v>
      </c>
      <c r="AM787" s="84" t="s">
        <v>290</v>
      </c>
      <c r="AN787" s="84" t="s">
        <v>2444</v>
      </c>
      <c r="AR787" s="85">
        <v>43556</v>
      </c>
      <c r="AS787" s="84">
        <v>6001662513</v>
      </c>
      <c r="AT787" s="85">
        <v>43556</v>
      </c>
      <c r="AU787" s="84" t="s">
        <v>2213</v>
      </c>
      <c r="AV787" s="85">
        <v>43580</v>
      </c>
      <c r="AW787" s="123">
        <v>43585</v>
      </c>
      <c r="AX787" s="123">
        <v>43605</v>
      </c>
      <c r="AY787" s="132">
        <v>22944</v>
      </c>
      <c r="AZ787" s="132">
        <f>ROUNDDOWN(AY787+(AY787*MASTER!$A$2/100),0)</f>
        <v>24779</v>
      </c>
      <c r="BA787" s="84" t="s">
        <v>778</v>
      </c>
      <c r="BC787" s="88">
        <v>0</v>
      </c>
      <c r="BG787" s="88">
        <v>0</v>
      </c>
      <c r="BI787" s="84" t="s">
        <v>434</v>
      </c>
      <c r="BJ787" s="88">
        <v>5980</v>
      </c>
      <c r="BK787" s="88">
        <v>6458.4</v>
      </c>
      <c r="BL787" s="84" t="s">
        <v>2197</v>
      </c>
      <c r="BS787" s="88">
        <v>0</v>
      </c>
      <c r="BV787" s="89">
        <v>15876</v>
      </c>
      <c r="BW787" s="89">
        <v>6458.4</v>
      </c>
      <c r="BX787" s="89">
        <v>43544</v>
      </c>
      <c r="BY787" s="89">
        <v>9417.6</v>
      </c>
      <c r="BZ787" s="112">
        <v>59.319727891156461</v>
      </c>
      <c r="CK787" s="88">
        <v>0</v>
      </c>
    </row>
    <row r="788" spans="1:89" x14ac:dyDescent="0.15">
      <c r="A788" s="84">
        <v>2</v>
      </c>
      <c r="B788" s="85">
        <v>43570</v>
      </c>
      <c r="C788" s="85">
        <v>43580</v>
      </c>
      <c r="D788" s="85">
        <v>43581</v>
      </c>
      <c r="E788" s="85">
        <v>43596</v>
      </c>
      <c r="F788" s="85">
        <v>43587</v>
      </c>
      <c r="G788" s="85">
        <v>43581</v>
      </c>
      <c r="H788" s="85">
        <v>43583</v>
      </c>
      <c r="I788" s="84" t="s">
        <v>1191</v>
      </c>
      <c r="J788" s="84">
        <v>1</v>
      </c>
      <c r="L788" s="84">
        <v>0</v>
      </c>
      <c r="M788" s="85">
        <v>43544</v>
      </c>
      <c r="N788" s="85" t="s">
        <v>265</v>
      </c>
      <c r="O788" s="86" t="s">
        <v>340</v>
      </c>
      <c r="P788" s="84" t="s">
        <v>26</v>
      </c>
      <c r="Q788" s="86" t="s">
        <v>137</v>
      </c>
      <c r="R788" s="86" t="s">
        <v>2445</v>
      </c>
      <c r="S788" s="87" t="s">
        <v>740</v>
      </c>
      <c r="T788" s="87" t="s">
        <v>2446</v>
      </c>
      <c r="U788" s="88">
        <v>2126100</v>
      </c>
      <c r="V788" s="88">
        <v>2296188</v>
      </c>
      <c r="W788" s="88">
        <v>2027400</v>
      </c>
      <c r="X788" s="88">
        <v>2189592</v>
      </c>
      <c r="Y788" s="88">
        <v>98700</v>
      </c>
      <c r="Z788" s="88">
        <v>106596</v>
      </c>
      <c r="AA788" s="85">
        <v>43576</v>
      </c>
      <c r="AB788" s="85">
        <v>43580</v>
      </c>
      <c r="AC788" s="85">
        <v>43580</v>
      </c>
      <c r="AD788" s="84">
        <v>0</v>
      </c>
      <c r="AG788" s="84">
        <v>0</v>
      </c>
      <c r="AJ788" s="84">
        <v>0</v>
      </c>
      <c r="AM788" s="84" t="s">
        <v>290</v>
      </c>
      <c r="AN788" s="84" t="s">
        <v>2447</v>
      </c>
      <c r="AR788" s="85">
        <v>43563</v>
      </c>
      <c r="AS788" s="84">
        <v>6001664892</v>
      </c>
      <c r="AT788" s="85">
        <v>43563</v>
      </c>
      <c r="AU788" s="84" t="s">
        <v>2448</v>
      </c>
      <c r="AV788" s="85">
        <v>43580</v>
      </c>
      <c r="AW788" s="123">
        <v>43585</v>
      </c>
      <c r="AX788" s="123">
        <v>43605</v>
      </c>
      <c r="AY788" s="132">
        <v>2041056</v>
      </c>
      <c r="AZ788" s="132">
        <f>ROUNDDOWN(AY788+(AY788*MASTER!$A$2/100),0)</f>
        <v>2204340</v>
      </c>
      <c r="BA788" s="84" t="s">
        <v>287</v>
      </c>
      <c r="BB788" s="88">
        <v>583750</v>
      </c>
      <c r="BC788" s="88">
        <v>630450</v>
      </c>
      <c r="BD788" s="84" t="s">
        <v>2197</v>
      </c>
      <c r="BG788" s="88">
        <v>0</v>
      </c>
      <c r="BI788" s="84" t="s">
        <v>434</v>
      </c>
      <c r="BJ788" s="88">
        <v>64155</v>
      </c>
      <c r="BK788" s="88">
        <v>69287.399999999994</v>
      </c>
      <c r="BL788" s="84" t="s">
        <v>2197</v>
      </c>
      <c r="BS788" s="88">
        <v>0</v>
      </c>
      <c r="BV788" s="89">
        <v>2189592</v>
      </c>
      <c r="BW788" s="89">
        <v>699737.4</v>
      </c>
      <c r="BX788" s="89">
        <v>43544</v>
      </c>
      <c r="BY788" s="89">
        <v>1489854.6</v>
      </c>
      <c r="BZ788" s="112">
        <v>68.04256683436914</v>
      </c>
      <c r="CK788" s="88">
        <v>105000</v>
      </c>
    </row>
    <row r="789" spans="1:89" x14ac:dyDescent="0.15">
      <c r="A789" s="84">
        <v>2</v>
      </c>
      <c r="B789" s="85">
        <v>43570</v>
      </c>
      <c r="C789" s="85">
        <v>43581</v>
      </c>
      <c r="D789" s="85">
        <v>43594</v>
      </c>
      <c r="E789" s="85">
        <v>43596</v>
      </c>
      <c r="F789" s="85">
        <v>43588</v>
      </c>
      <c r="G789" s="85">
        <v>43594</v>
      </c>
      <c r="H789" s="85">
        <v>43584</v>
      </c>
      <c r="I789" s="84" t="s">
        <v>1191</v>
      </c>
      <c r="J789" s="84">
        <v>1</v>
      </c>
      <c r="L789" s="84">
        <v>0</v>
      </c>
      <c r="M789" s="85">
        <v>43544</v>
      </c>
      <c r="N789" s="85" t="s">
        <v>265</v>
      </c>
      <c r="O789" s="86" t="s">
        <v>340</v>
      </c>
      <c r="P789" s="84" t="s">
        <v>26</v>
      </c>
      <c r="Q789" s="86" t="s">
        <v>137</v>
      </c>
      <c r="R789" s="86" t="s">
        <v>2449</v>
      </c>
      <c r="S789" s="87" t="s">
        <v>1648</v>
      </c>
      <c r="T789" s="87" t="s">
        <v>2450</v>
      </c>
      <c r="U789" s="88">
        <v>1689700</v>
      </c>
      <c r="V789" s="88">
        <v>1824876</v>
      </c>
      <c r="W789" s="88">
        <v>1570000</v>
      </c>
      <c r="X789" s="88">
        <v>1695600</v>
      </c>
      <c r="Y789" s="88">
        <v>119700</v>
      </c>
      <c r="Z789" s="88">
        <v>129276</v>
      </c>
      <c r="AA789" s="85">
        <v>43576</v>
      </c>
      <c r="AB789" s="85">
        <v>43581</v>
      </c>
      <c r="AC789" s="85">
        <v>43581</v>
      </c>
      <c r="AD789" s="84">
        <v>0</v>
      </c>
      <c r="AG789" s="84">
        <v>0</v>
      </c>
      <c r="AJ789" s="84">
        <v>0</v>
      </c>
      <c r="AM789" s="84" t="s">
        <v>290</v>
      </c>
      <c r="AN789" s="84" t="s">
        <v>2451</v>
      </c>
      <c r="AR789" s="85">
        <v>43563</v>
      </c>
      <c r="AS789" s="84">
        <v>6001664891</v>
      </c>
      <c r="AT789" s="85">
        <v>43563</v>
      </c>
      <c r="AU789" s="84" t="s">
        <v>2271</v>
      </c>
      <c r="AV789" s="85">
        <v>43581</v>
      </c>
      <c r="AW789" s="123">
        <v>43585</v>
      </c>
      <c r="AX789" s="123">
        <v>43605</v>
      </c>
      <c r="AY789" s="132">
        <v>1622112</v>
      </c>
      <c r="AZ789" s="132">
        <f>ROUNDDOWN(AY789+(AY789*MASTER!$A$2/100),0)</f>
        <v>1751880</v>
      </c>
      <c r="BA789" s="84" t="s">
        <v>14</v>
      </c>
      <c r="BB789" s="88">
        <v>872640</v>
      </c>
      <c r="BC789" s="88">
        <v>942451.19999999995</v>
      </c>
      <c r="BD789" s="84" t="s">
        <v>2197</v>
      </c>
      <c r="BG789" s="88">
        <v>0</v>
      </c>
      <c r="BI789" s="84" t="s">
        <v>276</v>
      </c>
      <c r="BJ789" s="88">
        <v>77805</v>
      </c>
      <c r="BK789" s="88">
        <v>84029.4</v>
      </c>
      <c r="BL789" s="84" t="s">
        <v>1645</v>
      </c>
      <c r="BS789" s="88">
        <v>0</v>
      </c>
      <c r="BV789" s="89">
        <v>1695600</v>
      </c>
      <c r="BW789" s="89">
        <v>1026480.6</v>
      </c>
      <c r="BX789" s="89">
        <v>43544</v>
      </c>
      <c r="BY789" s="89">
        <v>669119.4</v>
      </c>
      <c r="BZ789" s="112">
        <v>39.462101910828032</v>
      </c>
      <c r="CK789" s="88">
        <v>105000</v>
      </c>
    </row>
    <row r="790" spans="1:89" x14ac:dyDescent="0.15">
      <c r="A790" s="84">
        <v>2</v>
      </c>
      <c r="B790" s="85">
        <v>43570</v>
      </c>
      <c r="C790" s="85">
        <v>43581</v>
      </c>
      <c r="D790" s="85" t="s">
        <v>374</v>
      </c>
      <c r="E790" s="85">
        <v>43596</v>
      </c>
      <c r="F790" s="85">
        <v>43588</v>
      </c>
      <c r="G790" s="85">
        <v>43593</v>
      </c>
      <c r="H790" s="85">
        <v>43584</v>
      </c>
      <c r="I790" s="84" t="s">
        <v>1191</v>
      </c>
      <c r="J790" s="84">
        <v>1</v>
      </c>
      <c r="L790" s="84">
        <v>0</v>
      </c>
      <c r="M790" s="85">
        <v>43544</v>
      </c>
      <c r="N790" s="85" t="s">
        <v>265</v>
      </c>
      <c r="O790" s="86" t="s">
        <v>340</v>
      </c>
      <c r="P790" s="84" t="s">
        <v>26</v>
      </c>
      <c r="Q790" s="86" t="s">
        <v>137</v>
      </c>
      <c r="R790" s="86" t="s">
        <v>2452</v>
      </c>
      <c r="S790" s="87" t="s">
        <v>2453</v>
      </c>
      <c r="T790" s="87" t="s">
        <v>763</v>
      </c>
      <c r="U790" s="88">
        <v>23900</v>
      </c>
      <c r="V790" s="88">
        <v>25812</v>
      </c>
      <c r="W790" s="88">
        <v>14700</v>
      </c>
      <c r="X790" s="88">
        <v>15876</v>
      </c>
      <c r="Y790" s="88">
        <v>9200</v>
      </c>
      <c r="Z790" s="88">
        <v>9936</v>
      </c>
      <c r="AA790" s="85">
        <v>43580</v>
      </c>
      <c r="AB790" s="85">
        <v>43581</v>
      </c>
      <c r="AC790" s="85">
        <v>43581</v>
      </c>
      <c r="AD790" s="84">
        <v>0</v>
      </c>
      <c r="AG790" s="84">
        <v>0</v>
      </c>
      <c r="AJ790" s="84">
        <v>0</v>
      </c>
      <c r="AM790" s="84" t="s">
        <v>290</v>
      </c>
      <c r="AN790" s="84" t="s">
        <v>2454</v>
      </c>
      <c r="AR790" s="85">
        <v>43563</v>
      </c>
      <c r="AS790" s="84">
        <v>6001664890</v>
      </c>
      <c r="AT790" s="85">
        <v>43563</v>
      </c>
      <c r="AU790" s="84" t="s">
        <v>1692</v>
      </c>
      <c r="AV790" s="85">
        <v>43581</v>
      </c>
      <c r="AW790" s="123">
        <v>43585</v>
      </c>
      <c r="AX790" s="123">
        <v>43605</v>
      </c>
      <c r="AY790" s="132">
        <v>22944</v>
      </c>
      <c r="AZ790" s="132">
        <f>ROUNDDOWN(AY790+(AY790*MASTER!$A$2/100),0)</f>
        <v>24779</v>
      </c>
      <c r="BA790" s="84" t="s">
        <v>778</v>
      </c>
      <c r="BC790" s="88">
        <v>0</v>
      </c>
      <c r="BG790" s="88">
        <v>0</v>
      </c>
      <c r="BI790" s="84" t="s">
        <v>276</v>
      </c>
      <c r="BJ790" s="88">
        <v>5980</v>
      </c>
      <c r="BK790" s="88">
        <v>6458.4</v>
      </c>
      <c r="BL790" s="84" t="s">
        <v>1645</v>
      </c>
      <c r="BS790" s="88">
        <v>0</v>
      </c>
      <c r="BV790" s="89">
        <v>15876</v>
      </c>
      <c r="BW790" s="89">
        <v>6458.4</v>
      </c>
      <c r="BX790" s="89">
        <v>43544</v>
      </c>
      <c r="BY790" s="89">
        <v>9417.6</v>
      </c>
      <c r="BZ790" s="112">
        <v>59.319727891156461</v>
      </c>
      <c r="CK790" s="88">
        <v>0</v>
      </c>
    </row>
    <row r="791" spans="1:89" x14ac:dyDescent="0.15">
      <c r="A791" s="84">
        <v>2</v>
      </c>
      <c r="B791" s="85">
        <v>43570</v>
      </c>
      <c r="C791" s="85">
        <v>43579</v>
      </c>
      <c r="D791" s="85" t="s">
        <v>374</v>
      </c>
      <c r="E791" s="85">
        <v>43580</v>
      </c>
      <c r="F791" s="85">
        <v>43586</v>
      </c>
      <c r="G791" s="85">
        <v>43581</v>
      </c>
      <c r="H791" s="85">
        <v>43582</v>
      </c>
      <c r="I791" s="84" t="s">
        <v>401</v>
      </c>
      <c r="J791" s="84">
        <v>1</v>
      </c>
      <c r="K791" s="85">
        <v>43553</v>
      </c>
      <c r="L791" s="84" t="s">
        <v>818</v>
      </c>
      <c r="M791" s="85">
        <v>43546</v>
      </c>
      <c r="N791" s="85" t="s">
        <v>265</v>
      </c>
      <c r="O791" s="86" t="s">
        <v>340</v>
      </c>
      <c r="P791" s="84" t="s">
        <v>26</v>
      </c>
      <c r="Q791" s="86" t="s">
        <v>137</v>
      </c>
      <c r="R791" s="86" t="s">
        <v>2455</v>
      </c>
      <c r="S791" s="87" t="s">
        <v>1467</v>
      </c>
      <c r="T791" s="87" t="s">
        <v>2456</v>
      </c>
      <c r="U791" s="88">
        <v>23900</v>
      </c>
      <c r="V791" s="88">
        <v>25812</v>
      </c>
      <c r="W791" s="88">
        <v>14700</v>
      </c>
      <c r="X791" s="88">
        <v>15876</v>
      </c>
      <c r="Y791" s="88">
        <v>9200</v>
      </c>
      <c r="Z791" s="88">
        <v>9936</v>
      </c>
      <c r="AA791" s="85">
        <v>43577</v>
      </c>
      <c r="AB791" s="85">
        <v>43579</v>
      </c>
      <c r="AC791" s="85">
        <v>43579</v>
      </c>
      <c r="AD791" s="84">
        <v>0</v>
      </c>
      <c r="AG791" s="84">
        <v>0</v>
      </c>
      <c r="AJ791" s="84">
        <v>0</v>
      </c>
      <c r="AM791" s="84" t="s">
        <v>290</v>
      </c>
      <c r="AN791" s="84" t="s">
        <v>2457</v>
      </c>
      <c r="AR791" s="85">
        <v>43563</v>
      </c>
      <c r="AS791" s="84">
        <v>6001664890</v>
      </c>
      <c r="AT791" s="85">
        <v>43563</v>
      </c>
      <c r="AU791" s="84" t="s">
        <v>1692</v>
      </c>
      <c r="AV791" s="85">
        <v>43579</v>
      </c>
      <c r="AW791" s="123">
        <v>43585</v>
      </c>
      <c r="AX791" s="123">
        <v>43605</v>
      </c>
      <c r="AY791" s="132">
        <v>22944</v>
      </c>
      <c r="AZ791" s="132">
        <f>ROUNDDOWN(AY791+(AY791*MASTER!$A$2/100),0)</f>
        <v>24779</v>
      </c>
      <c r="BA791" s="84" t="s">
        <v>778</v>
      </c>
      <c r="BC791" s="88">
        <v>0</v>
      </c>
      <c r="BG791" s="88">
        <v>0</v>
      </c>
      <c r="BI791" s="84" t="s">
        <v>276</v>
      </c>
      <c r="BJ791" s="88">
        <v>5980</v>
      </c>
      <c r="BK791" s="88">
        <v>6458.4</v>
      </c>
      <c r="BL791" s="84" t="s">
        <v>1645</v>
      </c>
      <c r="BS791" s="88">
        <v>0</v>
      </c>
      <c r="BV791" s="89">
        <v>15876</v>
      </c>
      <c r="BW791" s="89">
        <v>6458.4</v>
      </c>
      <c r="BX791" s="89">
        <v>0</v>
      </c>
      <c r="BY791" s="89">
        <v>43553</v>
      </c>
      <c r="BZ791" s="112">
        <v>59.319727891156461</v>
      </c>
      <c r="CK791" s="88">
        <v>0</v>
      </c>
    </row>
    <row r="792" spans="1:89" x14ac:dyDescent="0.15">
      <c r="A792" s="84">
        <v>2</v>
      </c>
      <c r="B792" s="85">
        <v>43570</v>
      </c>
      <c r="C792" s="85">
        <v>43581</v>
      </c>
      <c r="D792" s="85">
        <v>43684</v>
      </c>
      <c r="E792" s="85">
        <v>43596</v>
      </c>
      <c r="F792" s="85">
        <v>43588</v>
      </c>
      <c r="G792" s="85">
        <v>43580</v>
      </c>
      <c r="H792" s="85">
        <v>43584</v>
      </c>
      <c r="I792" s="84" t="s">
        <v>1191</v>
      </c>
      <c r="J792" s="84">
        <v>1</v>
      </c>
      <c r="L792" s="84">
        <v>0</v>
      </c>
      <c r="M792" s="85">
        <v>43546</v>
      </c>
      <c r="N792" s="85" t="s">
        <v>265</v>
      </c>
      <c r="O792" s="86" t="s">
        <v>340</v>
      </c>
      <c r="P792" s="84" t="s">
        <v>26</v>
      </c>
      <c r="Q792" s="86" t="s">
        <v>137</v>
      </c>
      <c r="R792" s="86" t="s">
        <v>2458</v>
      </c>
      <c r="S792" s="87" t="s">
        <v>1464</v>
      </c>
      <c r="T792" s="87" t="s">
        <v>1367</v>
      </c>
      <c r="U792" s="88">
        <v>224500</v>
      </c>
      <c r="V792" s="88">
        <v>242460</v>
      </c>
      <c r="W792" s="88">
        <v>129800</v>
      </c>
      <c r="X792" s="88">
        <v>140184</v>
      </c>
      <c r="Y792" s="88">
        <v>94700</v>
      </c>
      <c r="Z792" s="88">
        <v>102276</v>
      </c>
      <c r="AA792" s="85">
        <v>43579</v>
      </c>
      <c r="AB792" s="85">
        <v>43581</v>
      </c>
      <c r="AC792" s="85">
        <v>43581</v>
      </c>
      <c r="AD792" s="84">
        <v>0</v>
      </c>
      <c r="AG792" s="84">
        <v>0</v>
      </c>
      <c r="AJ792" s="84">
        <v>0</v>
      </c>
      <c r="AM792" s="84" t="s">
        <v>290</v>
      </c>
      <c r="AN792" s="84" t="s">
        <v>2459</v>
      </c>
      <c r="AR792" s="85">
        <v>43557</v>
      </c>
      <c r="AS792" s="84">
        <v>6001662910</v>
      </c>
      <c r="AT792" s="85">
        <v>43557</v>
      </c>
      <c r="AU792" s="84" t="s">
        <v>2244</v>
      </c>
      <c r="AV792" s="85">
        <v>43581</v>
      </c>
      <c r="AW792" s="123">
        <v>43585</v>
      </c>
      <c r="AX792" s="123">
        <v>43605</v>
      </c>
      <c r="AY792" s="132">
        <v>215520</v>
      </c>
      <c r="AZ792" s="132">
        <f>ROUNDDOWN(AY792+(AY792*MASTER!$A$2/100),0)</f>
        <v>232761</v>
      </c>
      <c r="BA792" s="84" t="s">
        <v>287</v>
      </c>
      <c r="BB792" s="88">
        <v>36000</v>
      </c>
      <c r="BC792" s="88">
        <v>38880</v>
      </c>
      <c r="BD792" s="84" t="s">
        <v>2197</v>
      </c>
      <c r="BG792" s="88">
        <v>0</v>
      </c>
      <c r="BI792" s="84" t="s">
        <v>434</v>
      </c>
      <c r="BJ792" s="88">
        <v>61555</v>
      </c>
      <c r="BK792" s="88">
        <v>66479.399999999994</v>
      </c>
      <c r="BL792" s="84" t="s">
        <v>2197</v>
      </c>
      <c r="BS792" s="88">
        <v>0</v>
      </c>
      <c r="BV792" s="89">
        <v>140184</v>
      </c>
      <c r="BW792" s="89">
        <v>105359.4</v>
      </c>
      <c r="BX792" s="89">
        <v>43546</v>
      </c>
      <c r="BY792" s="89">
        <v>34824.6</v>
      </c>
      <c r="BZ792" s="112">
        <v>24.842064714946073</v>
      </c>
      <c r="CK792" s="88">
        <v>6300</v>
      </c>
    </row>
    <row r="793" spans="1:89" s="151" customFormat="1" x14ac:dyDescent="0.15">
      <c r="A793" s="141">
        <v>2</v>
      </c>
      <c r="B793" s="142"/>
      <c r="C793" s="142" t="s">
        <v>338</v>
      </c>
      <c r="D793" s="142">
        <v>43581</v>
      </c>
      <c r="E793" s="142"/>
      <c r="F793" s="142">
        <v>43572</v>
      </c>
      <c r="G793" s="142">
        <v>43567</v>
      </c>
      <c r="H793" s="142">
        <v>43568</v>
      </c>
      <c r="I793" s="141" t="s">
        <v>569</v>
      </c>
      <c r="J793" s="141">
        <v>1</v>
      </c>
      <c r="K793" s="142"/>
      <c r="L793" s="141">
        <v>0</v>
      </c>
      <c r="M793" s="142">
        <v>43546</v>
      </c>
      <c r="N793" s="142" t="s">
        <v>265</v>
      </c>
      <c r="O793" s="143" t="s">
        <v>340</v>
      </c>
      <c r="P793" s="141" t="s">
        <v>26</v>
      </c>
      <c r="Q793" s="143" t="s">
        <v>137</v>
      </c>
      <c r="R793" s="143" t="s">
        <v>2460</v>
      </c>
      <c r="S793" s="144" t="s">
        <v>550</v>
      </c>
      <c r="T793" s="144" t="s">
        <v>2461</v>
      </c>
      <c r="U793" s="145">
        <v>50000</v>
      </c>
      <c r="V793" s="145">
        <v>54000</v>
      </c>
      <c r="W793" s="145">
        <v>47000</v>
      </c>
      <c r="X793" s="145">
        <v>50760</v>
      </c>
      <c r="Y793" s="145">
        <v>3000</v>
      </c>
      <c r="Z793" s="145">
        <v>3240</v>
      </c>
      <c r="AA793" s="142">
        <v>43564</v>
      </c>
      <c r="AB793" s="142">
        <v>43565</v>
      </c>
      <c r="AC793" s="142">
        <v>43565</v>
      </c>
      <c r="AD793" s="141">
        <v>0</v>
      </c>
      <c r="AE793" s="141"/>
      <c r="AF793" s="141"/>
      <c r="AG793" s="141">
        <v>0</v>
      </c>
      <c r="AH793" s="141"/>
      <c r="AI793" s="141"/>
      <c r="AJ793" s="141">
        <v>0</v>
      </c>
      <c r="AK793" s="141"/>
      <c r="AL793" s="141"/>
      <c r="AM793" s="141" t="s">
        <v>290</v>
      </c>
      <c r="AN793" s="141" t="s">
        <v>2462</v>
      </c>
      <c r="AO793" s="142"/>
      <c r="AP793" s="141"/>
      <c r="AQ793" s="141"/>
      <c r="AR793" s="142"/>
      <c r="AS793" s="141"/>
      <c r="AT793" s="142"/>
      <c r="AU793" s="141"/>
      <c r="AV793" s="142"/>
      <c r="AW793" s="146"/>
      <c r="AX793" s="146"/>
      <c r="AY793" s="147">
        <v>48000</v>
      </c>
      <c r="AZ793" s="132">
        <f>ROUNDDOWN(AY793+(AY793*MASTER!$A$2/100),0)</f>
        <v>51840</v>
      </c>
      <c r="BA793" s="141" t="s">
        <v>286</v>
      </c>
      <c r="BB793" s="145">
        <v>26000</v>
      </c>
      <c r="BC793" s="145">
        <v>28080</v>
      </c>
      <c r="BD793" s="141" t="s">
        <v>1579</v>
      </c>
      <c r="BE793" s="141"/>
      <c r="BF793" s="145"/>
      <c r="BG793" s="145">
        <v>0</v>
      </c>
      <c r="BH793" s="141"/>
      <c r="BI793" s="141" t="s">
        <v>434</v>
      </c>
      <c r="BJ793" s="145">
        <v>1950</v>
      </c>
      <c r="BK793" s="145">
        <v>2106</v>
      </c>
      <c r="BL793" s="141" t="s">
        <v>1579</v>
      </c>
      <c r="BM793" s="145"/>
      <c r="BN793" s="145"/>
      <c r="BO793" s="145"/>
      <c r="BP793" s="145"/>
      <c r="BQ793" s="145"/>
      <c r="BR793" s="145"/>
      <c r="BS793" s="145">
        <v>0</v>
      </c>
      <c r="BT793" s="148"/>
      <c r="BU793" s="148"/>
      <c r="BV793" s="149">
        <v>50760</v>
      </c>
      <c r="BW793" s="149">
        <v>30186</v>
      </c>
      <c r="BX793" s="149">
        <v>43546</v>
      </c>
      <c r="BY793" s="149">
        <v>20574</v>
      </c>
      <c r="BZ793" s="150">
        <v>40.531914893617021</v>
      </c>
      <c r="CA793" s="141"/>
      <c r="CB793" s="141"/>
      <c r="CC793" s="141"/>
      <c r="CD793" s="144" t="s">
        <v>2463</v>
      </c>
      <c r="CE793" s="142"/>
      <c r="CF793" s="142"/>
      <c r="CG793" s="142"/>
      <c r="CH793" s="142"/>
      <c r="CI793" s="142"/>
      <c r="CJ793" s="142"/>
      <c r="CK793" s="145">
        <v>0</v>
      </c>
    </row>
    <row r="794" spans="1:89" x14ac:dyDescent="0.15">
      <c r="A794" s="84">
        <v>2</v>
      </c>
      <c r="B794" s="85">
        <v>43564</v>
      </c>
      <c r="C794" s="85">
        <v>43614</v>
      </c>
      <c r="D794" s="85">
        <v>43644</v>
      </c>
      <c r="E794" s="85">
        <v>43613</v>
      </c>
      <c r="F794" s="85">
        <v>43617</v>
      </c>
      <c r="G794" s="85">
        <v>43613</v>
      </c>
      <c r="H794" s="85">
        <v>43613</v>
      </c>
      <c r="I794" s="84" t="s">
        <v>401</v>
      </c>
      <c r="J794" s="84">
        <v>1</v>
      </c>
      <c r="L794" s="84">
        <v>0</v>
      </c>
      <c r="M794" s="85">
        <v>43546</v>
      </c>
      <c r="N794" s="85" t="s">
        <v>265</v>
      </c>
      <c r="O794" s="86" t="s">
        <v>340</v>
      </c>
      <c r="P794" s="84" t="s">
        <v>26</v>
      </c>
      <c r="Q794" s="86" t="s">
        <v>137</v>
      </c>
      <c r="R794" s="86" t="s">
        <v>2464</v>
      </c>
      <c r="S794" s="87" t="s">
        <v>1891</v>
      </c>
      <c r="T794" s="87" t="s">
        <v>2465</v>
      </c>
      <c r="U794" s="88">
        <v>222800</v>
      </c>
      <c r="V794" s="88">
        <v>240624</v>
      </c>
      <c r="W794" s="88">
        <v>110800</v>
      </c>
      <c r="X794" s="88">
        <v>119664</v>
      </c>
      <c r="Y794" s="88">
        <v>112000</v>
      </c>
      <c r="Z794" s="88">
        <v>120960</v>
      </c>
      <c r="AA794" s="85">
        <v>43609</v>
      </c>
      <c r="AB794" s="85">
        <v>43610</v>
      </c>
      <c r="AC794" s="85">
        <v>43610</v>
      </c>
      <c r="AD794" s="84">
        <v>0</v>
      </c>
      <c r="AG794" s="84">
        <v>0</v>
      </c>
      <c r="AJ794" s="84">
        <v>0</v>
      </c>
      <c r="AN794" s="84" t="s">
        <v>338</v>
      </c>
      <c r="AR794" s="85">
        <v>43550</v>
      </c>
      <c r="AS794" s="84">
        <v>6001661201</v>
      </c>
      <c r="AT794" s="85">
        <v>43550</v>
      </c>
      <c r="AU794" s="84" t="s">
        <v>2274</v>
      </c>
      <c r="AV794" s="85">
        <v>43614</v>
      </c>
      <c r="AW794" s="123">
        <v>43616</v>
      </c>
      <c r="AX794" s="123">
        <v>43636</v>
      </c>
      <c r="AY794" s="132">
        <v>213888</v>
      </c>
      <c r="AZ794" s="132">
        <f>ROUNDDOWN(AY794+(AY794*MASTER!$A$2/100),0)</f>
        <v>230999</v>
      </c>
      <c r="BA794" s="84" t="s">
        <v>543</v>
      </c>
      <c r="BB794" s="88">
        <v>51000</v>
      </c>
      <c r="BC794" s="88">
        <v>55080</v>
      </c>
      <c r="BD794" s="84" t="s">
        <v>2466</v>
      </c>
      <c r="BG794" s="88">
        <v>0</v>
      </c>
      <c r="BI794" s="84" t="s">
        <v>434</v>
      </c>
      <c r="BJ794" s="88">
        <v>72800</v>
      </c>
      <c r="BK794" s="88">
        <v>78624</v>
      </c>
      <c r="BL794" s="84" t="s">
        <v>2466</v>
      </c>
      <c r="BS794" s="88">
        <v>0</v>
      </c>
      <c r="BV794" s="89">
        <v>119664</v>
      </c>
      <c r="BW794" s="89">
        <v>133704</v>
      </c>
      <c r="BX794" s="89">
        <v>43546</v>
      </c>
      <c r="BY794" s="89">
        <v>-14040</v>
      </c>
      <c r="BZ794" s="112">
        <v>-11.732851985559567</v>
      </c>
      <c r="CK794" s="88">
        <v>6300</v>
      </c>
    </row>
    <row r="795" spans="1:89" x14ac:dyDescent="0.15">
      <c r="A795" s="84">
        <v>2</v>
      </c>
      <c r="B795" s="85">
        <v>43570</v>
      </c>
      <c r="C795" s="85">
        <v>43581</v>
      </c>
      <c r="D795" s="85" t="s">
        <v>374</v>
      </c>
      <c r="E795" s="85">
        <v>43622</v>
      </c>
      <c r="F795" s="85">
        <v>43588</v>
      </c>
      <c r="G795" s="85">
        <v>43594</v>
      </c>
      <c r="H795" s="85">
        <v>43584</v>
      </c>
      <c r="I795" s="84" t="s">
        <v>1191</v>
      </c>
      <c r="J795" s="84">
        <v>1</v>
      </c>
      <c r="L795" s="84">
        <v>0</v>
      </c>
      <c r="M795" s="85">
        <v>43546</v>
      </c>
      <c r="N795" s="85" t="s">
        <v>265</v>
      </c>
      <c r="O795" s="86" t="s">
        <v>340</v>
      </c>
      <c r="P795" s="84" t="s">
        <v>26</v>
      </c>
      <c r="Q795" s="86" t="s">
        <v>137</v>
      </c>
      <c r="R795" s="86" t="s">
        <v>2467</v>
      </c>
      <c r="S795" s="87" t="s">
        <v>2468</v>
      </c>
      <c r="T795" s="87" t="s">
        <v>794</v>
      </c>
      <c r="U795" s="88">
        <v>23900</v>
      </c>
      <c r="V795" s="88">
        <v>25812</v>
      </c>
      <c r="W795" s="88">
        <v>14700</v>
      </c>
      <c r="X795" s="88">
        <v>15876</v>
      </c>
      <c r="Y795" s="88">
        <v>9200</v>
      </c>
      <c r="Z795" s="88">
        <v>9936</v>
      </c>
      <c r="AA795" s="85">
        <v>43579</v>
      </c>
      <c r="AB795" s="85">
        <v>43581</v>
      </c>
      <c r="AC795" s="85">
        <v>43581</v>
      </c>
      <c r="AD795" s="84">
        <v>0</v>
      </c>
      <c r="AG795" s="84">
        <v>0</v>
      </c>
      <c r="AJ795" s="84">
        <v>0</v>
      </c>
      <c r="AM795" s="84" t="s">
        <v>290</v>
      </c>
      <c r="AN795" s="84" t="s">
        <v>2469</v>
      </c>
      <c r="AR795" s="85">
        <v>43563</v>
      </c>
      <c r="AS795" s="84">
        <v>6001664890</v>
      </c>
      <c r="AT795" s="85">
        <v>43563</v>
      </c>
      <c r="AU795" s="84" t="s">
        <v>1692</v>
      </c>
      <c r="AV795" s="85">
        <v>43581</v>
      </c>
      <c r="AW795" s="123">
        <v>43585</v>
      </c>
      <c r="AX795" s="123">
        <v>43605</v>
      </c>
      <c r="AY795" s="132">
        <v>22944</v>
      </c>
      <c r="AZ795" s="132">
        <f>ROUNDDOWN(AY795+(AY795*MASTER!$A$2/100),0)</f>
        <v>24779</v>
      </c>
      <c r="BA795" s="84" t="s">
        <v>778</v>
      </c>
      <c r="BC795" s="88">
        <v>0</v>
      </c>
      <c r="BG795" s="88">
        <v>0</v>
      </c>
      <c r="BI795" s="84" t="s">
        <v>434</v>
      </c>
      <c r="BJ795" s="88">
        <v>5980</v>
      </c>
      <c r="BK795" s="88">
        <v>6458.4</v>
      </c>
      <c r="BL795" s="84" t="s">
        <v>2197</v>
      </c>
      <c r="BS795" s="88">
        <v>0</v>
      </c>
      <c r="BV795" s="89">
        <v>15876</v>
      </c>
      <c r="BW795" s="89">
        <v>6458.4</v>
      </c>
      <c r="BX795" s="89">
        <v>43546</v>
      </c>
      <c r="BY795" s="89">
        <v>9417.6</v>
      </c>
      <c r="BZ795" s="112">
        <v>59.319727891156461</v>
      </c>
      <c r="CK795" s="88">
        <v>0</v>
      </c>
    </row>
    <row r="796" spans="1:89" x14ac:dyDescent="0.15">
      <c r="A796" s="84">
        <v>2</v>
      </c>
      <c r="B796" s="85">
        <v>43570</v>
      </c>
      <c r="C796" s="85">
        <v>43582</v>
      </c>
      <c r="D796" s="85" t="s">
        <v>374</v>
      </c>
      <c r="E796" s="85">
        <v>43622</v>
      </c>
      <c r="F796" s="85">
        <v>43589</v>
      </c>
      <c r="G796" s="85">
        <v>43593</v>
      </c>
      <c r="H796" s="85">
        <v>43585</v>
      </c>
      <c r="I796" s="84" t="s">
        <v>1191</v>
      </c>
      <c r="J796" s="84">
        <v>1</v>
      </c>
      <c r="L796" s="84">
        <v>0</v>
      </c>
      <c r="M796" s="85">
        <v>43546</v>
      </c>
      <c r="N796" s="85" t="s">
        <v>265</v>
      </c>
      <c r="O796" s="86" t="s">
        <v>340</v>
      </c>
      <c r="P796" s="84" t="s">
        <v>26</v>
      </c>
      <c r="Q796" s="86" t="s">
        <v>137</v>
      </c>
      <c r="R796" s="86" t="s">
        <v>2470</v>
      </c>
      <c r="S796" s="87" t="s">
        <v>619</v>
      </c>
      <c r="T796" s="87" t="s">
        <v>1216</v>
      </c>
      <c r="U796" s="88">
        <v>23900</v>
      </c>
      <c r="V796" s="88">
        <v>25812</v>
      </c>
      <c r="W796" s="88">
        <v>14700</v>
      </c>
      <c r="X796" s="88">
        <v>15876</v>
      </c>
      <c r="Y796" s="88">
        <v>9200</v>
      </c>
      <c r="Z796" s="88">
        <v>9936</v>
      </c>
      <c r="AA796" s="85">
        <v>43581</v>
      </c>
      <c r="AB796" s="85">
        <v>43582</v>
      </c>
      <c r="AC796" s="85">
        <v>43582</v>
      </c>
      <c r="AD796" s="84">
        <v>0</v>
      </c>
      <c r="AG796" s="84">
        <v>0</v>
      </c>
      <c r="AJ796" s="84">
        <v>0</v>
      </c>
      <c r="AM796" s="84" t="s">
        <v>290</v>
      </c>
      <c r="AN796" s="84" t="s">
        <v>2471</v>
      </c>
      <c r="AR796" s="85">
        <v>43557</v>
      </c>
      <c r="AS796" s="84">
        <v>6001662910</v>
      </c>
      <c r="AT796" s="85">
        <v>43557</v>
      </c>
      <c r="AU796" s="84" t="s">
        <v>2244</v>
      </c>
      <c r="AV796" s="85">
        <v>43582</v>
      </c>
      <c r="AW796" s="123">
        <v>43585</v>
      </c>
      <c r="AX796" s="123">
        <v>43605</v>
      </c>
      <c r="AY796" s="132">
        <v>22944</v>
      </c>
      <c r="AZ796" s="132">
        <f>ROUNDDOWN(AY796+(AY796*MASTER!$A$2/100),0)</f>
        <v>24779</v>
      </c>
      <c r="BA796" s="84" t="s">
        <v>778</v>
      </c>
      <c r="BC796" s="88">
        <v>0</v>
      </c>
      <c r="BG796" s="88">
        <v>0</v>
      </c>
      <c r="BI796" s="84" t="s">
        <v>434</v>
      </c>
      <c r="BJ796" s="88">
        <v>5980</v>
      </c>
      <c r="BK796" s="88">
        <v>6458.4</v>
      </c>
      <c r="BL796" s="84" t="s">
        <v>2197</v>
      </c>
      <c r="BS796" s="88">
        <v>0</v>
      </c>
      <c r="BV796" s="89">
        <v>15876</v>
      </c>
      <c r="BW796" s="89">
        <v>6458.4</v>
      </c>
      <c r="BX796" s="89">
        <v>43546</v>
      </c>
      <c r="BY796" s="89">
        <v>9417.6</v>
      </c>
      <c r="BZ796" s="112">
        <v>59.319727891156461</v>
      </c>
      <c r="CK796" s="88">
        <v>0</v>
      </c>
    </row>
    <row r="797" spans="1:89" x14ac:dyDescent="0.15">
      <c r="A797" s="84">
        <v>2</v>
      </c>
      <c r="B797" s="85">
        <v>43571</v>
      </c>
      <c r="C797" s="85">
        <v>43581</v>
      </c>
      <c r="D797" s="85">
        <v>43684</v>
      </c>
      <c r="E797" s="85">
        <v>43596</v>
      </c>
      <c r="F797" s="85">
        <v>43588</v>
      </c>
      <c r="G797" s="85">
        <v>43581</v>
      </c>
      <c r="H797" s="85">
        <v>43584</v>
      </c>
      <c r="I797" s="84" t="s">
        <v>1191</v>
      </c>
      <c r="J797" s="84">
        <v>1</v>
      </c>
      <c r="L797" s="84">
        <v>0</v>
      </c>
      <c r="M797" s="85">
        <v>43546</v>
      </c>
      <c r="N797" s="85" t="s">
        <v>265</v>
      </c>
      <c r="O797" s="86" t="s">
        <v>340</v>
      </c>
      <c r="P797" s="84" t="s">
        <v>26</v>
      </c>
      <c r="Q797" s="86" t="s">
        <v>137</v>
      </c>
      <c r="R797" s="86" t="s">
        <v>2472</v>
      </c>
      <c r="S797" s="87" t="s">
        <v>883</v>
      </c>
      <c r="T797" s="87" t="s">
        <v>2473</v>
      </c>
      <c r="U797" s="88">
        <v>323700</v>
      </c>
      <c r="V797" s="88">
        <v>349596</v>
      </c>
      <c r="W797" s="88">
        <v>179000</v>
      </c>
      <c r="X797" s="88">
        <v>193320</v>
      </c>
      <c r="Y797" s="88">
        <v>144700</v>
      </c>
      <c r="Z797" s="88">
        <v>156276</v>
      </c>
      <c r="AA797" s="85">
        <v>43579</v>
      </c>
      <c r="AB797" s="85">
        <v>43581</v>
      </c>
      <c r="AC797" s="85">
        <v>43581</v>
      </c>
      <c r="AD797" s="84">
        <v>0</v>
      </c>
      <c r="AG797" s="84">
        <v>0</v>
      </c>
      <c r="AJ797" s="84">
        <v>0</v>
      </c>
      <c r="AM797" s="84" t="s">
        <v>290</v>
      </c>
      <c r="AN797" s="84" t="s">
        <v>2474</v>
      </c>
      <c r="AR797" s="85">
        <v>43565</v>
      </c>
      <c r="AS797" s="84">
        <v>6001665602</v>
      </c>
      <c r="AT797" s="85">
        <v>43570</v>
      </c>
      <c r="AU797" s="84" t="s">
        <v>2325</v>
      </c>
      <c r="AV797" s="85">
        <v>43581</v>
      </c>
      <c r="AW797" s="123">
        <v>43585</v>
      </c>
      <c r="AX797" s="123">
        <v>43605</v>
      </c>
      <c r="AY797" s="132">
        <v>310752</v>
      </c>
      <c r="AZ797" s="132">
        <f>ROUNDDOWN(AY797+(AY797*MASTER!$A$2/100),0)</f>
        <v>335612</v>
      </c>
      <c r="BA797" s="84" t="s">
        <v>287</v>
      </c>
      <c r="BB797" s="88">
        <v>35000</v>
      </c>
      <c r="BC797" s="88">
        <v>37800</v>
      </c>
      <c r="BD797" s="84" t="s">
        <v>2197</v>
      </c>
      <c r="BG797" s="88">
        <v>0</v>
      </c>
      <c r="BI797" s="84" t="s">
        <v>434</v>
      </c>
      <c r="BJ797" s="88">
        <v>94055</v>
      </c>
      <c r="BK797" s="88">
        <v>101579.4</v>
      </c>
      <c r="BL797" s="84" t="s">
        <v>2197</v>
      </c>
      <c r="BS797" s="88">
        <v>0</v>
      </c>
      <c r="BV797" s="89">
        <v>193320</v>
      </c>
      <c r="BW797" s="89">
        <v>139379.4</v>
      </c>
      <c r="BX797" s="89">
        <v>43546</v>
      </c>
      <c r="BY797" s="89">
        <v>53940.6</v>
      </c>
      <c r="BZ797" s="112">
        <v>27.902234636871508</v>
      </c>
      <c r="CK797" s="88">
        <v>31500</v>
      </c>
    </row>
    <row r="798" spans="1:89" x14ac:dyDescent="0.15">
      <c r="A798" s="84">
        <v>2</v>
      </c>
      <c r="B798" s="85">
        <v>43564</v>
      </c>
      <c r="C798" s="85">
        <v>43574</v>
      </c>
      <c r="D798" s="85">
        <v>43581</v>
      </c>
      <c r="E798" s="85">
        <v>43575</v>
      </c>
      <c r="F798" s="85">
        <v>43581</v>
      </c>
      <c r="G798" s="85">
        <v>43574</v>
      </c>
      <c r="H798" s="85">
        <v>43577</v>
      </c>
      <c r="I798" s="84" t="s">
        <v>401</v>
      </c>
      <c r="J798" s="84">
        <v>1</v>
      </c>
      <c r="L798" s="84">
        <v>0</v>
      </c>
      <c r="M798" s="85">
        <v>43546</v>
      </c>
      <c r="N798" s="85" t="s">
        <v>265</v>
      </c>
      <c r="O798" s="86" t="s">
        <v>340</v>
      </c>
      <c r="P798" s="84" t="s">
        <v>26</v>
      </c>
      <c r="Q798" s="86" t="s">
        <v>137</v>
      </c>
      <c r="R798" s="86" t="s">
        <v>2475</v>
      </c>
      <c r="S798" s="87" t="s">
        <v>888</v>
      </c>
      <c r="T798" s="87" t="s">
        <v>828</v>
      </c>
      <c r="U798" s="88">
        <v>101300</v>
      </c>
      <c r="V798" s="88">
        <v>109404</v>
      </c>
      <c r="W798" s="88">
        <v>86300</v>
      </c>
      <c r="X798" s="88">
        <v>93204</v>
      </c>
      <c r="Y798" s="88">
        <v>15000</v>
      </c>
      <c r="Z798" s="88">
        <v>16200</v>
      </c>
      <c r="AA798" s="85">
        <v>43573</v>
      </c>
      <c r="AB798" s="85">
        <v>43574</v>
      </c>
      <c r="AC798" s="85">
        <v>43574</v>
      </c>
      <c r="AD798" s="84">
        <v>0</v>
      </c>
      <c r="AG798" s="84">
        <v>0</v>
      </c>
      <c r="AJ798" s="84">
        <v>0</v>
      </c>
      <c r="AN798" s="84" t="s">
        <v>338</v>
      </c>
      <c r="AR798" s="85">
        <v>43550</v>
      </c>
      <c r="AS798" s="84">
        <v>6001661201</v>
      </c>
      <c r="AT798" s="85">
        <v>43550</v>
      </c>
      <c r="AU798" s="84" t="s">
        <v>2274</v>
      </c>
      <c r="AV798" s="85">
        <v>43574</v>
      </c>
      <c r="AW798" s="123">
        <v>43585</v>
      </c>
      <c r="AX798" s="123">
        <v>43605</v>
      </c>
      <c r="AY798" s="132">
        <v>97248</v>
      </c>
      <c r="AZ798" s="132">
        <f>ROUNDDOWN(AY798+(AY798*MASTER!$A$2/100),0)</f>
        <v>105027</v>
      </c>
      <c r="BA798" s="84" t="s">
        <v>543</v>
      </c>
      <c r="BB798" s="88">
        <v>33000</v>
      </c>
      <c r="BC798" s="88">
        <v>35640</v>
      </c>
      <c r="BD798" s="84" t="s">
        <v>1579</v>
      </c>
      <c r="BG798" s="88">
        <v>0</v>
      </c>
      <c r="BI798" s="84" t="s">
        <v>276</v>
      </c>
      <c r="BJ798" s="88">
        <v>9750</v>
      </c>
      <c r="BK798" s="88">
        <v>10530</v>
      </c>
      <c r="BL798" s="84" t="s">
        <v>1659</v>
      </c>
      <c r="BS798" s="88">
        <v>0</v>
      </c>
      <c r="BV798" s="89">
        <v>93204</v>
      </c>
      <c r="BW798" s="89">
        <v>46170</v>
      </c>
      <c r="BX798" s="89">
        <v>43546</v>
      </c>
      <c r="BY798" s="89">
        <v>47034</v>
      </c>
      <c r="BZ798" s="112">
        <v>50.463499420625723</v>
      </c>
      <c r="CK798" s="88">
        <v>6300</v>
      </c>
    </row>
    <row r="799" spans="1:89" x14ac:dyDescent="0.15">
      <c r="A799" s="84">
        <v>2</v>
      </c>
      <c r="B799" s="85">
        <v>43564</v>
      </c>
      <c r="C799" s="85">
        <v>43574</v>
      </c>
      <c r="D799" s="85">
        <v>43595</v>
      </c>
      <c r="E799" s="85">
        <v>43575</v>
      </c>
      <c r="F799" s="85">
        <v>43581</v>
      </c>
      <c r="G799" s="85">
        <v>43574</v>
      </c>
      <c r="H799" s="85">
        <v>43577</v>
      </c>
      <c r="I799" s="84" t="s">
        <v>401</v>
      </c>
      <c r="J799" s="84">
        <v>1</v>
      </c>
      <c r="L799" s="84">
        <v>0</v>
      </c>
      <c r="M799" s="85">
        <v>43546</v>
      </c>
      <c r="N799" s="85" t="s">
        <v>265</v>
      </c>
      <c r="O799" s="86" t="s">
        <v>340</v>
      </c>
      <c r="P799" s="84" t="s">
        <v>26</v>
      </c>
      <c r="Q799" s="86" t="s">
        <v>137</v>
      </c>
      <c r="R799" s="86" t="s">
        <v>2476</v>
      </c>
      <c r="S799" s="87" t="s">
        <v>685</v>
      </c>
      <c r="T799" s="87" t="s">
        <v>828</v>
      </c>
      <c r="U799" s="88">
        <v>101300</v>
      </c>
      <c r="V799" s="88">
        <v>109404</v>
      </c>
      <c r="W799" s="88">
        <v>86300</v>
      </c>
      <c r="X799" s="88">
        <v>93204</v>
      </c>
      <c r="Y799" s="88">
        <v>15000</v>
      </c>
      <c r="Z799" s="88">
        <v>16200</v>
      </c>
      <c r="AA799" s="85">
        <v>43573</v>
      </c>
      <c r="AB799" s="85">
        <v>43574</v>
      </c>
      <c r="AC799" s="85">
        <v>43574</v>
      </c>
      <c r="AD799" s="84">
        <v>0</v>
      </c>
      <c r="AG799" s="84">
        <v>0</v>
      </c>
      <c r="AJ799" s="84">
        <v>0</v>
      </c>
      <c r="AN799" s="84" t="s">
        <v>338</v>
      </c>
      <c r="AR799" s="85">
        <v>43550</v>
      </c>
      <c r="AS799" s="84">
        <v>6001661201</v>
      </c>
      <c r="AT799" s="85">
        <v>43550</v>
      </c>
      <c r="AU799" s="84" t="s">
        <v>2274</v>
      </c>
      <c r="AV799" s="85">
        <v>43574</v>
      </c>
      <c r="AW799" s="123">
        <v>43585</v>
      </c>
      <c r="AX799" s="123">
        <v>43605</v>
      </c>
      <c r="AY799" s="132">
        <v>97248</v>
      </c>
      <c r="AZ799" s="132">
        <f>ROUNDDOWN(AY799+(AY799*MASTER!$A$2/100),0)</f>
        <v>105027</v>
      </c>
      <c r="BA799" s="84" t="s">
        <v>400</v>
      </c>
      <c r="BB799" s="88">
        <v>44000</v>
      </c>
      <c r="BC799" s="88">
        <v>47520</v>
      </c>
      <c r="BD799" s="84" t="s">
        <v>1579</v>
      </c>
      <c r="BG799" s="88">
        <v>0</v>
      </c>
      <c r="BI799" s="84" t="s">
        <v>434</v>
      </c>
      <c r="BJ799" s="88">
        <v>9750</v>
      </c>
      <c r="BK799" s="88">
        <v>10530</v>
      </c>
      <c r="BL799" s="84" t="s">
        <v>1579</v>
      </c>
      <c r="BS799" s="88">
        <v>0</v>
      </c>
      <c r="BV799" s="89">
        <v>93204</v>
      </c>
      <c r="BW799" s="89">
        <v>58050</v>
      </c>
      <c r="BX799" s="89">
        <v>43546</v>
      </c>
      <c r="BY799" s="89">
        <v>35154</v>
      </c>
      <c r="BZ799" s="112">
        <v>37.717265353418306</v>
      </c>
      <c r="CK799" s="88">
        <v>6300</v>
      </c>
    </row>
    <row r="800" spans="1:89" x14ac:dyDescent="0.15">
      <c r="A800" s="84">
        <v>2</v>
      </c>
      <c r="B800" s="85">
        <v>43558</v>
      </c>
      <c r="C800" s="85">
        <v>43558</v>
      </c>
      <c r="D800" s="85">
        <v>43549</v>
      </c>
      <c r="E800" s="85">
        <v>43549</v>
      </c>
      <c r="F800" s="85" t="s">
        <v>338</v>
      </c>
      <c r="G800" s="85">
        <v>43549</v>
      </c>
      <c r="H800" s="85" t="s">
        <v>338</v>
      </c>
      <c r="I800" s="84" t="s">
        <v>380</v>
      </c>
      <c r="J800" s="84">
        <v>2</v>
      </c>
      <c r="L800" s="84">
        <v>0</v>
      </c>
      <c r="M800" s="85">
        <v>43549</v>
      </c>
      <c r="N800" s="85" t="s">
        <v>265</v>
      </c>
      <c r="O800" s="86" t="s">
        <v>340</v>
      </c>
      <c r="P800" s="84" t="s">
        <v>26</v>
      </c>
      <c r="Q800" s="86" t="s">
        <v>137</v>
      </c>
      <c r="R800" s="86" t="s">
        <v>2477</v>
      </c>
      <c r="S800" s="87" t="s">
        <v>685</v>
      </c>
      <c r="T800" s="87" t="s">
        <v>342</v>
      </c>
      <c r="U800" s="88">
        <v>35000</v>
      </c>
      <c r="V800" s="88">
        <v>37800</v>
      </c>
      <c r="W800" s="88">
        <v>35000</v>
      </c>
      <c r="X800" s="88">
        <v>37800</v>
      </c>
      <c r="Z800" s="88">
        <v>0</v>
      </c>
      <c r="AA800" s="85">
        <v>43547</v>
      </c>
      <c r="AB800" s="85">
        <v>43547</v>
      </c>
      <c r="AD800" s="84">
        <v>0</v>
      </c>
      <c r="AG800" s="84">
        <v>0</v>
      </c>
      <c r="AJ800" s="84">
        <v>0</v>
      </c>
      <c r="AR800" s="85">
        <v>43556</v>
      </c>
      <c r="AS800" s="84">
        <v>6001662513</v>
      </c>
      <c r="AT800" s="85">
        <v>43556</v>
      </c>
      <c r="AU800" s="84" t="s">
        <v>2213</v>
      </c>
      <c r="AV800" s="85">
        <v>43558</v>
      </c>
      <c r="AW800" s="123">
        <v>43585</v>
      </c>
      <c r="AX800" s="123">
        <v>43605</v>
      </c>
      <c r="AY800" s="132">
        <v>33600</v>
      </c>
      <c r="AZ800" s="132">
        <f>ROUNDDOWN(AY800+(AY800*MASTER!$A$2/100),0)</f>
        <v>36288</v>
      </c>
      <c r="BA800" s="84" t="s">
        <v>400</v>
      </c>
      <c r="BB800" s="88">
        <v>38000</v>
      </c>
      <c r="BC800" s="88">
        <v>41040</v>
      </c>
      <c r="BD800" s="84" t="s">
        <v>1579</v>
      </c>
      <c r="BG800" s="88">
        <v>0</v>
      </c>
      <c r="BK800" s="88">
        <v>0</v>
      </c>
      <c r="BS800" s="88">
        <v>0</v>
      </c>
      <c r="BV800" s="89">
        <v>37800</v>
      </c>
      <c r="BW800" s="89">
        <v>41040</v>
      </c>
      <c r="BX800" s="89">
        <v>43549</v>
      </c>
      <c r="BY800" s="89">
        <v>-3240</v>
      </c>
      <c r="BZ800" s="112">
        <v>-8.5714285714285712</v>
      </c>
    </row>
    <row r="801" spans="1:89" x14ac:dyDescent="0.15">
      <c r="A801" s="84">
        <v>1</v>
      </c>
      <c r="B801" s="85">
        <v>43565</v>
      </c>
      <c r="C801" s="85">
        <v>43558</v>
      </c>
      <c r="F801" s="85" t="s">
        <v>338</v>
      </c>
      <c r="H801" s="85" t="s">
        <v>338</v>
      </c>
      <c r="J801" s="84">
        <v>2</v>
      </c>
      <c r="L801" s="84">
        <v>0</v>
      </c>
      <c r="M801" s="85">
        <v>43549</v>
      </c>
      <c r="N801" s="85" t="s">
        <v>265</v>
      </c>
      <c r="O801" s="86" t="s">
        <v>340</v>
      </c>
      <c r="P801" s="84" t="s">
        <v>26</v>
      </c>
      <c r="Q801" s="86" t="s">
        <v>137</v>
      </c>
      <c r="R801" s="86" t="s">
        <v>2478</v>
      </c>
      <c r="S801" s="87" t="s">
        <v>351</v>
      </c>
      <c r="T801" s="87" t="s">
        <v>2479</v>
      </c>
      <c r="U801" s="88">
        <v>50000</v>
      </c>
      <c r="V801" s="88">
        <v>54000</v>
      </c>
      <c r="W801" s="88">
        <v>50000</v>
      </c>
      <c r="X801" s="88">
        <v>54000</v>
      </c>
      <c r="Z801" s="88">
        <v>0</v>
      </c>
      <c r="AA801" s="85">
        <v>43552</v>
      </c>
      <c r="AB801" s="85">
        <v>43557</v>
      </c>
      <c r="AD801" s="84">
        <v>0</v>
      </c>
      <c r="AG801" s="84">
        <v>0</v>
      </c>
      <c r="AJ801" s="84">
        <v>0</v>
      </c>
      <c r="AR801" s="85">
        <v>43552</v>
      </c>
      <c r="AS801" s="84">
        <v>6001661859</v>
      </c>
      <c r="AT801" s="85">
        <v>43552</v>
      </c>
      <c r="AU801" s="84" t="s">
        <v>2480</v>
      </c>
      <c r="AV801" s="85">
        <v>43558</v>
      </c>
      <c r="AW801" s="123">
        <v>43585</v>
      </c>
      <c r="AX801" s="123">
        <v>43605</v>
      </c>
      <c r="AY801" s="132">
        <v>48000</v>
      </c>
      <c r="AZ801" s="132">
        <f>ROUNDDOWN(AY801+(AY801*MASTER!$A$2/100),0)</f>
        <v>51840</v>
      </c>
      <c r="BC801" s="88">
        <v>0</v>
      </c>
      <c r="BG801" s="88">
        <v>0</v>
      </c>
      <c r="BK801" s="88">
        <v>0</v>
      </c>
      <c r="BS801" s="88">
        <v>0</v>
      </c>
      <c r="BV801" s="89">
        <v>54000</v>
      </c>
      <c r="BW801" s="89">
        <v>0</v>
      </c>
      <c r="BX801" s="89">
        <v>43549</v>
      </c>
      <c r="BY801" s="89">
        <v>54000</v>
      </c>
      <c r="BZ801" s="112">
        <v>100</v>
      </c>
    </row>
    <row r="802" spans="1:89" x14ac:dyDescent="0.15">
      <c r="A802" s="84">
        <v>2</v>
      </c>
      <c r="C802" s="85" t="s">
        <v>338</v>
      </c>
      <c r="F802" s="85" t="s">
        <v>338</v>
      </c>
      <c r="H802" s="85" t="s">
        <v>338</v>
      </c>
      <c r="J802" s="84">
        <v>4</v>
      </c>
      <c r="L802" s="84">
        <v>0</v>
      </c>
      <c r="M802" s="85">
        <v>43549</v>
      </c>
      <c r="N802" s="85" t="s">
        <v>265</v>
      </c>
      <c r="O802" s="86" t="s">
        <v>340</v>
      </c>
      <c r="P802" s="84" t="s">
        <v>78</v>
      </c>
      <c r="Q802" s="86" t="s">
        <v>137</v>
      </c>
      <c r="R802" s="86" t="s">
        <v>2481</v>
      </c>
      <c r="S802" s="87" t="s">
        <v>562</v>
      </c>
      <c r="T802" s="87" t="s">
        <v>2482</v>
      </c>
      <c r="U802" s="88">
        <v>0</v>
      </c>
      <c r="V802" s="88">
        <v>0</v>
      </c>
      <c r="W802" s="88">
        <v>0</v>
      </c>
      <c r="X802" s="88">
        <v>0</v>
      </c>
      <c r="Y802" s="88">
        <v>0</v>
      </c>
      <c r="Z802" s="88">
        <v>0</v>
      </c>
      <c r="AA802" s="85">
        <v>43517</v>
      </c>
      <c r="AB802" s="85">
        <v>43544</v>
      </c>
      <c r="AD802" s="84">
        <v>0</v>
      </c>
      <c r="AG802" s="84">
        <v>0</v>
      </c>
      <c r="AJ802" s="84">
        <v>0</v>
      </c>
      <c r="AN802" s="84" t="s">
        <v>338</v>
      </c>
      <c r="AY802" s="132">
        <f>ROUNDDOWN((0.96*U802),0)</f>
        <v>0</v>
      </c>
      <c r="AZ802" s="132">
        <f>ROUNDDOWN(AY802+(AY802*MASTER!$A$2/100),0)</f>
        <v>0</v>
      </c>
      <c r="BA802" s="84" t="s">
        <v>289</v>
      </c>
      <c r="BB802" s="88">
        <v>538651</v>
      </c>
      <c r="BC802" s="88">
        <v>581743.07999999996</v>
      </c>
      <c r="BD802" s="84" t="s">
        <v>1268</v>
      </c>
      <c r="BG802" s="88">
        <v>0</v>
      </c>
      <c r="BK802" s="88">
        <v>0</v>
      </c>
      <c r="BS802" s="88">
        <v>0</v>
      </c>
      <c r="BV802" s="89">
        <v>0</v>
      </c>
      <c r="BW802" s="89">
        <v>581743.07999999996</v>
      </c>
      <c r="BX802" s="89">
        <v>43549</v>
      </c>
      <c r="BY802" s="89">
        <v>-581743.07999999996</v>
      </c>
      <c r="BZ802" s="112" t="s">
        <v>338</v>
      </c>
    </row>
    <row r="803" spans="1:89" x14ac:dyDescent="0.15">
      <c r="A803" s="84">
        <v>2</v>
      </c>
      <c r="B803" s="85">
        <v>43558</v>
      </c>
      <c r="C803" s="85">
        <v>43558</v>
      </c>
      <c r="D803" s="85">
        <v>43552</v>
      </c>
      <c r="E803" s="85">
        <v>43552</v>
      </c>
      <c r="F803" s="85" t="s">
        <v>338</v>
      </c>
      <c r="G803" s="85">
        <v>43552</v>
      </c>
      <c r="H803" s="85" t="s">
        <v>338</v>
      </c>
      <c r="I803" s="84" t="s">
        <v>380</v>
      </c>
      <c r="J803" s="84">
        <v>2</v>
      </c>
      <c r="L803" s="84">
        <v>0</v>
      </c>
      <c r="M803" s="85">
        <v>43550</v>
      </c>
      <c r="N803" s="85" t="s">
        <v>265</v>
      </c>
      <c r="O803" s="86" t="s">
        <v>340</v>
      </c>
      <c r="P803" s="84" t="s">
        <v>6</v>
      </c>
      <c r="Q803" s="86" t="s">
        <v>137</v>
      </c>
      <c r="R803" s="86" t="s">
        <v>2483</v>
      </c>
      <c r="S803" s="87" t="s">
        <v>1619</v>
      </c>
      <c r="T803" s="87" t="s">
        <v>342</v>
      </c>
      <c r="U803" s="88">
        <v>35000</v>
      </c>
      <c r="V803" s="88">
        <v>37800</v>
      </c>
      <c r="W803" s="88">
        <v>35000</v>
      </c>
      <c r="X803" s="88">
        <v>37800</v>
      </c>
      <c r="Z803" s="88">
        <v>0</v>
      </c>
      <c r="AA803" s="85">
        <v>43551</v>
      </c>
      <c r="AB803" s="85">
        <v>43551</v>
      </c>
      <c r="AD803" s="84">
        <v>0</v>
      </c>
      <c r="AG803" s="84">
        <v>0</v>
      </c>
      <c r="AJ803" s="84">
        <v>0</v>
      </c>
      <c r="AN803" s="84" t="s">
        <v>338</v>
      </c>
      <c r="AR803" s="85">
        <v>43556</v>
      </c>
      <c r="AS803" s="84">
        <v>6001662513</v>
      </c>
      <c r="AT803" s="85">
        <v>43556</v>
      </c>
      <c r="AU803" s="84" t="s">
        <v>2213</v>
      </c>
      <c r="AV803" s="85">
        <v>43558</v>
      </c>
      <c r="AW803" s="123">
        <v>43585</v>
      </c>
      <c r="AX803" s="123">
        <v>43605</v>
      </c>
      <c r="AY803" s="132">
        <v>33600</v>
      </c>
      <c r="AZ803" s="132">
        <f>ROUNDDOWN(AY803+(AY803*MASTER!$A$2/100),0)</f>
        <v>36288</v>
      </c>
      <c r="BA803" s="84" t="s">
        <v>286</v>
      </c>
      <c r="BB803" s="88">
        <v>22000</v>
      </c>
      <c r="BC803" s="88">
        <v>23760</v>
      </c>
      <c r="BD803" s="84" t="s">
        <v>1579</v>
      </c>
      <c r="BG803" s="88">
        <v>0</v>
      </c>
      <c r="BK803" s="88">
        <v>0</v>
      </c>
      <c r="BS803" s="88">
        <v>0</v>
      </c>
      <c r="BV803" s="89">
        <v>37800</v>
      </c>
      <c r="BW803" s="89">
        <v>23760</v>
      </c>
      <c r="BX803" s="89">
        <v>43550</v>
      </c>
      <c r="BY803" s="89">
        <v>14040</v>
      </c>
      <c r="BZ803" s="112">
        <v>37.142857142857146</v>
      </c>
      <c r="CK803" s="88">
        <v>0</v>
      </c>
    </row>
    <row r="804" spans="1:89" x14ac:dyDescent="0.15">
      <c r="A804" s="84">
        <v>2</v>
      </c>
      <c r="C804" s="85" t="s">
        <v>338</v>
      </c>
      <c r="F804" s="85" t="s">
        <v>338</v>
      </c>
      <c r="H804" s="85" t="s">
        <v>338</v>
      </c>
      <c r="J804" s="84">
        <v>4</v>
      </c>
      <c r="L804" s="84">
        <v>0</v>
      </c>
      <c r="M804" s="85">
        <v>43550</v>
      </c>
      <c r="N804" s="85" t="s">
        <v>265</v>
      </c>
      <c r="O804" s="86" t="s">
        <v>340</v>
      </c>
      <c r="P804" s="84" t="s">
        <v>272</v>
      </c>
      <c r="Q804" s="86" t="s">
        <v>137</v>
      </c>
      <c r="R804" s="86" t="s">
        <v>2484</v>
      </c>
      <c r="S804" s="87" t="s">
        <v>351</v>
      </c>
      <c r="T804" s="87" t="s">
        <v>2485</v>
      </c>
      <c r="U804" s="88">
        <v>0</v>
      </c>
      <c r="V804" s="88">
        <v>0</v>
      </c>
      <c r="W804" s="88">
        <v>0</v>
      </c>
      <c r="X804" s="88">
        <v>0</v>
      </c>
      <c r="Y804" s="88">
        <v>0</v>
      </c>
      <c r="Z804" s="88">
        <v>0</v>
      </c>
      <c r="AA804" s="85">
        <v>43517</v>
      </c>
      <c r="AB804" s="85">
        <v>43544</v>
      </c>
      <c r="AD804" s="84">
        <v>0</v>
      </c>
      <c r="AG804" s="84">
        <v>0</v>
      </c>
      <c r="AJ804" s="84">
        <v>0</v>
      </c>
      <c r="AN804" s="84" t="s">
        <v>338</v>
      </c>
      <c r="AY804" s="132">
        <f>ROUNDDOWN((0.96*U804),0)</f>
        <v>0</v>
      </c>
      <c r="AZ804" s="132">
        <f>ROUNDDOWN(AY804+(AY804*MASTER!$A$2/100),0)</f>
        <v>0</v>
      </c>
      <c r="BA804" s="84" t="s">
        <v>1045</v>
      </c>
      <c r="BB804" s="88">
        <v>630000</v>
      </c>
      <c r="BC804" s="88">
        <v>680400</v>
      </c>
      <c r="BD804" s="84" t="s">
        <v>1268</v>
      </c>
      <c r="BG804" s="88">
        <v>0</v>
      </c>
      <c r="BK804" s="88">
        <v>0</v>
      </c>
      <c r="BS804" s="88">
        <v>0</v>
      </c>
      <c r="BV804" s="89">
        <v>0</v>
      </c>
      <c r="BW804" s="89">
        <v>680400</v>
      </c>
      <c r="BX804" s="89">
        <v>43550</v>
      </c>
      <c r="BY804" s="89">
        <v>-680400</v>
      </c>
      <c r="BZ804" s="112" t="s">
        <v>338</v>
      </c>
    </row>
    <row r="805" spans="1:89" x14ac:dyDescent="0.15">
      <c r="A805" s="84">
        <v>1</v>
      </c>
      <c r="B805" s="85">
        <v>43552</v>
      </c>
      <c r="C805" s="85">
        <v>43556</v>
      </c>
      <c r="F805" s="85" t="s">
        <v>338</v>
      </c>
      <c r="H805" s="85" t="s">
        <v>338</v>
      </c>
      <c r="J805" s="84">
        <v>2</v>
      </c>
      <c r="L805" s="84">
        <v>0</v>
      </c>
      <c r="M805" s="85">
        <v>43551</v>
      </c>
      <c r="N805" s="85" t="s">
        <v>265</v>
      </c>
      <c r="O805" s="86" t="s">
        <v>340</v>
      </c>
      <c r="P805" s="84" t="s">
        <v>78</v>
      </c>
      <c r="Q805" s="86" t="s">
        <v>137</v>
      </c>
      <c r="R805" s="86" t="s">
        <v>2486</v>
      </c>
      <c r="S805" s="87" t="s">
        <v>407</v>
      </c>
      <c r="T805" s="87" t="s">
        <v>408</v>
      </c>
      <c r="U805" s="88">
        <v>8300</v>
      </c>
      <c r="V805" s="88">
        <v>8964</v>
      </c>
      <c r="W805" s="88">
        <v>8300</v>
      </c>
      <c r="X805" s="88">
        <v>8964</v>
      </c>
      <c r="Z805" s="88">
        <v>0</v>
      </c>
      <c r="AD805" s="84">
        <v>0</v>
      </c>
      <c r="AG805" s="84">
        <v>0</v>
      </c>
      <c r="AJ805" s="84">
        <v>0</v>
      </c>
      <c r="AR805" s="85">
        <v>43551</v>
      </c>
      <c r="AS805" s="84">
        <v>6001661523</v>
      </c>
      <c r="AT805" s="85">
        <v>43551</v>
      </c>
      <c r="AU805" s="84" t="s">
        <v>2487</v>
      </c>
      <c r="AV805" s="85">
        <v>43556</v>
      </c>
      <c r="AW805" s="123">
        <v>43555</v>
      </c>
      <c r="AX805" s="123">
        <v>43575</v>
      </c>
      <c r="AY805" s="132">
        <v>7968</v>
      </c>
      <c r="AZ805" s="132">
        <f>ROUNDDOWN(AY805+(AY805*MASTER!$A$2/100),0)</f>
        <v>8605</v>
      </c>
      <c r="BC805" s="88">
        <v>0</v>
      </c>
      <c r="BG805" s="88">
        <v>0</v>
      </c>
      <c r="BK805" s="88">
        <v>0</v>
      </c>
      <c r="BS805" s="88">
        <v>0</v>
      </c>
      <c r="BV805" s="89">
        <v>8964</v>
      </c>
      <c r="BW805" s="89">
        <v>0</v>
      </c>
      <c r="BX805" s="89">
        <v>43551</v>
      </c>
      <c r="BY805" s="89">
        <v>8964</v>
      </c>
      <c r="BZ805" s="112">
        <v>100</v>
      </c>
      <c r="CK805" s="88">
        <v>0</v>
      </c>
    </row>
    <row r="806" spans="1:89" x14ac:dyDescent="0.15">
      <c r="A806" s="84">
        <v>2</v>
      </c>
      <c r="B806" s="85">
        <v>43581</v>
      </c>
      <c r="C806" s="85">
        <v>43598</v>
      </c>
      <c r="D806" s="85">
        <v>43610</v>
      </c>
      <c r="E806" s="85">
        <v>43599</v>
      </c>
      <c r="F806" s="85">
        <v>43605</v>
      </c>
      <c r="G806" s="85">
        <v>43599</v>
      </c>
      <c r="H806" s="85">
        <v>43601</v>
      </c>
      <c r="I806" s="84" t="s">
        <v>401</v>
      </c>
      <c r="J806" s="84">
        <v>2</v>
      </c>
      <c r="L806" s="84">
        <v>0</v>
      </c>
      <c r="M806" s="85">
        <v>43551</v>
      </c>
      <c r="N806" s="85" t="s">
        <v>265</v>
      </c>
      <c r="O806" s="86" t="s">
        <v>340</v>
      </c>
      <c r="P806" s="84" t="s">
        <v>26</v>
      </c>
      <c r="Q806" s="86" t="s">
        <v>137</v>
      </c>
      <c r="R806" s="86" t="s">
        <v>2488</v>
      </c>
      <c r="S806" s="87" t="s">
        <v>1001</v>
      </c>
      <c r="T806" s="87" t="s">
        <v>869</v>
      </c>
      <c r="U806" s="88">
        <v>1078000</v>
      </c>
      <c r="V806" s="88">
        <v>1164240</v>
      </c>
      <c r="W806" s="88">
        <v>1078000</v>
      </c>
      <c r="X806" s="88">
        <v>1164240</v>
      </c>
      <c r="Z806" s="88">
        <v>0</v>
      </c>
      <c r="AA806" s="85">
        <v>43597</v>
      </c>
      <c r="AB806" s="85">
        <v>43598</v>
      </c>
      <c r="AC806" s="85">
        <v>43598</v>
      </c>
      <c r="AD806" s="84">
        <v>0</v>
      </c>
      <c r="AG806" s="84">
        <v>0</v>
      </c>
      <c r="AJ806" s="84">
        <v>0</v>
      </c>
      <c r="AM806" s="84" t="s">
        <v>290</v>
      </c>
      <c r="AN806" s="84" t="s">
        <v>2489</v>
      </c>
      <c r="AR806" s="85">
        <v>43573</v>
      </c>
      <c r="AS806" s="84">
        <v>6001667893</v>
      </c>
      <c r="AT806" s="85">
        <v>43573</v>
      </c>
      <c r="AU806" s="84" t="s">
        <v>2490</v>
      </c>
      <c r="AV806" s="85">
        <v>43598</v>
      </c>
      <c r="AW806" s="123">
        <v>43616</v>
      </c>
      <c r="AX806" s="123">
        <v>43636</v>
      </c>
      <c r="AY806" s="132">
        <v>1034880</v>
      </c>
      <c r="AZ806" s="132">
        <f>ROUNDDOWN(AY806+(AY806*MASTER!$A$2/100),0)</f>
        <v>1117670</v>
      </c>
      <c r="BA806" s="84" t="s">
        <v>286</v>
      </c>
      <c r="BB806" s="88">
        <v>437000</v>
      </c>
      <c r="BC806" s="88">
        <v>471960</v>
      </c>
      <c r="BD806" s="84" t="s">
        <v>2197</v>
      </c>
      <c r="BG806" s="88">
        <v>0</v>
      </c>
      <c r="BK806" s="88">
        <v>0</v>
      </c>
      <c r="BS806" s="88">
        <v>0</v>
      </c>
      <c r="BV806" s="89">
        <v>1164240</v>
      </c>
      <c r="BW806" s="89">
        <v>471960</v>
      </c>
      <c r="BX806" s="89">
        <v>43551</v>
      </c>
      <c r="BY806" s="89">
        <v>692280</v>
      </c>
      <c r="BZ806" s="112">
        <v>59.461966604823743</v>
      </c>
      <c r="CK806" s="88">
        <v>105000</v>
      </c>
    </row>
    <row r="807" spans="1:89" x14ac:dyDescent="0.15">
      <c r="A807" s="84">
        <v>2</v>
      </c>
      <c r="B807" s="85">
        <v>43564</v>
      </c>
      <c r="C807" s="85">
        <v>43567</v>
      </c>
      <c r="E807" s="85">
        <v>43596</v>
      </c>
      <c r="F807" s="85" t="s">
        <v>338</v>
      </c>
      <c r="G807" s="85">
        <v>43563</v>
      </c>
      <c r="H807" s="85" t="s">
        <v>338</v>
      </c>
      <c r="I807" s="84" t="s">
        <v>1191</v>
      </c>
      <c r="J807" s="84">
        <v>2</v>
      </c>
      <c r="L807" s="84">
        <v>0</v>
      </c>
      <c r="M807" s="85">
        <v>43551</v>
      </c>
      <c r="N807" s="85" t="s">
        <v>265</v>
      </c>
      <c r="O807" s="86" t="s">
        <v>340</v>
      </c>
      <c r="P807" s="84" t="s">
        <v>26</v>
      </c>
      <c r="Q807" s="86" t="s">
        <v>137</v>
      </c>
      <c r="R807" s="86" t="s">
        <v>2491</v>
      </c>
      <c r="S807" s="87" t="s">
        <v>2492</v>
      </c>
      <c r="T807" s="87" t="s">
        <v>1075</v>
      </c>
      <c r="U807" s="88">
        <v>81900</v>
      </c>
      <c r="V807" s="88">
        <v>88452</v>
      </c>
      <c r="W807" s="88">
        <v>81900</v>
      </c>
      <c r="X807" s="88">
        <v>88452</v>
      </c>
      <c r="Z807" s="88">
        <v>0</v>
      </c>
      <c r="AA807" s="85">
        <v>43556</v>
      </c>
      <c r="AB807" s="85">
        <v>43557</v>
      </c>
      <c r="AD807" s="84">
        <v>0</v>
      </c>
      <c r="AG807" s="84">
        <v>0</v>
      </c>
      <c r="AJ807" s="84">
        <v>0</v>
      </c>
      <c r="AR807" s="85">
        <v>43563</v>
      </c>
      <c r="AS807" s="84">
        <v>6001664890</v>
      </c>
      <c r="AT807" s="85">
        <v>43563</v>
      </c>
      <c r="AU807" s="84" t="s">
        <v>1692</v>
      </c>
      <c r="AV807" s="85">
        <v>43567</v>
      </c>
      <c r="AW807" s="123">
        <v>43585</v>
      </c>
      <c r="AX807" s="123">
        <v>43605</v>
      </c>
      <c r="AY807" s="132">
        <v>78624</v>
      </c>
      <c r="AZ807" s="132">
        <f>ROUNDDOWN(AY807+(AY807*MASTER!$A$2/100),0)</f>
        <v>84913</v>
      </c>
      <c r="BA807" s="84" t="s">
        <v>14</v>
      </c>
      <c r="BB807" s="88">
        <v>46000</v>
      </c>
      <c r="BC807" s="88">
        <v>49680</v>
      </c>
      <c r="BD807" s="84" t="s">
        <v>1579</v>
      </c>
      <c r="BG807" s="88">
        <v>0</v>
      </c>
      <c r="BK807" s="88">
        <v>0</v>
      </c>
      <c r="BS807" s="88">
        <v>0</v>
      </c>
      <c r="BV807" s="89">
        <v>88452</v>
      </c>
      <c r="BW807" s="89">
        <v>49680</v>
      </c>
      <c r="BX807" s="89">
        <v>43551</v>
      </c>
      <c r="BY807" s="89">
        <v>38772</v>
      </c>
      <c r="BZ807" s="112">
        <v>43.833943833943835</v>
      </c>
    </row>
    <row r="808" spans="1:89" x14ac:dyDescent="0.15">
      <c r="A808" s="84">
        <v>2</v>
      </c>
      <c r="B808" s="85">
        <v>43602</v>
      </c>
      <c r="C808" s="85">
        <v>43602</v>
      </c>
      <c r="D808" s="85">
        <v>43623</v>
      </c>
      <c r="E808" s="85">
        <v>43602</v>
      </c>
      <c r="F808" s="85">
        <v>43609</v>
      </c>
      <c r="G808" s="85">
        <v>43602</v>
      </c>
      <c r="H808" s="85">
        <v>43605</v>
      </c>
      <c r="I808" s="84" t="s">
        <v>401</v>
      </c>
      <c r="J808" s="84">
        <v>1</v>
      </c>
      <c r="L808" s="84">
        <v>0</v>
      </c>
      <c r="M808" s="85">
        <v>43553</v>
      </c>
      <c r="N808" s="85" t="s">
        <v>265</v>
      </c>
      <c r="O808" s="86" t="s">
        <v>340</v>
      </c>
      <c r="P808" s="84" t="s">
        <v>26</v>
      </c>
      <c r="Q808" s="86" t="s">
        <v>137</v>
      </c>
      <c r="R808" s="86" t="s">
        <v>2493</v>
      </c>
      <c r="S808" s="87" t="s">
        <v>454</v>
      </c>
      <c r="T808" s="87" t="s">
        <v>2494</v>
      </c>
      <c r="U808" s="88">
        <v>56000</v>
      </c>
      <c r="V808" s="88">
        <v>60480</v>
      </c>
      <c r="W808" s="88">
        <v>47000</v>
      </c>
      <c r="X808" s="88">
        <v>50760</v>
      </c>
      <c r="Y808" s="88">
        <v>9000</v>
      </c>
      <c r="Z808" s="88">
        <v>9720</v>
      </c>
      <c r="AA808" s="85">
        <v>43601</v>
      </c>
      <c r="AB808" s="85">
        <v>43602</v>
      </c>
      <c r="AC808" s="85">
        <v>43602</v>
      </c>
      <c r="AD808" s="84">
        <v>0</v>
      </c>
      <c r="AG808" s="84">
        <v>0</v>
      </c>
      <c r="AJ808" s="84">
        <v>0</v>
      </c>
      <c r="AM808" s="84" t="s">
        <v>290</v>
      </c>
      <c r="AN808" s="84" t="s">
        <v>2495</v>
      </c>
      <c r="AR808" s="85">
        <v>43601</v>
      </c>
      <c r="AS808" s="84">
        <v>6001674549</v>
      </c>
      <c r="AT808" s="85">
        <v>43601</v>
      </c>
      <c r="AU808" s="84" t="s">
        <v>2496</v>
      </c>
      <c r="AV808" s="85">
        <v>43602</v>
      </c>
      <c r="AW808" s="123">
        <v>43616</v>
      </c>
      <c r="AX808" s="123">
        <v>43636</v>
      </c>
      <c r="AY808" s="132">
        <v>53760</v>
      </c>
      <c r="AZ808" s="132">
        <f>ROUNDDOWN(AY808+(AY808*MASTER!$A$2/100),0)</f>
        <v>58060</v>
      </c>
      <c r="BA808" s="84" t="s">
        <v>477</v>
      </c>
      <c r="BB808" s="88">
        <v>36000</v>
      </c>
      <c r="BC808" s="88">
        <v>38880</v>
      </c>
      <c r="BD808" s="84" t="s">
        <v>2197</v>
      </c>
      <c r="BG808" s="88">
        <v>0</v>
      </c>
      <c r="BI808" s="84" t="s">
        <v>434</v>
      </c>
      <c r="BJ808" s="88">
        <v>5850</v>
      </c>
      <c r="BK808" s="88">
        <v>6318</v>
      </c>
      <c r="BL808" s="84" t="s">
        <v>2197</v>
      </c>
      <c r="BS808" s="88">
        <v>0</v>
      </c>
      <c r="BV808" s="89">
        <v>50760</v>
      </c>
      <c r="BW808" s="89">
        <v>45198</v>
      </c>
      <c r="BX808" s="89">
        <v>43553</v>
      </c>
      <c r="BY808" s="89">
        <v>5562</v>
      </c>
      <c r="BZ808" s="112">
        <v>10.957446808510639</v>
      </c>
    </row>
    <row r="809" spans="1:89" x14ac:dyDescent="0.15">
      <c r="A809" s="84">
        <v>2</v>
      </c>
      <c r="B809" s="85">
        <v>43564</v>
      </c>
      <c r="C809" s="85">
        <v>43566</v>
      </c>
      <c r="D809" s="85">
        <v>43598</v>
      </c>
      <c r="E809" s="85">
        <v>43571</v>
      </c>
      <c r="F809" s="85">
        <v>43573</v>
      </c>
      <c r="G809" s="85">
        <v>43566</v>
      </c>
      <c r="H809" s="85">
        <v>43569</v>
      </c>
      <c r="I809" s="84" t="s">
        <v>401</v>
      </c>
      <c r="J809" s="84">
        <v>1</v>
      </c>
      <c r="L809" s="84">
        <v>0</v>
      </c>
      <c r="M809" s="85">
        <v>43553</v>
      </c>
      <c r="N809" s="85" t="s">
        <v>265</v>
      </c>
      <c r="O809" s="86" t="s">
        <v>340</v>
      </c>
      <c r="P809" s="84" t="s">
        <v>26</v>
      </c>
      <c r="Q809" s="86" t="s">
        <v>137</v>
      </c>
      <c r="R809" s="86" t="s">
        <v>2497</v>
      </c>
      <c r="S809" s="87" t="s">
        <v>2498</v>
      </c>
      <c r="T809" s="87" t="s">
        <v>1371</v>
      </c>
      <c r="U809" s="88">
        <v>59000</v>
      </c>
      <c r="V809" s="88">
        <v>63720</v>
      </c>
      <c r="W809" s="88">
        <v>47000</v>
      </c>
      <c r="X809" s="88">
        <v>50760</v>
      </c>
      <c r="Y809" s="88">
        <v>12000</v>
      </c>
      <c r="Z809" s="88">
        <v>12960</v>
      </c>
      <c r="AA809" s="85">
        <v>43565</v>
      </c>
      <c r="AB809" s="85">
        <v>43566</v>
      </c>
      <c r="AC809" s="85">
        <v>43566</v>
      </c>
      <c r="AD809" s="84">
        <v>0</v>
      </c>
      <c r="AG809" s="84">
        <v>0</v>
      </c>
      <c r="AJ809" s="84">
        <v>0</v>
      </c>
      <c r="AM809" s="84" t="s">
        <v>290</v>
      </c>
      <c r="AN809" s="84" t="s">
        <v>2499</v>
      </c>
      <c r="AR809" s="85">
        <v>43563</v>
      </c>
      <c r="AS809" s="84">
        <v>6001664890</v>
      </c>
      <c r="AT809" s="85">
        <v>43563</v>
      </c>
      <c r="AU809" s="84" t="s">
        <v>1692</v>
      </c>
      <c r="AV809" s="85">
        <v>43566</v>
      </c>
      <c r="AW809" s="123">
        <v>43585</v>
      </c>
      <c r="AX809" s="123">
        <v>43605</v>
      </c>
      <c r="AY809" s="132">
        <v>56640</v>
      </c>
      <c r="AZ809" s="132">
        <f>ROUNDDOWN(AY809+(AY809*MASTER!$A$2/100),0)</f>
        <v>61171</v>
      </c>
      <c r="BA809" s="84" t="s">
        <v>745</v>
      </c>
      <c r="BB809" s="88">
        <v>26000</v>
      </c>
      <c r="BC809" s="88">
        <v>28080</v>
      </c>
      <c r="BD809" s="84" t="s">
        <v>1579</v>
      </c>
      <c r="BG809" s="88">
        <v>0</v>
      </c>
      <c r="BI809" s="84" t="s">
        <v>434</v>
      </c>
      <c r="BJ809" s="88">
        <v>7800</v>
      </c>
      <c r="BK809" s="88">
        <v>8424</v>
      </c>
      <c r="BL809" s="84" t="s">
        <v>1579</v>
      </c>
      <c r="BS809" s="88">
        <v>0</v>
      </c>
      <c r="BV809" s="89">
        <v>50760</v>
      </c>
      <c r="BW809" s="89">
        <v>36504</v>
      </c>
      <c r="BX809" s="89">
        <v>43553</v>
      </c>
      <c r="BY809" s="89">
        <v>14256</v>
      </c>
      <c r="BZ809" s="112">
        <v>28.085106382978726</v>
      </c>
    </row>
    <row r="810" spans="1:89" x14ac:dyDescent="0.15">
      <c r="A810" s="84">
        <v>2</v>
      </c>
      <c r="B810" s="85">
        <v>43572</v>
      </c>
      <c r="C810" s="85">
        <v>43582</v>
      </c>
      <c r="D810" s="85">
        <v>43619</v>
      </c>
      <c r="E810" s="85">
        <v>43593</v>
      </c>
      <c r="F810" s="85">
        <v>43589</v>
      </c>
      <c r="G810" s="85">
        <v>43592</v>
      </c>
      <c r="H810" s="85">
        <v>43585</v>
      </c>
      <c r="I810" s="84" t="s">
        <v>401</v>
      </c>
      <c r="J810" s="84">
        <v>2</v>
      </c>
      <c r="L810" s="84">
        <v>0</v>
      </c>
      <c r="M810" s="85">
        <v>43557</v>
      </c>
      <c r="N810" s="85" t="s">
        <v>265</v>
      </c>
      <c r="O810" s="86" t="s">
        <v>340</v>
      </c>
      <c r="P810" s="84" t="s">
        <v>26</v>
      </c>
      <c r="Q810" s="86" t="s">
        <v>138</v>
      </c>
      <c r="R810" s="86" t="s">
        <v>2500</v>
      </c>
      <c r="S810" s="87" t="s">
        <v>1235</v>
      </c>
      <c r="T810" s="87" t="s">
        <v>1086</v>
      </c>
      <c r="U810" s="88">
        <v>142500</v>
      </c>
      <c r="V810" s="88">
        <v>153900</v>
      </c>
      <c r="W810" s="88">
        <v>142500</v>
      </c>
      <c r="X810" s="88">
        <v>153900</v>
      </c>
      <c r="Y810" s="88">
        <v>0</v>
      </c>
      <c r="Z810" s="88">
        <v>0</v>
      </c>
      <c r="AA810" s="85">
        <v>43580</v>
      </c>
      <c r="AB810" s="85">
        <v>43582</v>
      </c>
      <c r="AC810" s="85">
        <v>43582</v>
      </c>
      <c r="AD810" s="84">
        <v>0</v>
      </c>
      <c r="AG810" s="84">
        <v>0</v>
      </c>
      <c r="AJ810" s="84">
        <v>0</v>
      </c>
      <c r="AM810" s="84" t="s">
        <v>290</v>
      </c>
      <c r="AN810" s="84" t="s">
        <v>2501</v>
      </c>
      <c r="AR810" s="85">
        <v>43571</v>
      </c>
      <c r="AS810" s="84">
        <v>6001667194</v>
      </c>
      <c r="AT810" s="85">
        <v>43571</v>
      </c>
      <c r="AU810" s="84" t="s">
        <v>2502</v>
      </c>
      <c r="AV810" s="85">
        <v>43582</v>
      </c>
      <c r="AW810" s="123">
        <v>43585</v>
      </c>
      <c r="AX810" s="123">
        <v>43605</v>
      </c>
      <c r="AY810" s="132">
        <v>136800</v>
      </c>
      <c r="AZ810" s="132">
        <f>ROUNDDOWN(AY810+(AY810*MASTER!$A$2/100),0)</f>
        <v>147744</v>
      </c>
      <c r="BA810" s="84" t="s">
        <v>400</v>
      </c>
      <c r="BB810" s="88">
        <v>57200</v>
      </c>
      <c r="BC810" s="88">
        <v>61776</v>
      </c>
      <c r="BD810" s="84" t="s">
        <v>2197</v>
      </c>
      <c r="BG810" s="88">
        <v>0</v>
      </c>
      <c r="BK810" s="88">
        <v>0</v>
      </c>
      <c r="BS810" s="88">
        <v>0</v>
      </c>
      <c r="BV810" s="89">
        <v>153900</v>
      </c>
      <c r="BW810" s="89">
        <v>61776</v>
      </c>
      <c r="BX810" s="89">
        <v>43557</v>
      </c>
      <c r="BY810" s="89">
        <v>92124</v>
      </c>
      <c r="BZ810" s="112">
        <v>59.859649122807014</v>
      </c>
      <c r="CK810" s="88">
        <v>31500</v>
      </c>
    </row>
    <row r="811" spans="1:89" x14ac:dyDescent="0.15">
      <c r="A811" s="84">
        <v>2</v>
      </c>
      <c r="B811" s="85">
        <v>43571</v>
      </c>
      <c r="C811" s="85">
        <v>43581</v>
      </c>
      <c r="D811" s="85">
        <v>43619</v>
      </c>
      <c r="E811" s="85">
        <v>43593</v>
      </c>
      <c r="F811" s="85">
        <v>43588</v>
      </c>
      <c r="G811" s="85">
        <v>43592</v>
      </c>
      <c r="H811" s="85">
        <v>43584</v>
      </c>
      <c r="I811" s="84" t="s">
        <v>401</v>
      </c>
      <c r="J811" s="84">
        <v>2</v>
      </c>
      <c r="L811" s="84">
        <v>0</v>
      </c>
      <c r="M811" s="85">
        <v>43557</v>
      </c>
      <c r="N811" s="85" t="s">
        <v>265</v>
      </c>
      <c r="O811" s="86" t="s">
        <v>340</v>
      </c>
      <c r="P811" s="84" t="s">
        <v>26</v>
      </c>
      <c r="Q811" s="86" t="s">
        <v>138</v>
      </c>
      <c r="R811" s="86" t="s">
        <v>2503</v>
      </c>
      <c r="S811" s="87" t="s">
        <v>1655</v>
      </c>
      <c r="T811" s="87" t="s">
        <v>2034</v>
      </c>
      <c r="U811" s="88">
        <v>142500</v>
      </c>
      <c r="V811" s="88">
        <v>153900</v>
      </c>
      <c r="W811" s="88">
        <v>142500</v>
      </c>
      <c r="X811" s="88">
        <v>153900</v>
      </c>
      <c r="Z811" s="88">
        <v>0</v>
      </c>
      <c r="AA811" s="85">
        <v>43579</v>
      </c>
      <c r="AB811" s="85">
        <v>43581</v>
      </c>
      <c r="AC811" s="85">
        <v>43581</v>
      </c>
      <c r="AD811" s="84">
        <v>0</v>
      </c>
      <c r="AG811" s="84">
        <v>0</v>
      </c>
      <c r="AJ811" s="84">
        <v>0</v>
      </c>
      <c r="AM811" s="84" t="s">
        <v>290</v>
      </c>
      <c r="AN811" s="84" t="s">
        <v>2504</v>
      </c>
      <c r="AR811" s="85">
        <v>43570</v>
      </c>
      <c r="AS811" s="84">
        <v>6001666615</v>
      </c>
      <c r="AT811" s="85">
        <v>43570</v>
      </c>
      <c r="AU811" s="84" t="s">
        <v>1775</v>
      </c>
      <c r="AV811" s="85">
        <v>43581</v>
      </c>
      <c r="AW811" s="123">
        <v>43585</v>
      </c>
      <c r="AX811" s="123">
        <v>43605</v>
      </c>
      <c r="AY811" s="132">
        <v>136800</v>
      </c>
      <c r="AZ811" s="132">
        <f>ROUNDDOWN(AY811+(AY811*MASTER!$A$2/100),0)</f>
        <v>147744</v>
      </c>
      <c r="BA811" s="84" t="s">
        <v>400</v>
      </c>
      <c r="BB811" s="88">
        <v>54480</v>
      </c>
      <c r="BC811" s="88">
        <v>58838.400000000001</v>
      </c>
      <c r="BD811" s="84" t="s">
        <v>2197</v>
      </c>
      <c r="BG811" s="88">
        <v>0</v>
      </c>
      <c r="BK811" s="88">
        <v>0</v>
      </c>
      <c r="BS811" s="88">
        <v>0</v>
      </c>
      <c r="BV811" s="89">
        <v>153900</v>
      </c>
      <c r="BW811" s="89">
        <v>58838.400000000001</v>
      </c>
      <c r="BX811" s="89">
        <v>43557</v>
      </c>
      <c r="BY811" s="89">
        <v>95061.6</v>
      </c>
      <c r="BZ811" s="112">
        <v>61.768421052631581</v>
      </c>
      <c r="CK811" s="88">
        <v>31500</v>
      </c>
    </row>
    <row r="812" spans="1:89" x14ac:dyDescent="0.15">
      <c r="A812" s="84">
        <v>2</v>
      </c>
      <c r="C812" s="85" t="s">
        <v>338</v>
      </c>
      <c r="F812" s="85" t="s">
        <v>338</v>
      </c>
      <c r="H812" s="85" t="s">
        <v>338</v>
      </c>
      <c r="J812" s="84">
        <v>4</v>
      </c>
      <c r="L812" s="84">
        <v>0</v>
      </c>
      <c r="M812" s="85">
        <v>43557</v>
      </c>
      <c r="N812" s="85" t="s">
        <v>265</v>
      </c>
      <c r="O812" s="86" t="s">
        <v>340</v>
      </c>
      <c r="P812" s="84" t="s">
        <v>6</v>
      </c>
      <c r="Q812" s="86" t="s">
        <v>138</v>
      </c>
      <c r="R812" s="86" t="s">
        <v>2505</v>
      </c>
      <c r="S812" s="87" t="s">
        <v>1763</v>
      </c>
      <c r="T812" s="87" t="s">
        <v>479</v>
      </c>
      <c r="U812" s="88">
        <v>0</v>
      </c>
      <c r="V812" s="88">
        <v>0</v>
      </c>
      <c r="W812" s="88">
        <v>0</v>
      </c>
      <c r="X812" s="88">
        <v>0</v>
      </c>
      <c r="Y812" s="88">
        <v>0</v>
      </c>
      <c r="Z812" s="88">
        <v>0</v>
      </c>
      <c r="AA812" s="85">
        <v>43525</v>
      </c>
      <c r="AB812" s="85">
        <v>43525</v>
      </c>
      <c r="AD812" s="84">
        <v>0</v>
      </c>
      <c r="AG812" s="84">
        <v>0</v>
      </c>
      <c r="AJ812" s="84">
        <v>0</v>
      </c>
      <c r="AN812" s="84" t="s">
        <v>338</v>
      </c>
      <c r="AY812" s="132">
        <f>ROUNDDOWN((0.96*U812),0)</f>
        <v>0</v>
      </c>
      <c r="AZ812" s="132">
        <f>ROUNDDOWN(AY812+(AY812*MASTER!$A$2/100),0)</f>
        <v>0</v>
      </c>
      <c r="BA812" s="84" t="s">
        <v>287</v>
      </c>
      <c r="BB812" s="88">
        <v>38000</v>
      </c>
      <c r="BC812" s="88">
        <v>41040</v>
      </c>
      <c r="BD812" s="84" t="s">
        <v>1268</v>
      </c>
      <c r="BG812" s="88">
        <v>0</v>
      </c>
      <c r="BK812" s="88">
        <v>0</v>
      </c>
      <c r="BS812" s="88">
        <v>0</v>
      </c>
      <c r="BV812" s="89">
        <v>0</v>
      </c>
      <c r="BW812" s="89">
        <v>41040</v>
      </c>
      <c r="BX812" s="89">
        <v>43557</v>
      </c>
      <c r="BY812" s="89">
        <v>-41040</v>
      </c>
      <c r="BZ812" s="112" t="s">
        <v>338</v>
      </c>
    </row>
    <row r="813" spans="1:89" x14ac:dyDescent="0.15">
      <c r="A813" s="84">
        <v>2</v>
      </c>
      <c r="B813" s="85">
        <v>43560</v>
      </c>
      <c r="C813" s="85">
        <v>43567</v>
      </c>
      <c r="F813" s="85" t="s">
        <v>338</v>
      </c>
      <c r="H813" s="85" t="s">
        <v>338</v>
      </c>
      <c r="J813" s="84">
        <v>3</v>
      </c>
      <c r="L813" s="84">
        <v>0</v>
      </c>
      <c r="M813" s="85">
        <v>43557</v>
      </c>
      <c r="N813" s="85" t="s">
        <v>265</v>
      </c>
      <c r="O813" s="86" t="s">
        <v>340</v>
      </c>
      <c r="P813" s="84" t="s">
        <v>6</v>
      </c>
      <c r="Q813" s="86" t="s">
        <v>138</v>
      </c>
      <c r="R813" s="86" t="s">
        <v>2506</v>
      </c>
      <c r="S813" s="87" t="s">
        <v>526</v>
      </c>
      <c r="T813" s="87" t="s">
        <v>2507</v>
      </c>
      <c r="U813" s="88">
        <v>9000</v>
      </c>
      <c r="V813" s="88">
        <v>9720</v>
      </c>
      <c r="W813" s="88">
        <v>0</v>
      </c>
      <c r="X813" s="88">
        <v>0</v>
      </c>
      <c r="Y813" s="88">
        <v>9000</v>
      </c>
      <c r="Z813" s="88">
        <v>9720</v>
      </c>
      <c r="AA813" s="85">
        <v>43556</v>
      </c>
      <c r="AD813" s="84">
        <v>0</v>
      </c>
      <c r="AG813" s="84">
        <v>0</v>
      </c>
      <c r="AJ813" s="84">
        <v>0</v>
      </c>
      <c r="AR813" s="85">
        <v>43558</v>
      </c>
      <c r="AS813" s="84">
        <v>6001663421</v>
      </c>
      <c r="AT813" s="85">
        <v>43558</v>
      </c>
      <c r="AU813" s="84" t="s">
        <v>2329</v>
      </c>
      <c r="AV813" s="85">
        <v>43567</v>
      </c>
      <c r="AW813" s="123">
        <v>43585</v>
      </c>
      <c r="AX813" s="123">
        <v>43605</v>
      </c>
      <c r="AY813" s="132">
        <v>8640</v>
      </c>
      <c r="AZ813" s="132">
        <f>ROUNDDOWN(AY813+(AY813*MASTER!$A$2/100),0)</f>
        <v>9331</v>
      </c>
      <c r="BC813" s="88">
        <v>0</v>
      </c>
      <c r="BG813" s="88">
        <v>0</v>
      </c>
      <c r="BK813" s="88">
        <v>0</v>
      </c>
      <c r="BS813" s="88">
        <v>0</v>
      </c>
      <c r="BV813" s="89">
        <v>0</v>
      </c>
      <c r="BW813" s="89">
        <v>0</v>
      </c>
      <c r="BX813" s="89">
        <v>43557</v>
      </c>
      <c r="BY813" s="89">
        <v>0</v>
      </c>
      <c r="BZ813" s="112" t="s">
        <v>338</v>
      </c>
    </row>
    <row r="814" spans="1:89" x14ac:dyDescent="0.15">
      <c r="A814" s="84">
        <v>2</v>
      </c>
      <c r="B814" s="85">
        <v>43571</v>
      </c>
      <c r="C814" s="85">
        <v>43568</v>
      </c>
      <c r="D814" s="85">
        <v>43593</v>
      </c>
      <c r="F814" s="85">
        <v>43575</v>
      </c>
      <c r="G814" s="85">
        <v>43570</v>
      </c>
      <c r="H814" s="85">
        <v>43571</v>
      </c>
      <c r="I814" s="84" t="s">
        <v>1191</v>
      </c>
      <c r="J814" s="84">
        <v>2</v>
      </c>
      <c r="L814" s="84">
        <v>0</v>
      </c>
      <c r="M814" s="85">
        <v>43557</v>
      </c>
      <c r="N814" s="85" t="s">
        <v>265</v>
      </c>
      <c r="O814" s="86" t="s">
        <v>340</v>
      </c>
      <c r="P814" s="84" t="s">
        <v>26</v>
      </c>
      <c r="Q814" s="86" t="s">
        <v>138</v>
      </c>
      <c r="R814" s="86" t="s">
        <v>2508</v>
      </c>
      <c r="S814" s="87" t="s">
        <v>2399</v>
      </c>
      <c r="T814" s="87" t="s">
        <v>1075</v>
      </c>
      <c r="U814" s="88">
        <v>81900</v>
      </c>
      <c r="V814" s="88">
        <v>88452</v>
      </c>
      <c r="W814" s="88">
        <v>81900</v>
      </c>
      <c r="X814" s="88">
        <v>88452</v>
      </c>
      <c r="Z814" s="88">
        <v>0</v>
      </c>
      <c r="AA814" s="85">
        <v>43567</v>
      </c>
      <c r="AB814" s="85">
        <v>43568</v>
      </c>
      <c r="AC814" s="85">
        <v>43568</v>
      </c>
      <c r="AD814" s="84">
        <v>0</v>
      </c>
      <c r="AG814" s="84">
        <v>0</v>
      </c>
      <c r="AJ814" s="84">
        <v>0</v>
      </c>
      <c r="AR814" s="85">
        <v>43565</v>
      </c>
      <c r="AS814" s="84">
        <v>6001665602</v>
      </c>
      <c r="AT814" s="85">
        <v>43570</v>
      </c>
      <c r="AU814" s="84" t="s">
        <v>2325</v>
      </c>
      <c r="AV814" s="85">
        <v>43568</v>
      </c>
      <c r="AW814" s="123">
        <v>43585</v>
      </c>
      <c r="AX814" s="123">
        <v>43605</v>
      </c>
      <c r="AY814" s="132">
        <v>78624</v>
      </c>
      <c r="AZ814" s="132">
        <f>ROUNDDOWN(AY814+(AY814*MASTER!$A$2/100),0)</f>
        <v>84913</v>
      </c>
      <c r="BA814" s="84" t="s">
        <v>287</v>
      </c>
      <c r="BB814" s="88">
        <v>55000</v>
      </c>
      <c r="BC814" s="88">
        <v>59400</v>
      </c>
      <c r="BD814" s="84" t="s">
        <v>1579</v>
      </c>
      <c r="BG814" s="88">
        <v>0</v>
      </c>
      <c r="BK814" s="88">
        <v>0</v>
      </c>
      <c r="BS814" s="88">
        <v>0</v>
      </c>
      <c r="BV814" s="89">
        <v>88452</v>
      </c>
      <c r="BW814" s="89">
        <v>59400</v>
      </c>
      <c r="BX814" s="89">
        <v>43557</v>
      </c>
      <c r="BY814" s="89">
        <v>29052</v>
      </c>
      <c r="BZ814" s="112">
        <v>32.844932844932842</v>
      </c>
    </row>
    <row r="815" spans="1:89" x14ac:dyDescent="0.15">
      <c r="A815" s="84">
        <v>2</v>
      </c>
      <c r="B815" s="85">
        <v>43602</v>
      </c>
      <c r="C815" s="85">
        <v>43607</v>
      </c>
      <c r="D815" s="85">
        <v>43631</v>
      </c>
      <c r="E815" s="85">
        <v>43610</v>
      </c>
      <c r="F815" s="85">
        <v>43614</v>
      </c>
      <c r="G815" s="85">
        <v>43606</v>
      </c>
      <c r="H815" s="85">
        <v>43610</v>
      </c>
      <c r="I815" s="84" t="s">
        <v>1191</v>
      </c>
      <c r="J815" s="84">
        <v>1</v>
      </c>
      <c r="L815" s="84">
        <v>0</v>
      </c>
      <c r="M815" s="85">
        <v>43558</v>
      </c>
      <c r="N815" s="85" t="s">
        <v>265</v>
      </c>
      <c r="O815" s="86" t="s">
        <v>340</v>
      </c>
      <c r="P815" s="84" t="s">
        <v>26</v>
      </c>
      <c r="Q815" s="86" t="s">
        <v>138</v>
      </c>
      <c r="R815" s="86" t="s">
        <v>2509</v>
      </c>
      <c r="S815" s="87" t="s">
        <v>1530</v>
      </c>
      <c r="T815" s="87" t="s">
        <v>1915</v>
      </c>
      <c r="U815" s="88">
        <v>185300</v>
      </c>
      <c r="V815" s="88">
        <v>200124</v>
      </c>
      <c r="W815" s="88">
        <v>165300</v>
      </c>
      <c r="X815" s="88">
        <v>178524</v>
      </c>
      <c r="Y815" s="88">
        <v>20000</v>
      </c>
      <c r="Z815" s="88">
        <v>21600</v>
      </c>
      <c r="AA815" s="85">
        <v>43604</v>
      </c>
      <c r="AB815" s="85">
        <v>43607</v>
      </c>
      <c r="AC815" s="85">
        <v>43607</v>
      </c>
      <c r="AD815" s="84">
        <v>0</v>
      </c>
      <c r="AG815" s="84">
        <v>0</v>
      </c>
      <c r="AJ815" s="84">
        <v>0</v>
      </c>
      <c r="AM815" s="84" t="s">
        <v>290</v>
      </c>
      <c r="AN815" s="84" t="s">
        <v>2510</v>
      </c>
      <c r="AR815" s="85">
        <v>43577</v>
      </c>
      <c r="AS815" s="84">
        <v>6001669162</v>
      </c>
      <c r="AT815" s="85">
        <v>43577</v>
      </c>
      <c r="AU815" s="84" t="s">
        <v>2421</v>
      </c>
      <c r="AV815" s="85">
        <v>43607</v>
      </c>
      <c r="AW815" s="123">
        <v>43616</v>
      </c>
      <c r="AX815" s="123">
        <v>43636</v>
      </c>
      <c r="AY815" s="132">
        <v>177888</v>
      </c>
      <c r="AZ815" s="132">
        <f>ROUNDDOWN(AY815+(AY815*MASTER!$A$2/100),0)</f>
        <v>192119</v>
      </c>
      <c r="BA815" s="84" t="s">
        <v>14</v>
      </c>
      <c r="BB815" s="88">
        <v>111200</v>
      </c>
      <c r="BC815" s="88">
        <v>120096</v>
      </c>
      <c r="BD815" s="84" t="s">
        <v>2466</v>
      </c>
      <c r="BG815" s="88">
        <v>0</v>
      </c>
      <c r="BI815" s="84" t="s">
        <v>434</v>
      </c>
      <c r="BJ815" s="88">
        <v>13000</v>
      </c>
      <c r="BK815" s="88">
        <v>14040</v>
      </c>
      <c r="BL815" s="84" t="s">
        <v>2466</v>
      </c>
      <c r="BS815" s="88">
        <v>0</v>
      </c>
      <c r="BV815" s="89">
        <v>178524</v>
      </c>
      <c r="BW815" s="89">
        <v>134136</v>
      </c>
      <c r="BX815" s="89">
        <v>43558</v>
      </c>
      <c r="BY815" s="89">
        <v>44388</v>
      </c>
      <c r="BZ815" s="112">
        <v>24.863883847549907</v>
      </c>
      <c r="CK815" s="88">
        <v>6300</v>
      </c>
    </row>
    <row r="816" spans="1:89" x14ac:dyDescent="0.15">
      <c r="A816" s="84">
        <v>2</v>
      </c>
      <c r="B816" s="85">
        <v>43564</v>
      </c>
      <c r="C816" s="85">
        <v>43574</v>
      </c>
      <c r="D816" s="85">
        <v>43581</v>
      </c>
      <c r="E816" s="85">
        <v>43575</v>
      </c>
      <c r="F816" s="85" t="s">
        <v>338</v>
      </c>
      <c r="G816" s="85">
        <v>43573</v>
      </c>
      <c r="H816" s="85" t="s">
        <v>338</v>
      </c>
      <c r="I816" s="84" t="s">
        <v>401</v>
      </c>
      <c r="J816" s="84">
        <v>1</v>
      </c>
      <c r="L816" s="84">
        <v>0</v>
      </c>
      <c r="M816" s="85">
        <v>43558</v>
      </c>
      <c r="N816" s="85" t="s">
        <v>265</v>
      </c>
      <c r="O816" s="86" t="s">
        <v>340</v>
      </c>
      <c r="P816" s="84" t="s">
        <v>26</v>
      </c>
      <c r="Q816" s="86" t="s">
        <v>138</v>
      </c>
      <c r="R816" s="86" t="s">
        <v>2511</v>
      </c>
      <c r="S816" s="87" t="s">
        <v>2512</v>
      </c>
      <c r="T816" s="87" t="s">
        <v>801</v>
      </c>
      <c r="U816" s="88">
        <v>88000</v>
      </c>
      <c r="V816" s="88">
        <v>95040</v>
      </c>
      <c r="W816" s="88">
        <v>74000</v>
      </c>
      <c r="X816" s="88">
        <v>79920</v>
      </c>
      <c r="Y816" s="88">
        <v>14000</v>
      </c>
      <c r="Z816" s="88">
        <v>15120</v>
      </c>
      <c r="AA816" s="85">
        <v>43571</v>
      </c>
      <c r="AB816" s="85">
        <v>43571</v>
      </c>
      <c r="AD816" s="84">
        <v>0</v>
      </c>
      <c r="AG816" s="84">
        <v>0</v>
      </c>
      <c r="AJ816" s="84">
        <v>0</v>
      </c>
      <c r="AN816" s="84" t="s">
        <v>338</v>
      </c>
      <c r="AR816" s="85">
        <v>43563</v>
      </c>
      <c r="AS816" s="84">
        <v>6001664890</v>
      </c>
      <c r="AT816" s="85">
        <v>43563</v>
      </c>
      <c r="AU816" s="84" t="s">
        <v>1692</v>
      </c>
      <c r="AV816" s="85">
        <v>43574</v>
      </c>
      <c r="AW816" s="123">
        <v>43585</v>
      </c>
      <c r="AX816" s="123">
        <v>43605</v>
      </c>
      <c r="AY816" s="132">
        <v>84480</v>
      </c>
      <c r="AZ816" s="132">
        <f>ROUNDDOWN(AY816+(AY816*MASTER!$A$2/100),0)</f>
        <v>91238</v>
      </c>
      <c r="BA816" s="84" t="s">
        <v>286</v>
      </c>
      <c r="BB816" s="88">
        <v>40000</v>
      </c>
      <c r="BC816" s="88">
        <v>43200</v>
      </c>
      <c r="BD816" s="84" t="s">
        <v>1579</v>
      </c>
      <c r="BG816" s="88">
        <v>0</v>
      </c>
      <c r="BI816" s="84" t="s">
        <v>276</v>
      </c>
      <c r="BJ816" s="88">
        <v>9100</v>
      </c>
      <c r="BK816" s="88">
        <v>9828</v>
      </c>
      <c r="BL816" s="84" t="s">
        <v>1659</v>
      </c>
      <c r="BS816" s="88">
        <v>0</v>
      </c>
      <c r="BV816" s="89">
        <v>79920</v>
      </c>
      <c r="BW816" s="89">
        <v>53028</v>
      </c>
      <c r="BX816" s="89">
        <v>43558</v>
      </c>
      <c r="BY816" s="89">
        <v>26892</v>
      </c>
      <c r="BZ816" s="112">
        <v>33.648648648648646</v>
      </c>
      <c r="CK816" s="88">
        <v>0</v>
      </c>
    </row>
    <row r="817" spans="1:89" x14ac:dyDescent="0.15">
      <c r="A817" s="84">
        <v>2</v>
      </c>
      <c r="B817" s="85">
        <v>43571</v>
      </c>
      <c r="C817" s="85">
        <v>43575</v>
      </c>
      <c r="D817" s="85">
        <v>43593</v>
      </c>
      <c r="E817" s="85">
        <v>43579</v>
      </c>
      <c r="F817" s="85" t="s">
        <v>338</v>
      </c>
      <c r="G817" s="85">
        <v>43577</v>
      </c>
      <c r="H817" s="85" t="s">
        <v>338</v>
      </c>
      <c r="I817" s="84" t="s">
        <v>1191</v>
      </c>
      <c r="J817" s="84">
        <v>1</v>
      </c>
      <c r="L817" s="84">
        <v>0</v>
      </c>
      <c r="M817" s="85">
        <v>43558</v>
      </c>
      <c r="N817" s="85" t="s">
        <v>265</v>
      </c>
      <c r="O817" s="86" t="s">
        <v>340</v>
      </c>
      <c r="P817" s="84" t="s">
        <v>26</v>
      </c>
      <c r="Q817" s="86" t="s">
        <v>138</v>
      </c>
      <c r="R817" s="86" t="s">
        <v>2513</v>
      </c>
      <c r="S817" s="87" t="s">
        <v>571</v>
      </c>
      <c r="T817" s="87" t="s">
        <v>801</v>
      </c>
      <c r="U817" s="88">
        <v>142250</v>
      </c>
      <c r="V817" s="88">
        <v>153630</v>
      </c>
      <c r="W817" s="88">
        <v>128250</v>
      </c>
      <c r="X817" s="88">
        <v>138510</v>
      </c>
      <c r="Y817" s="88">
        <v>14000</v>
      </c>
      <c r="Z817" s="88">
        <v>15120</v>
      </c>
      <c r="AA817" s="85">
        <v>43572</v>
      </c>
      <c r="AB817" s="85">
        <v>43574</v>
      </c>
      <c r="AD817" s="84">
        <v>0</v>
      </c>
      <c r="AG817" s="84">
        <v>0</v>
      </c>
      <c r="AJ817" s="84">
        <v>0</v>
      </c>
      <c r="AN817" s="84" t="s">
        <v>338</v>
      </c>
      <c r="AR817" s="85">
        <v>43565</v>
      </c>
      <c r="AS817" s="84">
        <v>6001665602</v>
      </c>
      <c r="AT817" s="85">
        <v>43570</v>
      </c>
      <c r="AU817" s="84" t="s">
        <v>2325</v>
      </c>
      <c r="AV817" s="85">
        <v>43575</v>
      </c>
      <c r="AW817" s="123">
        <v>43585</v>
      </c>
      <c r="AX817" s="123">
        <v>43605</v>
      </c>
      <c r="AY817" s="132">
        <v>136560</v>
      </c>
      <c r="AZ817" s="132">
        <f>ROUNDDOWN(AY817+(AY817*MASTER!$A$2/100),0)</f>
        <v>147484</v>
      </c>
      <c r="BA817" s="84" t="s">
        <v>287</v>
      </c>
      <c r="BB817" s="88">
        <v>58000</v>
      </c>
      <c r="BC817" s="88">
        <v>62640</v>
      </c>
      <c r="BD817" s="84" t="s">
        <v>1579</v>
      </c>
      <c r="BG817" s="88">
        <v>0</v>
      </c>
      <c r="BI817" s="84" t="s">
        <v>434</v>
      </c>
      <c r="BJ817" s="88">
        <v>9100</v>
      </c>
      <c r="BK817" s="88">
        <v>9828</v>
      </c>
      <c r="BL817" s="84" t="s">
        <v>1579</v>
      </c>
      <c r="BS817" s="88">
        <v>0</v>
      </c>
      <c r="BV817" s="89">
        <v>138510</v>
      </c>
      <c r="BW817" s="89">
        <v>72468</v>
      </c>
      <c r="BX817" s="89">
        <v>43558</v>
      </c>
      <c r="BY817" s="89">
        <v>66042</v>
      </c>
      <c r="BZ817" s="112">
        <v>47.680311890838205</v>
      </c>
      <c r="CK817" s="88">
        <v>0</v>
      </c>
    </row>
    <row r="818" spans="1:89" x14ac:dyDescent="0.15">
      <c r="A818" s="84">
        <v>2</v>
      </c>
      <c r="B818" s="85">
        <v>43579</v>
      </c>
      <c r="C818" s="85">
        <v>43595</v>
      </c>
      <c r="D818" s="85" t="s">
        <v>374</v>
      </c>
      <c r="E818" s="85">
        <v>43631</v>
      </c>
      <c r="F818" s="85">
        <v>43602</v>
      </c>
      <c r="G818" s="85">
        <v>43592</v>
      </c>
      <c r="H818" s="85">
        <v>43598</v>
      </c>
      <c r="I818" s="84" t="s">
        <v>401</v>
      </c>
      <c r="J818" s="84">
        <v>1</v>
      </c>
      <c r="L818" s="84">
        <v>0</v>
      </c>
      <c r="M818" s="85">
        <v>43558</v>
      </c>
      <c r="N818" s="85" t="s">
        <v>265</v>
      </c>
      <c r="O818" s="86" t="s">
        <v>340</v>
      </c>
      <c r="P818" s="84" t="s">
        <v>26</v>
      </c>
      <c r="Q818" s="86" t="s">
        <v>138</v>
      </c>
      <c r="R818" s="86" t="s">
        <v>2514</v>
      </c>
      <c r="S818" s="87" t="s">
        <v>2515</v>
      </c>
      <c r="T818" s="87" t="s">
        <v>2516</v>
      </c>
      <c r="U818" s="88">
        <v>23900</v>
      </c>
      <c r="V818" s="88">
        <v>25812</v>
      </c>
      <c r="W818" s="88">
        <v>14700</v>
      </c>
      <c r="X818" s="88">
        <v>15876</v>
      </c>
      <c r="Y818" s="88">
        <v>9200</v>
      </c>
      <c r="Z818" s="88">
        <v>9936</v>
      </c>
      <c r="AA818" s="85">
        <v>43593</v>
      </c>
      <c r="AB818" s="85">
        <v>43595</v>
      </c>
      <c r="AC818" s="85">
        <v>43595</v>
      </c>
      <c r="AD818" s="84">
        <v>0</v>
      </c>
      <c r="AG818" s="84">
        <v>0</v>
      </c>
      <c r="AJ818" s="84">
        <v>0</v>
      </c>
      <c r="AM818" s="84" t="s">
        <v>290</v>
      </c>
      <c r="AN818" s="84" t="s">
        <v>2517</v>
      </c>
      <c r="AR818" s="85">
        <v>43577</v>
      </c>
      <c r="AS818" s="84">
        <v>6001669320</v>
      </c>
      <c r="AT818" s="85">
        <v>43578</v>
      </c>
      <c r="AU818" s="84" t="s">
        <v>2518</v>
      </c>
      <c r="AV818" s="85">
        <v>43595</v>
      </c>
      <c r="AW818" s="123">
        <v>43585</v>
      </c>
      <c r="AX818" s="123">
        <v>43605</v>
      </c>
      <c r="AY818" s="132">
        <v>22944</v>
      </c>
      <c r="AZ818" s="132">
        <f>ROUNDDOWN(AY818+(AY818*MASTER!$A$2/100),0)</f>
        <v>24779</v>
      </c>
      <c r="BA818" s="84" t="s">
        <v>778</v>
      </c>
      <c r="BC818" s="88">
        <v>0</v>
      </c>
      <c r="BG818" s="88">
        <v>0</v>
      </c>
      <c r="BI818" s="84" t="s">
        <v>434</v>
      </c>
      <c r="BJ818" s="88">
        <v>5980</v>
      </c>
      <c r="BK818" s="88">
        <v>6458.4</v>
      </c>
      <c r="BL818" s="84" t="s">
        <v>2197</v>
      </c>
      <c r="BS818" s="88">
        <v>0</v>
      </c>
      <c r="BV818" s="89">
        <v>15876</v>
      </c>
      <c r="BW818" s="89">
        <v>6458.4</v>
      </c>
      <c r="BX818" s="89">
        <v>43558</v>
      </c>
      <c r="BY818" s="89">
        <v>9417.6</v>
      </c>
      <c r="BZ818" s="112">
        <v>59.319727891156461</v>
      </c>
      <c r="CK818" s="88">
        <v>0</v>
      </c>
    </row>
    <row r="819" spans="1:89" s="151" customFormat="1" x14ac:dyDescent="0.15">
      <c r="A819" s="141">
        <v>3</v>
      </c>
      <c r="B819" s="142"/>
      <c r="C819" s="142" t="s">
        <v>338</v>
      </c>
      <c r="D819" s="142"/>
      <c r="E819" s="142"/>
      <c r="F819" s="142" t="s">
        <v>338</v>
      </c>
      <c r="G819" s="142"/>
      <c r="H819" s="142" t="s">
        <v>338</v>
      </c>
      <c r="I819" s="141"/>
      <c r="J819" s="141">
        <v>1</v>
      </c>
      <c r="K819" s="142"/>
      <c r="L819" s="141">
        <v>0</v>
      </c>
      <c r="M819" s="142">
        <v>43558</v>
      </c>
      <c r="N819" s="142" t="s">
        <v>265</v>
      </c>
      <c r="O819" s="143" t="s">
        <v>340</v>
      </c>
      <c r="P819" s="141" t="s">
        <v>26</v>
      </c>
      <c r="Q819" s="143" t="s">
        <v>138</v>
      </c>
      <c r="R819" s="143" t="s">
        <v>2519</v>
      </c>
      <c r="S819" s="144" t="s">
        <v>2520</v>
      </c>
      <c r="T819" s="144" t="s">
        <v>721</v>
      </c>
      <c r="U819" s="145">
        <v>23900</v>
      </c>
      <c r="V819" s="145">
        <v>25812</v>
      </c>
      <c r="W819" s="145">
        <v>14700</v>
      </c>
      <c r="X819" s="145">
        <v>15876</v>
      </c>
      <c r="Y819" s="145">
        <v>9200</v>
      </c>
      <c r="Z819" s="145">
        <v>9936</v>
      </c>
      <c r="AA819" s="142">
        <v>43607</v>
      </c>
      <c r="AB819" s="142">
        <v>43609</v>
      </c>
      <c r="AC819" s="142"/>
      <c r="AD819" s="141">
        <v>0</v>
      </c>
      <c r="AE819" s="141"/>
      <c r="AF819" s="141"/>
      <c r="AG819" s="141">
        <v>0</v>
      </c>
      <c r="AH819" s="141"/>
      <c r="AI819" s="141"/>
      <c r="AJ819" s="141">
        <v>0</v>
      </c>
      <c r="AK819" s="141"/>
      <c r="AL819" s="141"/>
      <c r="AM819" s="141" t="s">
        <v>290</v>
      </c>
      <c r="AN819" s="141" t="s">
        <v>2521</v>
      </c>
      <c r="AO819" s="142"/>
      <c r="AP819" s="141"/>
      <c r="AQ819" s="141"/>
      <c r="AR819" s="142"/>
      <c r="AS819" s="141"/>
      <c r="AT819" s="142"/>
      <c r="AU819" s="141"/>
      <c r="AV819" s="142"/>
      <c r="AW819" s="146"/>
      <c r="AX819" s="146"/>
      <c r="AY819" s="147">
        <v>22944</v>
      </c>
      <c r="AZ819" s="132">
        <f>ROUNDDOWN(AY819+(AY819*MASTER!$A$2/100),0)</f>
        <v>24779</v>
      </c>
      <c r="BA819" s="141"/>
      <c r="BB819" s="145"/>
      <c r="BC819" s="145">
        <v>0</v>
      </c>
      <c r="BD819" s="141"/>
      <c r="BE819" s="141"/>
      <c r="BF819" s="145"/>
      <c r="BG819" s="145">
        <v>0</v>
      </c>
      <c r="BH819" s="141"/>
      <c r="BI819" s="141"/>
      <c r="BJ819" s="145"/>
      <c r="BK819" s="145">
        <v>0</v>
      </c>
      <c r="BL819" s="141"/>
      <c r="BM819" s="145"/>
      <c r="BN819" s="145"/>
      <c r="BO819" s="145"/>
      <c r="BP819" s="145"/>
      <c r="BQ819" s="145"/>
      <c r="BR819" s="145"/>
      <c r="BS819" s="145">
        <v>0</v>
      </c>
      <c r="BT819" s="148"/>
      <c r="BU819" s="148"/>
      <c r="BV819" s="149">
        <v>15876</v>
      </c>
      <c r="BW819" s="149">
        <v>0</v>
      </c>
      <c r="BX819" s="149">
        <v>43558</v>
      </c>
      <c r="BY819" s="149">
        <v>15876</v>
      </c>
      <c r="BZ819" s="150">
        <v>100</v>
      </c>
      <c r="CA819" s="141"/>
      <c r="CB819" s="141"/>
      <c r="CC819" s="141"/>
      <c r="CD819" s="144" t="s">
        <v>2522</v>
      </c>
      <c r="CE819" s="142"/>
      <c r="CF819" s="142"/>
      <c r="CG819" s="142"/>
      <c r="CH819" s="142"/>
      <c r="CI819" s="142"/>
      <c r="CJ819" s="142"/>
      <c r="CK819" s="145">
        <v>0</v>
      </c>
    </row>
    <row r="820" spans="1:89" s="151" customFormat="1" x14ac:dyDescent="0.15">
      <c r="A820" s="141">
        <v>3</v>
      </c>
      <c r="B820" s="142"/>
      <c r="C820" s="142" t="s">
        <v>338</v>
      </c>
      <c r="D820" s="142"/>
      <c r="E820" s="142"/>
      <c r="F820" s="142" t="s">
        <v>338</v>
      </c>
      <c r="G820" s="142"/>
      <c r="H820" s="142" t="s">
        <v>338</v>
      </c>
      <c r="I820" s="141"/>
      <c r="J820" s="141">
        <v>1</v>
      </c>
      <c r="K820" s="142"/>
      <c r="L820" s="141">
        <v>0</v>
      </c>
      <c r="M820" s="142">
        <v>43558</v>
      </c>
      <c r="N820" s="142" t="s">
        <v>265</v>
      </c>
      <c r="O820" s="143" t="s">
        <v>340</v>
      </c>
      <c r="P820" s="141" t="s">
        <v>26</v>
      </c>
      <c r="Q820" s="143" t="s">
        <v>138</v>
      </c>
      <c r="R820" s="143" t="s">
        <v>2523</v>
      </c>
      <c r="S820" s="144" t="s">
        <v>2524</v>
      </c>
      <c r="T820" s="144" t="s">
        <v>794</v>
      </c>
      <c r="U820" s="145">
        <v>23900</v>
      </c>
      <c r="V820" s="145">
        <v>25812</v>
      </c>
      <c r="W820" s="145">
        <v>14700</v>
      </c>
      <c r="X820" s="145">
        <v>15876</v>
      </c>
      <c r="Y820" s="145">
        <v>9200</v>
      </c>
      <c r="Z820" s="145">
        <v>9936</v>
      </c>
      <c r="AA820" s="142"/>
      <c r="AB820" s="142"/>
      <c r="AC820" s="142"/>
      <c r="AD820" s="141">
        <v>0</v>
      </c>
      <c r="AE820" s="141"/>
      <c r="AF820" s="141"/>
      <c r="AG820" s="141">
        <v>0</v>
      </c>
      <c r="AH820" s="141"/>
      <c r="AI820" s="141"/>
      <c r="AJ820" s="141">
        <v>0</v>
      </c>
      <c r="AK820" s="141"/>
      <c r="AL820" s="141"/>
      <c r="AM820" s="141" t="s">
        <v>290</v>
      </c>
      <c r="AN820" s="141" t="s">
        <v>2525</v>
      </c>
      <c r="AO820" s="142"/>
      <c r="AP820" s="141"/>
      <c r="AQ820" s="141"/>
      <c r="AR820" s="142"/>
      <c r="AS820" s="141"/>
      <c r="AT820" s="142"/>
      <c r="AU820" s="141"/>
      <c r="AV820" s="142"/>
      <c r="AW820" s="146"/>
      <c r="AX820" s="146"/>
      <c r="AY820" s="147">
        <v>22944</v>
      </c>
      <c r="AZ820" s="132">
        <f>ROUNDDOWN(AY820+(AY820*MASTER!$A$2/100),0)</f>
        <v>24779</v>
      </c>
      <c r="BA820" s="141"/>
      <c r="BB820" s="145"/>
      <c r="BC820" s="145">
        <v>0</v>
      </c>
      <c r="BD820" s="141"/>
      <c r="BE820" s="141"/>
      <c r="BF820" s="145"/>
      <c r="BG820" s="145">
        <v>0</v>
      </c>
      <c r="BH820" s="141"/>
      <c r="BI820" s="141"/>
      <c r="BJ820" s="145"/>
      <c r="BK820" s="145">
        <v>0</v>
      </c>
      <c r="BL820" s="141"/>
      <c r="BM820" s="145"/>
      <c r="BN820" s="145"/>
      <c r="BO820" s="145"/>
      <c r="BP820" s="145"/>
      <c r="BQ820" s="145"/>
      <c r="BR820" s="145"/>
      <c r="BS820" s="145">
        <v>0</v>
      </c>
      <c r="BT820" s="148"/>
      <c r="BU820" s="148"/>
      <c r="BV820" s="149">
        <v>15876</v>
      </c>
      <c r="BW820" s="149">
        <v>0</v>
      </c>
      <c r="BX820" s="149">
        <v>43558</v>
      </c>
      <c r="BY820" s="149">
        <v>15876</v>
      </c>
      <c r="BZ820" s="150">
        <v>100</v>
      </c>
      <c r="CA820" s="141"/>
      <c r="CB820" s="141"/>
      <c r="CC820" s="141"/>
      <c r="CD820" s="144" t="s">
        <v>2526</v>
      </c>
      <c r="CE820" s="142"/>
      <c r="CF820" s="142"/>
      <c r="CG820" s="142"/>
      <c r="CH820" s="142"/>
      <c r="CI820" s="142"/>
      <c r="CJ820" s="142"/>
      <c r="CK820" s="145">
        <v>0</v>
      </c>
    </row>
    <row r="821" spans="1:89" s="151" customFormat="1" x14ac:dyDescent="0.15">
      <c r="A821" s="141">
        <v>3</v>
      </c>
      <c r="B821" s="142"/>
      <c r="C821" s="142" t="s">
        <v>338</v>
      </c>
      <c r="D821" s="142"/>
      <c r="E821" s="142"/>
      <c r="F821" s="142" t="s">
        <v>338</v>
      </c>
      <c r="G821" s="142"/>
      <c r="H821" s="142" t="s">
        <v>338</v>
      </c>
      <c r="I821" s="141"/>
      <c r="J821" s="141">
        <v>1</v>
      </c>
      <c r="K821" s="142"/>
      <c r="L821" s="141">
        <v>0</v>
      </c>
      <c r="M821" s="142">
        <v>43558</v>
      </c>
      <c r="N821" s="142" t="s">
        <v>265</v>
      </c>
      <c r="O821" s="143" t="s">
        <v>340</v>
      </c>
      <c r="P821" s="141" t="s">
        <v>26</v>
      </c>
      <c r="Q821" s="143" t="s">
        <v>138</v>
      </c>
      <c r="R821" s="143" t="s">
        <v>2527</v>
      </c>
      <c r="S821" s="144" t="s">
        <v>2528</v>
      </c>
      <c r="T821" s="144" t="s">
        <v>2529</v>
      </c>
      <c r="U821" s="145">
        <v>23900</v>
      </c>
      <c r="V821" s="145">
        <v>25812</v>
      </c>
      <c r="W821" s="145">
        <v>14700</v>
      </c>
      <c r="X821" s="145">
        <v>15876</v>
      </c>
      <c r="Y821" s="145">
        <v>9200</v>
      </c>
      <c r="Z821" s="145">
        <v>9936</v>
      </c>
      <c r="AA821" s="142">
        <v>43607</v>
      </c>
      <c r="AB821" s="142">
        <v>43609</v>
      </c>
      <c r="AC821" s="142"/>
      <c r="AD821" s="141">
        <v>0</v>
      </c>
      <c r="AE821" s="141"/>
      <c r="AF821" s="141"/>
      <c r="AG821" s="141">
        <v>0</v>
      </c>
      <c r="AH821" s="141"/>
      <c r="AI821" s="141"/>
      <c r="AJ821" s="141">
        <v>0</v>
      </c>
      <c r="AK821" s="141"/>
      <c r="AL821" s="141"/>
      <c r="AM821" s="141" t="s">
        <v>290</v>
      </c>
      <c r="AN821" s="141" t="s">
        <v>2530</v>
      </c>
      <c r="AO821" s="142"/>
      <c r="AP821" s="141"/>
      <c r="AQ821" s="141"/>
      <c r="AR821" s="142"/>
      <c r="AS821" s="141"/>
      <c r="AT821" s="142"/>
      <c r="AU821" s="141"/>
      <c r="AV821" s="142"/>
      <c r="AW821" s="146"/>
      <c r="AX821" s="146"/>
      <c r="AY821" s="147">
        <v>22944</v>
      </c>
      <c r="AZ821" s="132">
        <f>ROUNDDOWN(AY821+(AY821*MASTER!$A$2/100),0)</f>
        <v>24779</v>
      </c>
      <c r="BA821" s="141"/>
      <c r="BB821" s="145"/>
      <c r="BC821" s="145">
        <v>0</v>
      </c>
      <c r="BD821" s="141"/>
      <c r="BE821" s="141"/>
      <c r="BF821" s="145"/>
      <c r="BG821" s="145">
        <v>0</v>
      </c>
      <c r="BH821" s="141"/>
      <c r="BI821" s="141"/>
      <c r="BJ821" s="145"/>
      <c r="BK821" s="145">
        <v>0</v>
      </c>
      <c r="BL821" s="141"/>
      <c r="BM821" s="145"/>
      <c r="BN821" s="145"/>
      <c r="BO821" s="145"/>
      <c r="BP821" s="145"/>
      <c r="BQ821" s="145"/>
      <c r="BR821" s="145"/>
      <c r="BS821" s="145">
        <v>0</v>
      </c>
      <c r="BT821" s="148"/>
      <c r="BU821" s="148"/>
      <c r="BV821" s="149">
        <v>15876</v>
      </c>
      <c r="BW821" s="149">
        <v>0</v>
      </c>
      <c r="BX821" s="149">
        <v>43558</v>
      </c>
      <c r="BY821" s="149">
        <v>15876</v>
      </c>
      <c r="BZ821" s="150">
        <v>100</v>
      </c>
      <c r="CA821" s="141"/>
      <c r="CB821" s="141"/>
      <c r="CC821" s="141"/>
      <c r="CD821" s="144" t="s">
        <v>2531</v>
      </c>
      <c r="CE821" s="142"/>
      <c r="CF821" s="142"/>
      <c r="CG821" s="142"/>
      <c r="CH821" s="142"/>
      <c r="CI821" s="142"/>
      <c r="CJ821" s="142"/>
      <c r="CK821" s="145">
        <v>0</v>
      </c>
    </row>
    <row r="822" spans="1:89" x14ac:dyDescent="0.15">
      <c r="A822" s="84">
        <v>1</v>
      </c>
      <c r="B822" s="85">
        <v>43564</v>
      </c>
      <c r="C822" s="85">
        <v>43580</v>
      </c>
      <c r="F822" s="85" t="s">
        <v>338</v>
      </c>
      <c r="H822" s="85" t="s">
        <v>338</v>
      </c>
      <c r="J822" s="84">
        <v>2</v>
      </c>
      <c r="L822" s="84">
        <v>0</v>
      </c>
      <c r="M822" s="85">
        <v>43558</v>
      </c>
      <c r="N822" s="85" t="s">
        <v>265</v>
      </c>
      <c r="O822" s="86" t="s">
        <v>340</v>
      </c>
      <c r="P822" s="84" t="s">
        <v>272</v>
      </c>
      <c r="Q822" s="86" t="s">
        <v>138</v>
      </c>
      <c r="R822" s="86" t="s">
        <v>2532</v>
      </c>
      <c r="S822" s="87" t="s">
        <v>351</v>
      </c>
      <c r="T822" s="87" t="s">
        <v>2533</v>
      </c>
      <c r="U822" s="88">
        <v>35000</v>
      </c>
      <c r="V822" s="88">
        <v>37800</v>
      </c>
      <c r="W822" s="88">
        <v>35000</v>
      </c>
      <c r="X822" s="88">
        <v>37800</v>
      </c>
      <c r="Z822" s="88">
        <v>0</v>
      </c>
      <c r="AA822" s="85" t="s">
        <v>2197</v>
      </c>
      <c r="AD822" s="84">
        <v>0</v>
      </c>
      <c r="AG822" s="84">
        <v>0</v>
      </c>
      <c r="AJ822" s="84">
        <v>0</v>
      </c>
      <c r="AR822" s="85">
        <v>43563</v>
      </c>
      <c r="AS822" s="84">
        <v>6001664892</v>
      </c>
      <c r="AT822" s="85">
        <v>43563</v>
      </c>
      <c r="AU822" s="84" t="s">
        <v>2448</v>
      </c>
      <c r="AV822" s="85">
        <v>43580</v>
      </c>
      <c r="AW822" s="123">
        <v>43585</v>
      </c>
      <c r="AX822" s="123">
        <v>43605</v>
      </c>
      <c r="AY822" s="132">
        <v>33600</v>
      </c>
      <c r="AZ822" s="132">
        <f>ROUNDDOWN(AY822+(AY822*MASTER!$A$2/100),0)</f>
        <v>36288</v>
      </c>
      <c r="BC822" s="88">
        <v>0</v>
      </c>
      <c r="BG822" s="88">
        <v>0</v>
      </c>
      <c r="BK822" s="88">
        <v>0</v>
      </c>
      <c r="BS822" s="88">
        <v>0</v>
      </c>
      <c r="BV822" s="89">
        <v>37800</v>
      </c>
      <c r="BW822" s="89">
        <v>0</v>
      </c>
      <c r="BX822" s="89">
        <v>43558</v>
      </c>
      <c r="BY822" s="89">
        <v>37800</v>
      </c>
      <c r="BZ822" s="112">
        <v>100</v>
      </c>
    </row>
    <row r="823" spans="1:89" x14ac:dyDescent="0.15">
      <c r="A823" s="84">
        <v>2</v>
      </c>
      <c r="B823" s="85">
        <v>43581</v>
      </c>
      <c r="C823" s="85">
        <v>43595</v>
      </c>
      <c r="D823" s="85">
        <v>43622</v>
      </c>
      <c r="E823" s="85">
        <v>43605</v>
      </c>
      <c r="F823" s="85">
        <v>43602</v>
      </c>
      <c r="G823" s="85">
        <v>43595</v>
      </c>
      <c r="H823" s="85">
        <v>43598</v>
      </c>
      <c r="I823" s="84" t="s">
        <v>1191</v>
      </c>
      <c r="J823" s="84">
        <v>1</v>
      </c>
      <c r="L823" s="84">
        <v>0</v>
      </c>
      <c r="M823" s="85">
        <v>43560</v>
      </c>
      <c r="N823" s="85" t="s">
        <v>265</v>
      </c>
      <c r="O823" s="86" t="s">
        <v>340</v>
      </c>
      <c r="P823" s="84" t="s">
        <v>26</v>
      </c>
      <c r="Q823" s="86" t="s">
        <v>138</v>
      </c>
      <c r="R823" s="86" t="s">
        <v>2534</v>
      </c>
      <c r="S823" s="87" t="s">
        <v>2535</v>
      </c>
      <c r="T823" s="87" t="s">
        <v>1932</v>
      </c>
      <c r="U823" s="88">
        <v>50000</v>
      </c>
      <c r="V823" s="88">
        <v>54000</v>
      </c>
      <c r="W823" s="88">
        <v>47000</v>
      </c>
      <c r="X823" s="88">
        <v>50760</v>
      </c>
      <c r="Y823" s="88">
        <v>3000</v>
      </c>
      <c r="Z823" s="88">
        <v>3240</v>
      </c>
      <c r="AA823" s="85">
        <v>43593</v>
      </c>
      <c r="AB823" s="85">
        <v>43595</v>
      </c>
      <c r="AC823" s="85">
        <v>43595</v>
      </c>
      <c r="AD823" s="84">
        <v>0</v>
      </c>
      <c r="AG823" s="84">
        <v>0</v>
      </c>
      <c r="AJ823" s="84">
        <v>0</v>
      </c>
      <c r="AM823" s="84" t="s">
        <v>290</v>
      </c>
      <c r="AN823" s="84" t="s">
        <v>2536</v>
      </c>
      <c r="AR823" s="85">
        <v>43571</v>
      </c>
      <c r="AS823" s="84">
        <v>6001667194</v>
      </c>
      <c r="AT823" s="85">
        <v>43571</v>
      </c>
      <c r="AU823" s="84" t="s">
        <v>2502</v>
      </c>
      <c r="AV823" s="85">
        <v>43595</v>
      </c>
      <c r="AW823" s="123">
        <v>43616</v>
      </c>
      <c r="AX823" s="123">
        <v>43636</v>
      </c>
      <c r="AY823" s="132">
        <v>48000</v>
      </c>
      <c r="AZ823" s="132">
        <f>ROUNDDOWN(AY823+(AY823*MASTER!$A$2/100),0)</f>
        <v>51840</v>
      </c>
      <c r="BA823" s="84" t="s">
        <v>287</v>
      </c>
      <c r="BB823" s="88">
        <v>33000</v>
      </c>
      <c r="BC823" s="88">
        <v>35640</v>
      </c>
      <c r="BD823" s="84" t="s">
        <v>2197</v>
      </c>
      <c r="BG823" s="88">
        <v>0</v>
      </c>
      <c r="BI823" s="84" t="s">
        <v>434</v>
      </c>
      <c r="BJ823" s="88">
        <v>1950</v>
      </c>
      <c r="BK823" s="88">
        <v>2106</v>
      </c>
      <c r="BL823" s="84" t="s">
        <v>2197</v>
      </c>
      <c r="BS823" s="88">
        <v>0</v>
      </c>
      <c r="BV823" s="89">
        <v>50760</v>
      </c>
      <c r="BW823" s="89">
        <v>37746</v>
      </c>
      <c r="BX823" s="89">
        <v>43560</v>
      </c>
      <c r="BY823" s="89">
        <v>13014</v>
      </c>
      <c r="BZ823" s="112">
        <v>25.638297872340427</v>
      </c>
      <c r="CK823" s="88">
        <v>0</v>
      </c>
    </row>
    <row r="824" spans="1:89" x14ac:dyDescent="0.15">
      <c r="A824" s="84">
        <v>1</v>
      </c>
      <c r="B824" s="85">
        <v>43571</v>
      </c>
      <c r="C824" s="85">
        <v>43573</v>
      </c>
      <c r="F824" s="85" t="s">
        <v>338</v>
      </c>
      <c r="H824" s="85" t="s">
        <v>338</v>
      </c>
      <c r="J824" s="84">
        <v>2</v>
      </c>
      <c r="L824" s="84">
        <v>0</v>
      </c>
      <c r="M824" s="85">
        <v>43560</v>
      </c>
      <c r="N824" s="85" t="s">
        <v>265</v>
      </c>
      <c r="O824" s="86" t="s">
        <v>340</v>
      </c>
      <c r="P824" s="84" t="s">
        <v>26</v>
      </c>
      <c r="Q824" s="86" t="s">
        <v>138</v>
      </c>
      <c r="R824" s="86" t="s">
        <v>2537</v>
      </c>
      <c r="S824" s="87" t="s">
        <v>351</v>
      </c>
      <c r="T824" s="87" t="s">
        <v>2538</v>
      </c>
      <c r="U824" s="88">
        <v>72000</v>
      </c>
      <c r="V824" s="88">
        <v>77760</v>
      </c>
      <c r="W824" s="88">
        <v>72000</v>
      </c>
      <c r="X824" s="88">
        <v>77760</v>
      </c>
      <c r="Z824" s="88">
        <v>0</v>
      </c>
      <c r="AA824" s="85">
        <v>43565</v>
      </c>
      <c r="AB824" s="85">
        <v>43567</v>
      </c>
      <c r="AD824" s="84">
        <v>0</v>
      </c>
      <c r="AG824" s="84">
        <v>0</v>
      </c>
      <c r="AJ824" s="84">
        <v>0</v>
      </c>
      <c r="AR824" s="85">
        <v>43570</v>
      </c>
      <c r="AS824" s="84">
        <v>6001666610</v>
      </c>
      <c r="AT824" s="85">
        <v>43570</v>
      </c>
      <c r="AU824" s="84" t="s">
        <v>2539</v>
      </c>
      <c r="AV824" s="85">
        <v>43573</v>
      </c>
      <c r="AW824" s="123">
        <v>43585</v>
      </c>
      <c r="AX824" s="123">
        <v>43605</v>
      </c>
      <c r="AY824" s="132">
        <v>69120</v>
      </c>
      <c r="AZ824" s="132">
        <f>ROUNDDOWN(AY824+(AY824*MASTER!$A$2/100),0)</f>
        <v>74649</v>
      </c>
      <c r="BC824" s="88">
        <v>0</v>
      </c>
      <c r="BG824" s="88">
        <v>0</v>
      </c>
      <c r="BK824" s="88">
        <v>0</v>
      </c>
      <c r="BS824" s="88">
        <v>0</v>
      </c>
      <c r="BV824" s="89">
        <v>77760</v>
      </c>
      <c r="BW824" s="89">
        <v>0</v>
      </c>
      <c r="BX824" s="89">
        <v>43560</v>
      </c>
      <c r="BY824" s="89">
        <v>77760</v>
      </c>
      <c r="BZ824" s="112">
        <v>100</v>
      </c>
    </row>
    <row r="825" spans="1:89" x14ac:dyDescent="0.15">
      <c r="A825" s="84">
        <v>1</v>
      </c>
      <c r="B825" s="85">
        <v>43567</v>
      </c>
      <c r="C825" s="85">
        <v>43574</v>
      </c>
      <c r="F825" s="85" t="s">
        <v>338</v>
      </c>
      <c r="H825" s="85" t="s">
        <v>338</v>
      </c>
      <c r="J825" s="84">
        <v>2</v>
      </c>
      <c r="L825" s="84">
        <v>0</v>
      </c>
      <c r="M825" s="85">
        <v>43560</v>
      </c>
      <c r="N825" s="85" t="s">
        <v>265</v>
      </c>
      <c r="O825" s="86" t="s">
        <v>340</v>
      </c>
      <c r="P825" s="84" t="s">
        <v>269</v>
      </c>
      <c r="Q825" s="86" t="s">
        <v>138</v>
      </c>
      <c r="R825" s="86" t="s">
        <v>2540</v>
      </c>
      <c r="S825" s="87" t="s">
        <v>377</v>
      </c>
      <c r="T825" s="87" t="s">
        <v>2541</v>
      </c>
      <c r="U825" s="88">
        <v>66000</v>
      </c>
      <c r="V825" s="88">
        <v>71280</v>
      </c>
      <c r="W825" s="88">
        <v>66000</v>
      </c>
      <c r="X825" s="88">
        <v>71280</v>
      </c>
      <c r="Z825" s="88">
        <v>0</v>
      </c>
      <c r="AD825" s="84">
        <v>0</v>
      </c>
      <c r="AG825" s="84">
        <v>0</v>
      </c>
      <c r="AJ825" s="84">
        <v>0</v>
      </c>
      <c r="AR825" s="85">
        <v>43565</v>
      </c>
      <c r="AS825" s="84">
        <v>6001665601</v>
      </c>
      <c r="AT825" s="85">
        <v>43565</v>
      </c>
      <c r="AU825" s="84" t="s">
        <v>2542</v>
      </c>
      <c r="AV825" s="85">
        <v>43574</v>
      </c>
      <c r="AW825" s="123">
        <v>43585</v>
      </c>
      <c r="AX825" s="123">
        <v>43605</v>
      </c>
      <c r="AY825" s="132">
        <v>63360</v>
      </c>
      <c r="AZ825" s="132">
        <f>ROUNDDOWN(AY825+(AY825*MASTER!$A$2/100),0)</f>
        <v>68428</v>
      </c>
      <c r="BC825" s="88">
        <v>0</v>
      </c>
      <c r="BG825" s="88">
        <v>0</v>
      </c>
      <c r="BK825" s="88">
        <v>0</v>
      </c>
      <c r="BS825" s="88">
        <v>0</v>
      </c>
      <c r="BV825" s="89">
        <v>71280</v>
      </c>
      <c r="BW825" s="89">
        <v>0</v>
      </c>
      <c r="BX825" s="89">
        <v>43560</v>
      </c>
      <c r="BY825" s="89">
        <v>71280</v>
      </c>
      <c r="BZ825" s="112">
        <v>100</v>
      </c>
      <c r="CK825" s="88">
        <v>0</v>
      </c>
    </row>
    <row r="826" spans="1:89" x14ac:dyDescent="0.15">
      <c r="A826" s="84">
        <v>1</v>
      </c>
      <c r="B826" s="85">
        <v>43579</v>
      </c>
      <c r="C826" s="85">
        <v>43580</v>
      </c>
      <c r="F826" s="85" t="s">
        <v>338</v>
      </c>
      <c r="H826" s="85" t="s">
        <v>338</v>
      </c>
      <c r="J826" s="84">
        <v>2</v>
      </c>
      <c r="L826" s="84">
        <v>0</v>
      </c>
      <c r="M826" s="85">
        <v>43560</v>
      </c>
      <c r="N826" s="85" t="s">
        <v>265</v>
      </c>
      <c r="O826" s="86" t="s">
        <v>340</v>
      </c>
      <c r="P826" s="84" t="s">
        <v>26</v>
      </c>
      <c r="Q826" s="86" t="s">
        <v>138</v>
      </c>
      <c r="R826" s="86" t="s">
        <v>2543</v>
      </c>
      <c r="S826" s="87" t="s">
        <v>562</v>
      </c>
      <c r="T826" s="87" t="s">
        <v>2544</v>
      </c>
      <c r="U826" s="88">
        <v>145000</v>
      </c>
      <c r="V826" s="88">
        <v>156600</v>
      </c>
      <c r="W826" s="88">
        <v>145000</v>
      </c>
      <c r="X826" s="88">
        <v>156600</v>
      </c>
      <c r="Z826" s="88">
        <v>0</v>
      </c>
      <c r="AD826" s="84">
        <v>0</v>
      </c>
      <c r="AG826" s="84">
        <v>0</v>
      </c>
      <c r="AJ826" s="84">
        <v>0</v>
      </c>
      <c r="AN826" s="84" t="s">
        <v>338</v>
      </c>
      <c r="AR826" s="85">
        <v>43578</v>
      </c>
      <c r="AS826" s="84">
        <v>6001669525</v>
      </c>
      <c r="AT826" s="85">
        <v>43578</v>
      </c>
      <c r="AU826" s="84" t="s">
        <v>2545</v>
      </c>
      <c r="AV826" s="85">
        <v>43580</v>
      </c>
      <c r="AW826" s="123">
        <v>43585</v>
      </c>
      <c r="AX826" s="123">
        <v>43605</v>
      </c>
      <c r="AY826" s="140">
        <v>145000</v>
      </c>
      <c r="AZ826" s="132">
        <f>ROUNDDOWN(AY826+(AY826*MASTER!$A$2/100),0)</f>
        <v>156600</v>
      </c>
      <c r="BC826" s="88">
        <v>0</v>
      </c>
      <c r="BG826" s="88">
        <v>0</v>
      </c>
      <c r="BK826" s="88">
        <v>0</v>
      </c>
      <c r="BS826" s="88">
        <v>0</v>
      </c>
      <c r="BV826" s="89">
        <v>156600</v>
      </c>
      <c r="BW826" s="89">
        <v>0</v>
      </c>
      <c r="BX826" s="89">
        <v>43560</v>
      </c>
      <c r="BY826" s="89">
        <v>156600</v>
      </c>
      <c r="BZ826" s="112">
        <v>100</v>
      </c>
      <c r="CK826" s="88">
        <v>0</v>
      </c>
    </row>
    <row r="827" spans="1:89" x14ac:dyDescent="0.15">
      <c r="A827" s="84">
        <v>2</v>
      </c>
      <c r="B827" s="85">
        <v>43581</v>
      </c>
      <c r="C827" s="85">
        <v>43600</v>
      </c>
      <c r="D827" s="85">
        <v>43599</v>
      </c>
      <c r="E827" s="85">
        <v>43605</v>
      </c>
      <c r="F827" s="85" t="s">
        <v>338</v>
      </c>
      <c r="G827" s="85">
        <v>43599</v>
      </c>
      <c r="H827" s="85" t="s">
        <v>338</v>
      </c>
      <c r="I827" s="84" t="s">
        <v>1191</v>
      </c>
      <c r="J827" s="84">
        <v>1</v>
      </c>
      <c r="L827" s="84">
        <v>0</v>
      </c>
      <c r="M827" s="85">
        <v>43560</v>
      </c>
      <c r="N827" s="85" t="s">
        <v>265</v>
      </c>
      <c r="O827" s="86" t="s">
        <v>340</v>
      </c>
      <c r="P827" s="84" t="s">
        <v>26</v>
      </c>
      <c r="Q827" s="86" t="s">
        <v>138</v>
      </c>
      <c r="R827" s="86" t="s">
        <v>2546</v>
      </c>
      <c r="S827" s="87" t="s">
        <v>2192</v>
      </c>
      <c r="T827" s="87" t="s">
        <v>2547</v>
      </c>
      <c r="U827" s="88">
        <v>130000</v>
      </c>
      <c r="V827" s="88">
        <v>140400</v>
      </c>
      <c r="W827" s="88">
        <v>80000</v>
      </c>
      <c r="X827" s="88">
        <v>86400</v>
      </c>
      <c r="Y827" s="88">
        <v>50000</v>
      </c>
      <c r="Z827" s="88">
        <v>54000</v>
      </c>
      <c r="AA827" s="85">
        <v>43598</v>
      </c>
      <c r="AB827" s="85">
        <v>43598</v>
      </c>
      <c r="AD827" s="84">
        <v>0</v>
      </c>
      <c r="AG827" s="84">
        <v>0</v>
      </c>
      <c r="AJ827" s="84">
        <v>0</v>
      </c>
      <c r="AN827" s="84" t="s">
        <v>338</v>
      </c>
      <c r="AR827" s="85">
        <v>43577</v>
      </c>
      <c r="AS827" s="84">
        <v>6001669162</v>
      </c>
      <c r="AT827" s="85">
        <v>43577</v>
      </c>
      <c r="AU827" s="84" t="s">
        <v>2421</v>
      </c>
      <c r="AV827" s="85">
        <v>43600</v>
      </c>
      <c r="AW827" s="123">
        <v>43616</v>
      </c>
      <c r="AX827" s="123">
        <v>43636</v>
      </c>
      <c r="AY827" s="132">
        <v>124800</v>
      </c>
      <c r="AZ827" s="132">
        <f>ROUNDDOWN(AY827+(AY827*MASTER!$A$2/100),0)</f>
        <v>134784</v>
      </c>
      <c r="BA827" s="84" t="s">
        <v>778</v>
      </c>
      <c r="BC827" s="88">
        <v>0</v>
      </c>
      <c r="BG827" s="88">
        <v>0</v>
      </c>
      <c r="BI827" s="84" t="s">
        <v>276</v>
      </c>
      <c r="BJ827" s="88">
        <v>32500</v>
      </c>
      <c r="BK827" s="88">
        <v>35100</v>
      </c>
      <c r="BL827" s="84" t="s">
        <v>1645</v>
      </c>
      <c r="BS827" s="88">
        <v>0</v>
      </c>
      <c r="BV827" s="89">
        <v>86400</v>
      </c>
      <c r="BW827" s="89">
        <v>35100</v>
      </c>
      <c r="BX827" s="89">
        <v>43560</v>
      </c>
      <c r="BY827" s="89">
        <v>51300</v>
      </c>
      <c r="BZ827" s="112">
        <v>59.375</v>
      </c>
      <c r="CK827" s="88">
        <v>0</v>
      </c>
    </row>
    <row r="828" spans="1:89" x14ac:dyDescent="0.15">
      <c r="A828" s="84">
        <v>1</v>
      </c>
      <c r="B828" s="85">
        <v>43570</v>
      </c>
      <c r="C828" s="85">
        <v>43581</v>
      </c>
      <c r="F828" s="85" t="s">
        <v>338</v>
      </c>
      <c r="H828" s="85" t="s">
        <v>338</v>
      </c>
      <c r="J828" s="84">
        <v>3</v>
      </c>
      <c r="L828" s="84">
        <v>0</v>
      </c>
      <c r="M828" s="85">
        <v>43560</v>
      </c>
      <c r="N828" s="85" t="s">
        <v>265</v>
      </c>
      <c r="O828" s="86" t="s">
        <v>340</v>
      </c>
      <c r="P828" s="84" t="s">
        <v>26</v>
      </c>
      <c r="Q828" s="86" t="s">
        <v>138</v>
      </c>
      <c r="R828" s="86" t="s">
        <v>2548</v>
      </c>
      <c r="S828" s="87" t="s">
        <v>2192</v>
      </c>
      <c r="T828" s="87" t="s">
        <v>2549</v>
      </c>
      <c r="U828" s="88">
        <v>35000</v>
      </c>
      <c r="V828" s="88">
        <v>37800</v>
      </c>
      <c r="X828" s="88">
        <v>0</v>
      </c>
      <c r="Y828" s="88">
        <v>35000</v>
      </c>
      <c r="Z828" s="88">
        <v>37800</v>
      </c>
      <c r="AD828" s="84">
        <v>0</v>
      </c>
      <c r="AG828" s="84">
        <v>0</v>
      </c>
      <c r="AJ828" s="84">
        <v>0</v>
      </c>
      <c r="AN828" s="84" t="s">
        <v>338</v>
      </c>
      <c r="AR828" s="85">
        <v>43563</v>
      </c>
      <c r="AS828" s="84">
        <v>6001664890</v>
      </c>
      <c r="AT828" s="85">
        <v>43563</v>
      </c>
      <c r="AU828" s="84" t="s">
        <v>1692</v>
      </c>
      <c r="AV828" s="85">
        <v>43581</v>
      </c>
      <c r="AW828" s="123">
        <v>43585</v>
      </c>
      <c r="AX828" s="123">
        <v>43605</v>
      </c>
      <c r="AY828" s="132">
        <v>33600</v>
      </c>
      <c r="AZ828" s="132">
        <f>ROUNDDOWN(AY828+(AY828*MASTER!$A$2/100),0)</f>
        <v>36288</v>
      </c>
      <c r="BC828" s="88">
        <v>0</v>
      </c>
      <c r="BG828" s="88">
        <v>0</v>
      </c>
      <c r="BI828" s="84" t="s">
        <v>276</v>
      </c>
      <c r="BJ828" s="88">
        <v>22750</v>
      </c>
      <c r="BK828" s="88">
        <v>24570</v>
      </c>
      <c r="BL828" s="84" t="s">
        <v>1645</v>
      </c>
      <c r="BS828" s="88">
        <v>0</v>
      </c>
      <c r="BV828" s="89">
        <v>0</v>
      </c>
      <c r="BW828" s="89">
        <v>24570</v>
      </c>
      <c r="BX828" s="89">
        <v>43560</v>
      </c>
      <c r="BY828" s="89">
        <v>-24570</v>
      </c>
      <c r="BZ828" s="112" t="s">
        <v>338</v>
      </c>
    </row>
    <row r="829" spans="1:89" s="151" customFormat="1" x14ac:dyDescent="0.15">
      <c r="A829" s="141">
        <v>3</v>
      </c>
      <c r="B829" s="142"/>
      <c r="C829" s="142" t="s">
        <v>338</v>
      </c>
      <c r="D829" s="142"/>
      <c r="E829" s="142"/>
      <c r="F829" s="142" t="s">
        <v>338</v>
      </c>
      <c r="G829" s="142"/>
      <c r="H829" s="142" t="s">
        <v>338</v>
      </c>
      <c r="I829" s="141"/>
      <c r="J829" s="141">
        <v>2</v>
      </c>
      <c r="K829" s="142"/>
      <c r="L829" s="141">
        <v>0</v>
      </c>
      <c r="M829" s="142">
        <v>43560</v>
      </c>
      <c r="N829" s="142" t="s">
        <v>265</v>
      </c>
      <c r="O829" s="143" t="s">
        <v>340</v>
      </c>
      <c r="P829" s="141" t="s">
        <v>6</v>
      </c>
      <c r="Q829" s="143" t="s">
        <v>138</v>
      </c>
      <c r="R829" s="143" t="s">
        <v>2550</v>
      </c>
      <c r="S829" s="144" t="s">
        <v>1896</v>
      </c>
      <c r="T829" s="144" t="s">
        <v>2551</v>
      </c>
      <c r="U829" s="145">
        <v>35000</v>
      </c>
      <c r="V829" s="145">
        <v>37800</v>
      </c>
      <c r="W829" s="145">
        <v>35000</v>
      </c>
      <c r="X829" s="145">
        <v>37800</v>
      </c>
      <c r="Y829" s="145"/>
      <c r="Z829" s="145">
        <v>0</v>
      </c>
      <c r="AA829" s="142"/>
      <c r="AB829" s="142"/>
      <c r="AC829" s="142"/>
      <c r="AD829" s="141">
        <v>0</v>
      </c>
      <c r="AE829" s="141"/>
      <c r="AF829" s="141"/>
      <c r="AG829" s="141">
        <v>0</v>
      </c>
      <c r="AH829" s="141"/>
      <c r="AI829" s="141"/>
      <c r="AJ829" s="141">
        <v>0</v>
      </c>
      <c r="AK829" s="141"/>
      <c r="AL829" s="141"/>
      <c r="AM829" s="141"/>
      <c r="AN829" s="141" t="s">
        <v>338</v>
      </c>
      <c r="AO829" s="142"/>
      <c r="AP829" s="141"/>
      <c r="AQ829" s="141"/>
      <c r="AR829" s="142"/>
      <c r="AS829" s="141"/>
      <c r="AT829" s="142"/>
      <c r="AU829" s="141"/>
      <c r="AV829" s="142"/>
      <c r="AW829" s="146"/>
      <c r="AX829" s="146"/>
      <c r="AY829" s="147">
        <v>33600</v>
      </c>
      <c r="AZ829" s="132">
        <f>ROUNDDOWN(AY829+(AY829*MASTER!$A$2/100),0)</f>
        <v>36288</v>
      </c>
      <c r="BA829" s="141"/>
      <c r="BB829" s="145"/>
      <c r="BC829" s="145">
        <v>0</v>
      </c>
      <c r="BD829" s="141"/>
      <c r="BE829" s="141"/>
      <c r="BF829" s="145"/>
      <c r="BG829" s="145">
        <v>0</v>
      </c>
      <c r="BH829" s="141"/>
      <c r="BI829" s="141"/>
      <c r="BJ829" s="145"/>
      <c r="BK829" s="145">
        <v>0</v>
      </c>
      <c r="BL829" s="141"/>
      <c r="BM829" s="145"/>
      <c r="BN829" s="145"/>
      <c r="BO829" s="145"/>
      <c r="BP829" s="145"/>
      <c r="BQ829" s="145"/>
      <c r="BR829" s="145"/>
      <c r="BS829" s="145">
        <v>0</v>
      </c>
      <c r="BT829" s="148"/>
      <c r="BU829" s="148"/>
      <c r="BV829" s="149">
        <v>37800</v>
      </c>
      <c r="BW829" s="149">
        <v>0</v>
      </c>
      <c r="BX829" s="149">
        <v>43560</v>
      </c>
      <c r="BY829" s="149">
        <v>37800</v>
      </c>
      <c r="BZ829" s="150">
        <v>100</v>
      </c>
      <c r="CA829" s="141"/>
      <c r="CB829" s="141"/>
      <c r="CC829" s="141"/>
      <c r="CD829" s="144" t="s">
        <v>2552</v>
      </c>
      <c r="CE829" s="142"/>
      <c r="CF829" s="142"/>
      <c r="CG829" s="142"/>
      <c r="CH829" s="142"/>
      <c r="CI829" s="142"/>
      <c r="CJ829" s="142"/>
      <c r="CK829" s="145">
        <v>0</v>
      </c>
    </row>
    <row r="830" spans="1:89" x14ac:dyDescent="0.15">
      <c r="A830" s="84">
        <v>1</v>
      </c>
      <c r="B830" s="85">
        <v>43571</v>
      </c>
      <c r="C830" s="85">
        <v>43574</v>
      </c>
      <c r="F830" s="85" t="s">
        <v>338</v>
      </c>
      <c r="H830" s="85" t="s">
        <v>338</v>
      </c>
      <c r="J830" s="84">
        <v>2</v>
      </c>
      <c r="K830" s="85">
        <v>43565</v>
      </c>
      <c r="L830" s="84" t="s">
        <v>818</v>
      </c>
      <c r="M830" s="85">
        <v>43560</v>
      </c>
      <c r="N830" s="85" t="s">
        <v>265</v>
      </c>
      <c r="O830" s="86" t="s">
        <v>340</v>
      </c>
      <c r="P830" s="84" t="s">
        <v>26</v>
      </c>
      <c r="Q830" s="86" t="s">
        <v>138</v>
      </c>
      <c r="R830" s="86" t="s">
        <v>2553</v>
      </c>
      <c r="S830" s="87" t="s">
        <v>351</v>
      </c>
      <c r="T830" s="87" t="s">
        <v>2554</v>
      </c>
      <c r="U830" s="88">
        <v>233280</v>
      </c>
      <c r="V830" s="88">
        <v>251942.39999999999</v>
      </c>
      <c r="W830" s="88">
        <v>233280</v>
      </c>
      <c r="X830" s="88">
        <v>251942.39999999999</v>
      </c>
      <c r="Z830" s="88">
        <v>0</v>
      </c>
      <c r="AD830" s="84">
        <v>0</v>
      </c>
      <c r="AG830" s="84">
        <v>0</v>
      </c>
      <c r="AJ830" s="84">
        <v>0</v>
      </c>
      <c r="AN830" s="84" t="s">
        <v>338</v>
      </c>
      <c r="AR830" s="85">
        <v>43570</v>
      </c>
      <c r="AS830" s="84">
        <v>6001666615</v>
      </c>
      <c r="AT830" s="85">
        <v>43570</v>
      </c>
      <c r="AU830" s="84" t="s">
        <v>1775</v>
      </c>
      <c r="AV830" s="85">
        <v>43574</v>
      </c>
      <c r="AW830" s="123">
        <v>43585</v>
      </c>
      <c r="AX830" s="123">
        <v>43605</v>
      </c>
      <c r="AY830" s="132">
        <v>223948</v>
      </c>
      <c r="AZ830" s="132">
        <f>ROUNDDOWN(AY830+(AY830*MASTER!$A$2/100),0)</f>
        <v>241863</v>
      </c>
      <c r="BC830" s="88">
        <v>0</v>
      </c>
      <c r="BG830" s="88">
        <v>0</v>
      </c>
      <c r="BK830" s="88">
        <v>0</v>
      </c>
      <c r="BS830" s="88">
        <v>0</v>
      </c>
      <c r="BV830" s="89">
        <v>251942.39999999999</v>
      </c>
      <c r="BW830" s="89">
        <v>0</v>
      </c>
      <c r="BX830" s="89">
        <v>0</v>
      </c>
      <c r="BY830" s="89">
        <v>43565</v>
      </c>
      <c r="BZ830" s="112">
        <v>100</v>
      </c>
      <c r="CK830" s="88">
        <v>0</v>
      </c>
    </row>
    <row r="831" spans="1:89" x14ac:dyDescent="0.15">
      <c r="A831" s="84">
        <v>1</v>
      </c>
      <c r="B831" s="85">
        <v>43571</v>
      </c>
      <c r="C831" s="85">
        <v>43579</v>
      </c>
      <c r="F831" s="85" t="s">
        <v>338</v>
      </c>
      <c r="H831" s="85" t="s">
        <v>338</v>
      </c>
      <c r="J831" s="84">
        <v>2</v>
      </c>
      <c r="L831" s="84">
        <v>0</v>
      </c>
      <c r="M831" s="85">
        <v>43560</v>
      </c>
      <c r="N831" s="85" t="s">
        <v>265</v>
      </c>
      <c r="O831" s="86" t="s">
        <v>340</v>
      </c>
      <c r="P831" s="84" t="s">
        <v>272</v>
      </c>
      <c r="Q831" s="86" t="s">
        <v>138</v>
      </c>
      <c r="R831" s="86" t="s">
        <v>2555</v>
      </c>
      <c r="S831" s="87" t="s">
        <v>351</v>
      </c>
      <c r="T831" s="87" t="s">
        <v>2556</v>
      </c>
      <c r="U831" s="88">
        <v>35000</v>
      </c>
      <c r="V831" s="88">
        <v>37800</v>
      </c>
      <c r="W831" s="88">
        <v>35000</v>
      </c>
      <c r="X831" s="88">
        <v>37800</v>
      </c>
      <c r="Z831" s="88">
        <v>0</v>
      </c>
      <c r="AA831" s="85" t="s">
        <v>2466</v>
      </c>
      <c r="AD831" s="84">
        <v>0</v>
      </c>
      <c r="AG831" s="84">
        <v>0</v>
      </c>
      <c r="AJ831" s="84">
        <v>0</v>
      </c>
      <c r="AR831" s="85">
        <v>43565</v>
      </c>
      <c r="AS831" s="84">
        <v>6001665602</v>
      </c>
      <c r="AT831" s="85">
        <v>43570</v>
      </c>
      <c r="AU831" s="84" t="s">
        <v>2325</v>
      </c>
      <c r="AV831" s="85">
        <v>43579</v>
      </c>
      <c r="AW831" s="123">
        <v>43585</v>
      </c>
      <c r="AX831" s="123">
        <v>43605</v>
      </c>
      <c r="AY831" s="132">
        <v>33600</v>
      </c>
      <c r="AZ831" s="132">
        <f>ROUNDDOWN(AY831+(AY831*MASTER!$A$2/100),0)</f>
        <v>36288</v>
      </c>
      <c r="BC831" s="88">
        <v>0</v>
      </c>
      <c r="BG831" s="88">
        <v>0</v>
      </c>
      <c r="BK831" s="88">
        <v>0</v>
      </c>
      <c r="BS831" s="88">
        <v>0</v>
      </c>
      <c r="BV831" s="89">
        <v>37800</v>
      </c>
      <c r="BW831" s="89">
        <v>0</v>
      </c>
      <c r="BX831" s="89">
        <v>43560</v>
      </c>
      <c r="BY831" s="89">
        <v>37800</v>
      </c>
      <c r="BZ831" s="112">
        <v>100</v>
      </c>
    </row>
    <row r="832" spans="1:89" x14ac:dyDescent="0.15">
      <c r="A832" s="84">
        <v>2</v>
      </c>
      <c r="B832" s="85">
        <v>43574</v>
      </c>
      <c r="C832" s="85">
        <v>43580</v>
      </c>
      <c r="D832" s="85">
        <v>43574</v>
      </c>
      <c r="E832" s="85">
        <v>43574</v>
      </c>
      <c r="F832" s="85" t="s">
        <v>338</v>
      </c>
      <c r="G832" s="85">
        <v>43574</v>
      </c>
      <c r="H832" s="85" t="s">
        <v>338</v>
      </c>
      <c r="I832" s="84" t="s">
        <v>380</v>
      </c>
      <c r="J832" s="84">
        <v>2</v>
      </c>
      <c r="L832" s="84">
        <v>0</v>
      </c>
      <c r="M832" s="85">
        <v>43563</v>
      </c>
      <c r="N832" s="85" t="s">
        <v>265</v>
      </c>
      <c r="O832" s="86" t="s">
        <v>340</v>
      </c>
      <c r="P832" s="84" t="s">
        <v>6</v>
      </c>
      <c r="Q832" s="86" t="s">
        <v>138</v>
      </c>
      <c r="R832" s="86" t="s">
        <v>2557</v>
      </c>
      <c r="S832" s="87" t="s">
        <v>1896</v>
      </c>
      <c r="T832" s="87" t="s">
        <v>342</v>
      </c>
      <c r="U832" s="88">
        <v>35000</v>
      </c>
      <c r="V832" s="88">
        <v>37800</v>
      </c>
      <c r="W832" s="88">
        <v>35000</v>
      </c>
      <c r="X832" s="88">
        <v>37800</v>
      </c>
      <c r="Z832" s="88">
        <v>0</v>
      </c>
      <c r="AA832" s="85">
        <v>43571</v>
      </c>
      <c r="AB832" s="85">
        <v>43571</v>
      </c>
      <c r="AD832" s="84">
        <v>0</v>
      </c>
      <c r="AG832" s="84">
        <v>0</v>
      </c>
      <c r="AJ832" s="84">
        <v>0</v>
      </c>
      <c r="AR832" s="85">
        <v>43572</v>
      </c>
      <c r="AS832" s="84">
        <v>6001667681</v>
      </c>
      <c r="AT832" s="85">
        <v>43573</v>
      </c>
      <c r="AU832" s="84" t="s">
        <v>2322</v>
      </c>
      <c r="AV832" s="85">
        <v>43580</v>
      </c>
      <c r="AW832" s="123">
        <v>43585</v>
      </c>
      <c r="AX832" s="123">
        <v>43605</v>
      </c>
      <c r="AY832" s="132">
        <v>33600</v>
      </c>
      <c r="AZ832" s="132">
        <f>ROUNDDOWN(AY832+(AY832*MASTER!$A$2/100),0)</f>
        <v>36288</v>
      </c>
      <c r="BA832" s="84" t="s">
        <v>286</v>
      </c>
      <c r="BB832" s="88">
        <v>34000</v>
      </c>
      <c r="BC832" s="88">
        <v>36720</v>
      </c>
      <c r="BD832" s="84" t="s">
        <v>1579</v>
      </c>
      <c r="BG832" s="88">
        <v>0</v>
      </c>
      <c r="BK832" s="88">
        <v>0</v>
      </c>
      <c r="BS832" s="88">
        <v>0</v>
      </c>
      <c r="BV832" s="89">
        <v>37800</v>
      </c>
      <c r="BW832" s="89">
        <v>36720</v>
      </c>
      <c r="BX832" s="89">
        <v>43563</v>
      </c>
      <c r="BY832" s="89">
        <v>1080</v>
      </c>
      <c r="BZ832" s="112">
        <v>2.8571428571428572</v>
      </c>
    </row>
    <row r="833" spans="1:89" x14ac:dyDescent="0.15">
      <c r="A833" s="84">
        <v>1</v>
      </c>
      <c r="B833" s="85">
        <v>43633</v>
      </c>
      <c r="C833" s="85">
        <v>43637</v>
      </c>
      <c r="F833" s="85" t="s">
        <v>338</v>
      </c>
      <c r="H833" s="85" t="s">
        <v>338</v>
      </c>
      <c r="J833" s="84">
        <v>3</v>
      </c>
      <c r="L833" s="84">
        <v>0</v>
      </c>
      <c r="M833" s="85">
        <v>43563</v>
      </c>
      <c r="N833" s="85" t="s">
        <v>265</v>
      </c>
      <c r="O833" s="86" t="s">
        <v>340</v>
      </c>
      <c r="P833" s="84" t="s">
        <v>6</v>
      </c>
      <c r="Q833" s="86" t="s">
        <v>138</v>
      </c>
      <c r="R833" s="86" t="s">
        <v>2558</v>
      </c>
      <c r="S833" s="87" t="s">
        <v>1845</v>
      </c>
      <c r="T833" s="87" t="s">
        <v>2559</v>
      </c>
      <c r="U833" s="88">
        <v>18000</v>
      </c>
      <c r="V833" s="88">
        <v>19440</v>
      </c>
      <c r="X833" s="88">
        <v>0</v>
      </c>
      <c r="Y833" s="88">
        <v>18000</v>
      </c>
      <c r="Z833" s="88">
        <v>19440</v>
      </c>
      <c r="AD833" s="84">
        <v>0</v>
      </c>
      <c r="AG833" s="84">
        <v>0</v>
      </c>
      <c r="AJ833" s="84">
        <v>0</v>
      </c>
      <c r="AR833" s="85">
        <v>43572</v>
      </c>
      <c r="AS833" s="84">
        <v>6001667681</v>
      </c>
      <c r="AT833" s="85">
        <v>43573</v>
      </c>
      <c r="AU833" s="84" t="s">
        <v>2322</v>
      </c>
      <c r="AV833" s="85">
        <v>43637</v>
      </c>
      <c r="AW833" s="123">
        <v>43646</v>
      </c>
      <c r="AX833" s="123">
        <v>43666</v>
      </c>
      <c r="AY833" s="132">
        <v>17280</v>
      </c>
      <c r="AZ833" s="132">
        <f>ROUNDDOWN(AY833+(AY833*MASTER!$A$2/100),0)</f>
        <v>18662</v>
      </c>
      <c r="BC833" s="88">
        <v>0</v>
      </c>
      <c r="BG833" s="88">
        <v>0</v>
      </c>
      <c r="BK833" s="88">
        <v>0</v>
      </c>
      <c r="BS833" s="88">
        <v>0</v>
      </c>
      <c r="BV833" s="89">
        <v>0</v>
      </c>
      <c r="BW833" s="89">
        <v>0</v>
      </c>
      <c r="BX833" s="89">
        <v>43563</v>
      </c>
      <c r="BY833" s="89">
        <v>0</v>
      </c>
      <c r="BZ833" s="112" t="s">
        <v>338</v>
      </c>
    </row>
    <row r="834" spans="1:89" x14ac:dyDescent="0.15">
      <c r="A834" s="84">
        <v>1</v>
      </c>
      <c r="C834" s="85" t="s">
        <v>338</v>
      </c>
      <c r="F834" s="85" t="s">
        <v>338</v>
      </c>
      <c r="H834" s="85" t="s">
        <v>338</v>
      </c>
      <c r="J834" s="84">
        <v>3</v>
      </c>
      <c r="L834" s="84">
        <v>0</v>
      </c>
      <c r="M834" s="85">
        <v>43563</v>
      </c>
      <c r="N834" s="85" t="s">
        <v>265</v>
      </c>
      <c r="O834" s="86" t="s">
        <v>340</v>
      </c>
      <c r="P834" s="84" t="s">
        <v>6</v>
      </c>
      <c r="Q834" s="86" t="s">
        <v>138</v>
      </c>
      <c r="R834" s="86" t="s">
        <v>2560</v>
      </c>
      <c r="S834" s="87" t="s">
        <v>1845</v>
      </c>
      <c r="T834" s="87" t="s">
        <v>2561</v>
      </c>
      <c r="U834" s="88">
        <v>9000</v>
      </c>
      <c r="V834" s="88">
        <v>9720</v>
      </c>
      <c r="X834" s="88">
        <v>0</v>
      </c>
      <c r="Y834" s="88">
        <v>9000</v>
      </c>
      <c r="Z834" s="88">
        <v>9720</v>
      </c>
      <c r="AD834" s="84">
        <v>0</v>
      </c>
      <c r="AG834" s="84">
        <v>0</v>
      </c>
      <c r="AJ834" s="84">
        <v>0</v>
      </c>
      <c r="AY834" s="132">
        <f>ROUNDDOWN((0.96*U834),0)</f>
        <v>8640</v>
      </c>
      <c r="AZ834" s="132">
        <f>ROUNDDOWN(AY834+(AY834*MASTER!$A$2/100),0)</f>
        <v>9331</v>
      </c>
      <c r="BC834" s="88">
        <v>0</v>
      </c>
      <c r="BG834" s="88">
        <v>0</v>
      </c>
      <c r="BK834" s="88">
        <v>0</v>
      </c>
      <c r="BS834" s="88">
        <v>0</v>
      </c>
      <c r="BV834" s="89">
        <v>0</v>
      </c>
      <c r="BW834" s="89">
        <v>0</v>
      </c>
      <c r="BX834" s="89">
        <v>43563</v>
      </c>
      <c r="BY834" s="89">
        <v>0</v>
      </c>
      <c r="BZ834" s="112" t="s">
        <v>338</v>
      </c>
    </row>
    <row r="835" spans="1:89" x14ac:dyDescent="0.15">
      <c r="A835" s="84">
        <v>2</v>
      </c>
      <c r="B835" s="85">
        <v>43572</v>
      </c>
      <c r="C835" s="85">
        <v>43574</v>
      </c>
      <c r="D835" s="85">
        <v>43572</v>
      </c>
      <c r="E835" s="85">
        <v>43572</v>
      </c>
      <c r="F835" s="85" t="s">
        <v>338</v>
      </c>
      <c r="G835" s="85">
        <v>43572</v>
      </c>
      <c r="H835" s="85" t="s">
        <v>338</v>
      </c>
      <c r="I835" s="84" t="s">
        <v>547</v>
      </c>
      <c r="J835" s="84">
        <v>2</v>
      </c>
      <c r="L835" s="84">
        <v>0</v>
      </c>
      <c r="M835" s="85">
        <v>43563</v>
      </c>
      <c r="N835" s="85" t="s">
        <v>265</v>
      </c>
      <c r="O835" s="86" t="s">
        <v>340</v>
      </c>
      <c r="P835" s="84" t="s">
        <v>6</v>
      </c>
      <c r="Q835" s="86" t="s">
        <v>138</v>
      </c>
      <c r="R835" s="86" t="s">
        <v>2562</v>
      </c>
      <c r="S835" s="87" t="s">
        <v>1763</v>
      </c>
      <c r="T835" s="87" t="s">
        <v>342</v>
      </c>
      <c r="U835" s="88">
        <v>35000</v>
      </c>
      <c r="V835" s="88">
        <v>37800</v>
      </c>
      <c r="W835" s="88">
        <v>35000</v>
      </c>
      <c r="X835" s="88">
        <v>37800</v>
      </c>
      <c r="Z835" s="88">
        <v>0</v>
      </c>
      <c r="AA835" s="85">
        <v>43571</v>
      </c>
      <c r="AB835" s="85">
        <v>43571</v>
      </c>
      <c r="AD835" s="84">
        <v>0</v>
      </c>
      <c r="AG835" s="84">
        <v>0</v>
      </c>
      <c r="AJ835" s="84">
        <v>0</v>
      </c>
      <c r="AR835" s="85">
        <v>43571</v>
      </c>
      <c r="AS835" s="84">
        <v>6001667194</v>
      </c>
      <c r="AT835" s="85">
        <v>43571</v>
      </c>
      <c r="AU835" s="84" t="s">
        <v>2502</v>
      </c>
      <c r="AV835" s="85">
        <v>43574</v>
      </c>
      <c r="AW835" s="123">
        <v>43585</v>
      </c>
      <c r="AX835" s="123">
        <v>43605</v>
      </c>
      <c r="AY835" s="132">
        <v>33600</v>
      </c>
      <c r="AZ835" s="132">
        <f>ROUNDDOWN(AY835+(AY835*MASTER!$A$2/100),0)</f>
        <v>36288</v>
      </c>
      <c r="BA835" s="84" t="s">
        <v>486</v>
      </c>
      <c r="BB835" s="88">
        <v>38000</v>
      </c>
      <c r="BC835" s="88">
        <v>41040</v>
      </c>
      <c r="BD835" s="84" t="s">
        <v>1659</v>
      </c>
      <c r="BG835" s="88">
        <v>0</v>
      </c>
      <c r="BK835" s="88">
        <v>0</v>
      </c>
      <c r="BS835" s="88">
        <v>0</v>
      </c>
      <c r="BV835" s="89">
        <v>37800</v>
      </c>
      <c r="BW835" s="89">
        <v>41040</v>
      </c>
      <c r="BX835" s="89">
        <v>43563</v>
      </c>
      <c r="BY835" s="89">
        <v>-3240</v>
      </c>
      <c r="BZ835" s="112">
        <v>-8.5714285714285712</v>
      </c>
    </row>
    <row r="836" spans="1:89" x14ac:dyDescent="0.15">
      <c r="A836" s="84">
        <v>2</v>
      </c>
      <c r="B836" s="85">
        <v>43602</v>
      </c>
      <c r="C836" s="85">
        <v>43607</v>
      </c>
      <c r="D836" s="85" t="s">
        <v>374</v>
      </c>
      <c r="E836" s="85">
        <v>43608</v>
      </c>
      <c r="F836" s="85">
        <v>43614</v>
      </c>
      <c r="G836" s="85">
        <v>43608</v>
      </c>
      <c r="H836" s="85">
        <v>43610</v>
      </c>
      <c r="I836" s="84" t="s">
        <v>401</v>
      </c>
      <c r="J836" s="84">
        <v>1</v>
      </c>
      <c r="L836" s="84">
        <v>0</v>
      </c>
      <c r="M836" s="85">
        <v>43564</v>
      </c>
      <c r="N836" s="85" t="s">
        <v>265</v>
      </c>
      <c r="O836" s="86" t="s">
        <v>340</v>
      </c>
      <c r="P836" s="84" t="s">
        <v>26</v>
      </c>
      <c r="Q836" s="86" t="s">
        <v>138</v>
      </c>
      <c r="R836" s="86" t="s">
        <v>2563</v>
      </c>
      <c r="S836" s="87" t="s">
        <v>2564</v>
      </c>
      <c r="T836" s="87" t="s">
        <v>2565</v>
      </c>
      <c r="U836" s="88">
        <v>23900</v>
      </c>
      <c r="V836" s="88">
        <v>25812</v>
      </c>
      <c r="W836" s="88">
        <v>14700</v>
      </c>
      <c r="X836" s="88">
        <v>15876</v>
      </c>
      <c r="Y836" s="88">
        <v>9200</v>
      </c>
      <c r="Z836" s="88">
        <v>9936</v>
      </c>
      <c r="AA836" s="85">
        <v>43605</v>
      </c>
      <c r="AB836" s="85">
        <v>43607</v>
      </c>
      <c r="AC836" s="85">
        <v>43607</v>
      </c>
      <c r="AD836" s="84">
        <v>0</v>
      </c>
      <c r="AG836" s="84">
        <v>0</v>
      </c>
      <c r="AJ836" s="84">
        <v>0</v>
      </c>
      <c r="AM836" s="84" t="s">
        <v>290</v>
      </c>
      <c r="AN836" s="84" t="s">
        <v>2566</v>
      </c>
      <c r="AR836" s="85">
        <v>43573</v>
      </c>
      <c r="AS836" s="84">
        <v>6001667893</v>
      </c>
      <c r="AT836" s="85">
        <v>43573</v>
      </c>
      <c r="AU836" s="84" t="s">
        <v>2490</v>
      </c>
      <c r="AV836" s="85">
        <v>43607</v>
      </c>
      <c r="AW836" s="123">
        <v>43616</v>
      </c>
      <c r="AX836" s="123">
        <v>43636</v>
      </c>
      <c r="AY836" s="132">
        <v>22944</v>
      </c>
      <c r="AZ836" s="132">
        <f>ROUNDDOWN(AY836+(AY836*MASTER!$A$2/100),0)</f>
        <v>24779</v>
      </c>
      <c r="BA836" s="84" t="s">
        <v>778</v>
      </c>
      <c r="BC836" s="88">
        <v>0</v>
      </c>
      <c r="BG836" s="88">
        <v>0</v>
      </c>
      <c r="BI836" s="84" t="s">
        <v>276</v>
      </c>
      <c r="BJ836" s="88">
        <v>5980</v>
      </c>
      <c r="BK836" s="88">
        <v>6458.4</v>
      </c>
      <c r="BL836" s="84" t="s">
        <v>2567</v>
      </c>
      <c r="BS836" s="88">
        <v>0</v>
      </c>
      <c r="BV836" s="89">
        <v>15876</v>
      </c>
      <c r="BW836" s="89">
        <v>6458.4</v>
      </c>
      <c r="BX836" s="89">
        <v>43564</v>
      </c>
      <c r="BY836" s="89">
        <v>9417.6</v>
      </c>
      <c r="BZ836" s="112">
        <v>59.319727891156461</v>
      </c>
      <c r="CK836" s="88">
        <v>0</v>
      </c>
    </row>
    <row r="837" spans="1:89" x14ac:dyDescent="0.15">
      <c r="A837" s="84">
        <v>2</v>
      </c>
      <c r="B837" s="85">
        <v>43581</v>
      </c>
      <c r="C837" s="85">
        <v>43600</v>
      </c>
      <c r="D837" s="85" t="s">
        <v>374</v>
      </c>
      <c r="E837" s="85">
        <v>43605</v>
      </c>
      <c r="F837" s="85">
        <v>43607</v>
      </c>
      <c r="G837" s="85">
        <v>43605</v>
      </c>
      <c r="H837" s="85">
        <v>43603</v>
      </c>
      <c r="I837" s="84" t="s">
        <v>1191</v>
      </c>
      <c r="J837" s="84">
        <v>1</v>
      </c>
      <c r="L837" s="84">
        <v>0</v>
      </c>
      <c r="M837" s="85">
        <v>43564</v>
      </c>
      <c r="N837" s="85" t="s">
        <v>265</v>
      </c>
      <c r="O837" s="86" t="s">
        <v>340</v>
      </c>
      <c r="P837" s="84" t="s">
        <v>26</v>
      </c>
      <c r="Q837" s="86" t="s">
        <v>138</v>
      </c>
      <c r="R837" s="86" t="s">
        <v>2568</v>
      </c>
      <c r="S837" s="87" t="s">
        <v>2569</v>
      </c>
      <c r="T837" s="87" t="s">
        <v>794</v>
      </c>
      <c r="U837" s="88">
        <v>23900</v>
      </c>
      <c r="V837" s="88">
        <v>25812</v>
      </c>
      <c r="W837" s="88">
        <v>14700</v>
      </c>
      <c r="X837" s="88">
        <v>15876</v>
      </c>
      <c r="Y837" s="88">
        <v>9200</v>
      </c>
      <c r="Z837" s="88">
        <v>9936</v>
      </c>
      <c r="AA837" s="85">
        <v>43598</v>
      </c>
      <c r="AB837" s="85">
        <v>43600</v>
      </c>
      <c r="AC837" s="85">
        <v>43600</v>
      </c>
      <c r="AD837" s="84">
        <v>0</v>
      </c>
      <c r="AG837" s="84">
        <v>0</v>
      </c>
      <c r="AJ837" s="84">
        <v>0</v>
      </c>
      <c r="AM837" s="84" t="s">
        <v>290</v>
      </c>
      <c r="AN837" s="84" t="s">
        <v>2570</v>
      </c>
      <c r="AR837" s="85">
        <v>43579</v>
      </c>
      <c r="AS837" s="84">
        <v>6001670042</v>
      </c>
      <c r="AT837" s="85">
        <v>43579</v>
      </c>
      <c r="AU837" s="84" t="s">
        <v>2571</v>
      </c>
      <c r="AV837" s="85">
        <v>43600</v>
      </c>
      <c r="AW837" s="123">
        <v>43616</v>
      </c>
      <c r="AX837" s="123">
        <v>43636</v>
      </c>
      <c r="AY837" s="132">
        <v>22944</v>
      </c>
      <c r="AZ837" s="132">
        <f>ROUNDDOWN(AY837+(AY837*MASTER!$A$2/100),0)</f>
        <v>24779</v>
      </c>
      <c r="BA837" s="84" t="s">
        <v>778</v>
      </c>
      <c r="BC837" s="88">
        <v>0</v>
      </c>
      <c r="BG837" s="88">
        <v>0</v>
      </c>
      <c r="BI837" s="84" t="s">
        <v>276</v>
      </c>
      <c r="BJ837" s="88">
        <v>5980</v>
      </c>
      <c r="BK837" s="88">
        <v>6458.4</v>
      </c>
      <c r="BL837" s="84" t="s">
        <v>1645</v>
      </c>
      <c r="BS837" s="88">
        <v>0</v>
      </c>
      <c r="BV837" s="89">
        <v>15876</v>
      </c>
      <c r="BW837" s="89">
        <v>6458.4</v>
      </c>
      <c r="BX837" s="89">
        <v>43564</v>
      </c>
      <c r="BY837" s="89">
        <v>9417.6</v>
      </c>
      <c r="BZ837" s="112">
        <v>59.319727891156461</v>
      </c>
      <c r="CK837" s="88">
        <v>0</v>
      </c>
    </row>
    <row r="838" spans="1:89" x14ac:dyDescent="0.15">
      <c r="A838" s="84">
        <v>2</v>
      </c>
      <c r="B838" s="85">
        <v>43572</v>
      </c>
      <c r="C838" s="85">
        <v>43574</v>
      </c>
      <c r="D838" s="85">
        <v>43572</v>
      </c>
      <c r="E838" s="85">
        <v>43572</v>
      </c>
      <c r="F838" s="85" t="s">
        <v>338</v>
      </c>
      <c r="G838" s="85">
        <v>43572</v>
      </c>
      <c r="H838" s="85" t="s">
        <v>338</v>
      </c>
      <c r="I838" s="84" t="s">
        <v>547</v>
      </c>
      <c r="J838" s="84">
        <v>2</v>
      </c>
      <c r="L838" s="84">
        <v>0</v>
      </c>
      <c r="M838" s="85">
        <v>43564</v>
      </c>
      <c r="N838" s="85" t="s">
        <v>265</v>
      </c>
      <c r="O838" s="86" t="s">
        <v>340</v>
      </c>
      <c r="P838" s="84" t="s">
        <v>6</v>
      </c>
      <c r="Q838" s="86" t="s">
        <v>138</v>
      </c>
      <c r="R838" s="86" t="s">
        <v>2572</v>
      </c>
      <c r="S838" s="87" t="s">
        <v>1970</v>
      </c>
      <c r="T838" s="87" t="s">
        <v>342</v>
      </c>
      <c r="U838" s="88">
        <v>35000</v>
      </c>
      <c r="V838" s="88">
        <v>37800</v>
      </c>
      <c r="W838" s="88">
        <v>35000</v>
      </c>
      <c r="X838" s="88">
        <v>37800</v>
      </c>
      <c r="Z838" s="88">
        <v>0</v>
      </c>
      <c r="AA838" s="85">
        <v>43570</v>
      </c>
      <c r="AB838" s="85">
        <v>43571</v>
      </c>
      <c r="AD838" s="84">
        <v>0</v>
      </c>
      <c r="AG838" s="84">
        <v>0</v>
      </c>
      <c r="AJ838" s="84">
        <v>0</v>
      </c>
      <c r="AN838" s="84" t="s">
        <v>338</v>
      </c>
      <c r="AR838" s="85">
        <v>43571</v>
      </c>
      <c r="AS838" s="84">
        <v>6001667194</v>
      </c>
      <c r="AT838" s="85">
        <v>43571</v>
      </c>
      <c r="AU838" s="84" t="s">
        <v>2502</v>
      </c>
      <c r="AV838" s="85">
        <v>43574</v>
      </c>
      <c r="AW838" s="123">
        <v>43585</v>
      </c>
      <c r="AX838" s="123">
        <v>43605</v>
      </c>
      <c r="AY838" s="132">
        <v>33600</v>
      </c>
      <c r="AZ838" s="132">
        <f>ROUNDDOWN(AY838+(AY838*MASTER!$A$2/100),0)</f>
        <v>36288</v>
      </c>
      <c r="BA838" s="84" t="s">
        <v>1689</v>
      </c>
      <c r="BB838" s="88">
        <v>21000</v>
      </c>
      <c r="BC838" s="88">
        <v>22680</v>
      </c>
      <c r="BD838" s="84" t="s">
        <v>1645</v>
      </c>
      <c r="BG838" s="88">
        <v>0</v>
      </c>
      <c r="BK838" s="88">
        <v>0</v>
      </c>
      <c r="BS838" s="88">
        <v>0</v>
      </c>
      <c r="BV838" s="89">
        <v>37800</v>
      </c>
      <c r="BW838" s="89">
        <v>22680</v>
      </c>
      <c r="BX838" s="89">
        <v>43564</v>
      </c>
      <c r="BY838" s="89">
        <v>15120</v>
      </c>
      <c r="BZ838" s="112">
        <v>40</v>
      </c>
      <c r="CK838" s="88">
        <v>0</v>
      </c>
    </row>
    <row r="839" spans="1:89" x14ac:dyDescent="0.15">
      <c r="A839" s="84">
        <v>1</v>
      </c>
      <c r="B839" s="85">
        <v>43567</v>
      </c>
      <c r="C839" s="85">
        <v>43570</v>
      </c>
      <c r="F839" s="85" t="s">
        <v>338</v>
      </c>
      <c r="H839" s="85" t="s">
        <v>338</v>
      </c>
      <c r="J839" s="84">
        <v>2</v>
      </c>
      <c r="L839" s="84">
        <v>0</v>
      </c>
      <c r="M839" s="85">
        <v>43565</v>
      </c>
      <c r="N839" s="85" t="s">
        <v>265</v>
      </c>
      <c r="O839" s="86" t="s">
        <v>340</v>
      </c>
      <c r="P839" s="84" t="s">
        <v>272</v>
      </c>
      <c r="Q839" s="86" t="s">
        <v>138</v>
      </c>
      <c r="R839" s="86" t="s">
        <v>2573</v>
      </c>
      <c r="S839" s="87" t="s">
        <v>351</v>
      </c>
      <c r="T839" s="87" t="s">
        <v>931</v>
      </c>
      <c r="U839" s="88">
        <v>7000</v>
      </c>
      <c r="V839" s="88">
        <v>7560</v>
      </c>
      <c r="W839" s="88">
        <v>7000</v>
      </c>
      <c r="X839" s="88">
        <v>7560</v>
      </c>
      <c r="Z839" s="88">
        <v>0</v>
      </c>
      <c r="AD839" s="84">
        <v>0</v>
      </c>
      <c r="AG839" s="84">
        <v>0</v>
      </c>
      <c r="AJ839" s="84">
        <v>0</v>
      </c>
      <c r="AR839" s="85">
        <v>43565</v>
      </c>
      <c r="AS839" s="84">
        <v>6001665656</v>
      </c>
      <c r="AT839" s="85">
        <v>43566</v>
      </c>
      <c r="AU839" s="84" t="s">
        <v>2574</v>
      </c>
      <c r="AV839" s="85">
        <v>43570</v>
      </c>
      <c r="AW839" s="123">
        <v>43585</v>
      </c>
      <c r="AX839" s="123">
        <v>43605</v>
      </c>
      <c r="AY839" s="132">
        <v>6720</v>
      </c>
      <c r="AZ839" s="132">
        <f>ROUNDDOWN(AY839+(AY839*MASTER!$A$2/100),0)</f>
        <v>7257</v>
      </c>
      <c r="BC839" s="88">
        <v>0</v>
      </c>
      <c r="BG839" s="88">
        <v>0</v>
      </c>
      <c r="BK839" s="88">
        <v>0</v>
      </c>
      <c r="BS839" s="88">
        <v>0</v>
      </c>
      <c r="BV839" s="89">
        <v>7560</v>
      </c>
      <c r="BW839" s="89">
        <v>0</v>
      </c>
      <c r="BX839" s="89">
        <v>43565</v>
      </c>
      <c r="BY839" s="89">
        <v>7560</v>
      </c>
      <c r="BZ839" s="112">
        <v>100</v>
      </c>
      <c r="CD839" s="87" t="s">
        <v>867</v>
      </c>
      <c r="CK839" s="88">
        <v>0</v>
      </c>
    </row>
    <row r="840" spans="1:89" x14ac:dyDescent="0.15">
      <c r="A840" s="84">
        <v>1</v>
      </c>
      <c r="B840" s="85">
        <v>43572</v>
      </c>
      <c r="C840" s="85">
        <v>43574</v>
      </c>
      <c r="F840" s="85" t="s">
        <v>338</v>
      </c>
      <c r="H840" s="85" t="s">
        <v>338</v>
      </c>
      <c r="J840" s="84">
        <v>2</v>
      </c>
      <c r="L840" s="84">
        <v>0</v>
      </c>
      <c r="M840" s="85">
        <v>43565</v>
      </c>
      <c r="N840" s="85" t="s">
        <v>265</v>
      </c>
      <c r="O840" s="86" t="s">
        <v>340</v>
      </c>
      <c r="P840" s="84" t="s">
        <v>78</v>
      </c>
      <c r="Q840" s="86" t="s">
        <v>138</v>
      </c>
      <c r="R840" s="86" t="s">
        <v>2575</v>
      </c>
      <c r="S840" s="87" t="s">
        <v>407</v>
      </c>
      <c r="T840" s="87" t="s">
        <v>408</v>
      </c>
      <c r="U840" s="88">
        <v>8300</v>
      </c>
      <c r="V840" s="88">
        <v>8964</v>
      </c>
      <c r="W840" s="88">
        <v>8300</v>
      </c>
      <c r="X840" s="88">
        <v>8964</v>
      </c>
      <c r="Z840" s="88">
        <v>0</v>
      </c>
      <c r="AD840" s="84">
        <v>0</v>
      </c>
      <c r="AG840" s="84">
        <v>0</v>
      </c>
      <c r="AJ840" s="84">
        <v>0</v>
      </c>
      <c r="AR840" s="85">
        <v>43565</v>
      </c>
      <c r="AS840" s="84">
        <v>6001665656</v>
      </c>
      <c r="AT840" s="85">
        <v>43566</v>
      </c>
      <c r="AU840" s="84" t="s">
        <v>2574</v>
      </c>
      <c r="AV840" s="85">
        <v>43574</v>
      </c>
      <c r="AW840" s="123">
        <v>43585</v>
      </c>
      <c r="AX840" s="123">
        <v>43605</v>
      </c>
      <c r="AY840" s="132">
        <v>7968</v>
      </c>
      <c r="AZ840" s="132">
        <f>ROUNDDOWN(AY840+(AY840*MASTER!$A$2/100),0)</f>
        <v>8605</v>
      </c>
      <c r="BC840" s="88">
        <v>0</v>
      </c>
      <c r="BG840" s="88">
        <v>0</v>
      </c>
      <c r="BK840" s="88">
        <v>0</v>
      </c>
      <c r="BS840" s="88">
        <v>0</v>
      </c>
      <c r="BV840" s="89">
        <v>8964</v>
      </c>
      <c r="BW840" s="89">
        <v>0</v>
      </c>
      <c r="BX840" s="89">
        <v>43565</v>
      </c>
      <c r="BY840" s="89">
        <v>8964</v>
      </c>
      <c r="BZ840" s="112">
        <v>100</v>
      </c>
      <c r="CK840" s="88">
        <v>0</v>
      </c>
    </row>
    <row r="841" spans="1:89" x14ac:dyDescent="0.15">
      <c r="A841" s="84">
        <v>1</v>
      </c>
      <c r="C841" s="85" t="s">
        <v>338</v>
      </c>
      <c r="F841" s="85" t="s">
        <v>338</v>
      </c>
      <c r="H841" s="85" t="s">
        <v>338</v>
      </c>
      <c r="J841" s="84">
        <v>2</v>
      </c>
      <c r="K841" s="85">
        <v>43567</v>
      </c>
      <c r="L841" s="84" t="s">
        <v>818</v>
      </c>
      <c r="M841" s="85">
        <v>43566</v>
      </c>
      <c r="N841" s="85" t="s">
        <v>264</v>
      </c>
      <c r="O841" s="86" t="s">
        <v>340</v>
      </c>
      <c r="P841" s="84" t="s">
        <v>272</v>
      </c>
      <c r="Q841" s="86" t="s">
        <v>138</v>
      </c>
      <c r="R841" s="86" t="s">
        <v>2576</v>
      </c>
      <c r="S841" s="87" t="s">
        <v>387</v>
      </c>
      <c r="T841" s="87" t="s">
        <v>2577</v>
      </c>
      <c r="U841" s="88">
        <v>250000</v>
      </c>
      <c r="V841" s="88">
        <v>270000</v>
      </c>
      <c r="W841" s="88">
        <v>250000</v>
      </c>
      <c r="X841" s="88">
        <v>270000</v>
      </c>
      <c r="Z841" s="88">
        <v>0</v>
      </c>
      <c r="AD841" s="84">
        <v>0</v>
      </c>
      <c r="AG841" s="84">
        <v>0</v>
      </c>
      <c r="AJ841" s="84">
        <v>0</v>
      </c>
      <c r="AR841" s="85">
        <v>43574</v>
      </c>
      <c r="AS841" s="84">
        <v>6001668403</v>
      </c>
      <c r="AT841" s="85">
        <v>43577</v>
      </c>
      <c r="AU841" s="84" t="s">
        <v>2578</v>
      </c>
      <c r="AV841" s="85">
        <v>43587</v>
      </c>
      <c r="AW841" s="123">
        <v>43616</v>
      </c>
      <c r="AX841" s="123">
        <v>43636</v>
      </c>
      <c r="AY841" s="140">
        <v>250000</v>
      </c>
      <c r="AZ841" s="132">
        <f>ROUNDDOWN(AY841+(AY841*MASTER!$A$2/100),0)</f>
        <v>270000</v>
      </c>
      <c r="BC841" s="88">
        <v>0</v>
      </c>
      <c r="BG841" s="88">
        <v>0</v>
      </c>
      <c r="BK841" s="88">
        <v>0</v>
      </c>
      <c r="BS841" s="88">
        <v>0</v>
      </c>
      <c r="BV841" s="89">
        <v>270000</v>
      </c>
      <c r="BW841" s="89">
        <v>0</v>
      </c>
      <c r="BX841" s="89">
        <v>0</v>
      </c>
      <c r="BY841" s="89">
        <v>43567</v>
      </c>
      <c r="BZ841" s="112">
        <v>100</v>
      </c>
    </row>
    <row r="842" spans="1:89" x14ac:dyDescent="0.15">
      <c r="A842" s="84">
        <v>1</v>
      </c>
      <c r="C842" s="85" t="s">
        <v>338</v>
      </c>
      <c r="F842" s="85" t="s">
        <v>338</v>
      </c>
      <c r="G842" s="85">
        <v>43566</v>
      </c>
      <c r="H842" s="85" t="s">
        <v>338</v>
      </c>
      <c r="J842" s="84">
        <v>4</v>
      </c>
      <c r="L842" s="84">
        <v>0</v>
      </c>
      <c r="M842" s="85">
        <v>43566</v>
      </c>
      <c r="N842" s="85" t="s">
        <v>265</v>
      </c>
      <c r="O842" s="86" t="s">
        <v>340</v>
      </c>
      <c r="P842" s="84" t="s">
        <v>6</v>
      </c>
      <c r="Q842" s="86" t="s">
        <v>138</v>
      </c>
      <c r="R842" s="86" t="s">
        <v>2579</v>
      </c>
      <c r="S842" s="87" t="s">
        <v>1921</v>
      </c>
      <c r="T842" s="87" t="s">
        <v>1212</v>
      </c>
      <c r="U842" s="88">
        <v>0</v>
      </c>
      <c r="V842" s="88">
        <v>0</v>
      </c>
      <c r="W842" s="88">
        <v>0</v>
      </c>
      <c r="X842" s="88">
        <v>0</v>
      </c>
      <c r="Y842" s="88">
        <v>0</v>
      </c>
      <c r="Z842" s="88">
        <v>0</v>
      </c>
      <c r="AA842" s="85">
        <v>43511</v>
      </c>
      <c r="AD842" s="84">
        <v>0</v>
      </c>
      <c r="AG842" s="84">
        <v>0</v>
      </c>
      <c r="AJ842" s="84">
        <v>0</v>
      </c>
      <c r="AY842" s="132">
        <f>ROUNDDOWN((0.96*U842),0)</f>
        <v>0</v>
      </c>
      <c r="AZ842" s="132">
        <f>ROUNDDOWN(AY842+(AY842*MASTER!$A$2/100),0)</f>
        <v>0</v>
      </c>
      <c r="BC842" s="88">
        <v>0</v>
      </c>
      <c r="BG842" s="88">
        <v>0</v>
      </c>
      <c r="BK842" s="88">
        <v>0</v>
      </c>
      <c r="BS842" s="88">
        <v>0</v>
      </c>
      <c r="BV842" s="89">
        <v>0</v>
      </c>
      <c r="BW842" s="89">
        <v>0</v>
      </c>
      <c r="BX842" s="89">
        <v>43566</v>
      </c>
      <c r="BY842" s="89">
        <v>0</v>
      </c>
      <c r="BZ842" s="112" t="s">
        <v>338</v>
      </c>
      <c r="CD842" s="87" t="s">
        <v>2580</v>
      </c>
    </row>
    <row r="843" spans="1:89" x14ac:dyDescent="0.15">
      <c r="A843" s="84">
        <v>2</v>
      </c>
      <c r="C843" s="85" t="s">
        <v>338</v>
      </c>
      <c r="D843" s="85">
        <v>43566</v>
      </c>
      <c r="E843" s="85">
        <v>43566</v>
      </c>
      <c r="F843" s="85" t="s">
        <v>338</v>
      </c>
      <c r="G843" s="85">
        <v>43566</v>
      </c>
      <c r="H843" s="85" t="s">
        <v>338</v>
      </c>
      <c r="I843" s="84" t="s">
        <v>380</v>
      </c>
      <c r="J843" s="84">
        <v>4</v>
      </c>
      <c r="L843" s="84">
        <v>0</v>
      </c>
      <c r="M843" s="85">
        <v>43566</v>
      </c>
      <c r="N843" s="85" t="s">
        <v>265</v>
      </c>
      <c r="O843" s="86" t="s">
        <v>340</v>
      </c>
      <c r="P843" s="84" t="s">
        <v>6</v>
      </c>
      <c r="Q843" s="86" t="s">
        <v>138</v>
      </c>
      <c r="R843" s="86" t="s">
        <v>2581</v>
      </c>
      <c r="S843" s="87" t="s">
        <v>1921</v>
      </c>
      <c r="T843" s="87" t="s">
        <v>2582</v>
      </c>
      <c r="U843" s="88">
        <v>0</v>
      </c>
      <c r="V843" s="88">
        <v>0</v>
      </c>
      <c r="W843" s="88">
        <v>0</v>
      </c>
      <c r="X843" s="88">
        <v>0</v>
      </c>
      <c r="Y843" s="88">
        <v>0</v>
      </c>
      <c r="Z843" s="88">
        <v>0</v>
      </c>
      <c r="AA843" s="85">
        <v>43557</v>
      </c>
      <c r="AB843" s="85">
        <v>43557</v>
      </c>
      <c r="AD843" s="84">
        <v>0</v>
      </c>
      <c r="AG843" s="84">
        <v>0</v>
      </c>
      <c r="AJ843" s="84">
        <v>0</v>
      </c>
      <c r="AY843" s="132">
        <v>0</v>
      </c>
      <c r="AZ843" s="132">
        <f>ROUNDDOWN(AY843+(AY843*MASTER!$A$2/100),0)</f>
        <v>0</v>
      </c>
      <c r="BA843" s="84" t="s">
        <v>287</v>
      </c>
      <c r="BB843" s="88">
        <v>22000</v>
      </c>
      <c r="BC843" s="88">
        <v>23760</v>
      </c>
      <c r="BD843" s="84" t="s">
        <v>1579</v>
      </c>
      <c r="BG843" s="88">
        <v>0</v>
      </c>
      <c r="BK843" s="88">
        <v>0</v>
      </c>
      <c r="BS843" s="88">
        <v>0</v>
      </c>
      <c r="BV843" s="89">
        <v>0</v>
      </c>
      <c r="BW843" s="89">
        <v>23760</v>
      </c>
      <c r="BX843" s="89">
        <v>43566</v>
      </c>
      <c r="BY843" s="89">
        <v>-23760</v>
      </c>
      <c r="BZ843" s="112" t="s">
        <v>338</v>
      </c>
      <c r="CD843" s="87" t="s">
        <v>2583</v>
      </c>
    </row>
    <row r="844" spans="1:89" x14ac:dyDescent="0.15">
      <c r="A844" s="84">
        <v>2</v>
      </c>
      <c r="B844" s="85">
        <v>43572</v>
      </c>
      <c r="C844" s="85">
        <v>43577</v>
      </c>
      <c r="D844" s="85">
        <v>43574</v>
      </c>
      <c r="E844" s="85">
        <v>43574</v>
      </c>
      <c r="F844" s="85" t="s">
        <v>338</v>
      </c>
      <c r="G844" s="85">
        <v>43574</v>
      </c>
      <c r="H844" s="85" t="s">
        <v>338</v>
      </c>
      <c r="I844" s="84" t="s">
        <v>569</v>
      </c>
      <c r="J844" s="84">
        <v>2</v>
      </c>
      <c r="L844" s="84">
        <v>0</v>
      </c>
      <c r="M844" s="85">
        <v>43567</v>
      </c>
      <c r="N844" s="85" t="s">
        <v>265</v>
      </c>
      <c r="O844" s="86" t="s">
        <v>340</v>
      </c>
      <c r="P844" s="84" t="s">
        <v>6</v>
      </c>
      <c r="Q844" s="86" t="s">
        <v>138</v>
      </c>
      <c r="R844" s="86" t="s">
        <v>2584</v>
      </c>
      <c r="S844" s="87" t="s">
        <v>2585</v>
      </c>
      <c r="T844" s="87" t="s">
        <v>2586</v>
      </c>
      <c r="U844" s="88">
        <v>55000</v>
      </c>
      <c r="V844" s="88">
        <v>59400</v>
      </c>
      <c r="W844" s="88">
        <v>55000</v>
      </c>
      <c r="X844" s="88">
        <v>59400</v>
      </c>
      <c r="Y844" s="88">
        <v>0</v>
      </c>
      <c r="Z844" s="88">
        <v>0</v>
      </c>
      <c r="AA844" s="85">
        <v>43572</v>
      </c>
      <c r="AB844" s="85">
        <v>43572</v>
      </c>
      <c r="AD844" s="84">
        <v>0</v>
      </c>
      <c r="AG844" s="84">
        <v>0</v>
      </c>
      <c r="AJ844" s="84">
        <v>0</v>
      </c>
      <c r="AR844" s="85">
        <v>43571</v>
      </c>
      <c r="AS844" s="84">
        <v>6001667194</v>
      </c>
      <c r="AT844" s="85">
        <v>43571</v>
      </c>
      <c r="AU844" s="84" t="s">
        <v>2502</v>
      </c>
      <c r="AV844" s="85">
        <v>43577</v>
      </c>
      <c r="AW844" s="123">
        <v>43585</v>
      </c>
      <c r="AX844" s="123">
        <v>43605</v>
      </c>
      <c r="AY844" s="132">
        <v>52800</v>
      </c>
      <c r="AZ844" s="132">
        <f>ROUNDDOWN(AY844+(AY844*MASTER!$A$2/100),0)</f>
        <v>57024</v>
      </c>
      <c r="BA844" s="84" t="s">
        <v>286</v>
      </c>
      <c r="BB844" s="88">
        <v>39000</v>
      </c>
      <c r="BC844" s="88">
        <v>42120</v>
      </c>
      <c r="BD844" s="84" t="s">
        <v>1579</v>
      </c>
      <c r="BG844" s="88">
        <v>0</v>
      </c>
      <c r="BK844" s="88">
        <v>0</v>
      </c>
      <c r="BS844" s="88">
        <v>0</v>
      </c>
      <c r="BV844" s="89">
        <v>59400</v>
      </c>
      <c r="BW844" s="89">
        <v>42120</v>
      </c>
      <c r="BX844" s="89">
        <v>43567</v>
      </c>
      <c r="BY844" s="89">
        <v>17280</v>
      </c>
      <c r="BZ844" s="112">
        <v>29.09090909090909</v>
      </c>
    </row>
    <row r="845" spans="1:89" x14ac:dyDescent="0.15">
      <c r="A845" s="84">
        <v>2</v>
      </c>
      <c r="B845" s="85">
        <v>43602</v>
      </c>
      <c r="C845" s="85">
        <v>43607</v>
      </c>
      <c r="D845" s="85" t="s">
        <v>374</v>
      </c>
      <c r="E845" s="85">
        <v>43622</v>
      </c>
      <c r="F845" s="85">
        <v>43614</v>
      </c>
      <c r="G845" s="85">
        <v>43607</v>
      </c>
      <c r="H845" s="85">
        <v>43610</v>
      </c>
      <c r="I845" s="84" t="s">
        <v>1191</v>
      </c>
      <c r="J845" s="84">
        <v>1</v>
      </c>
      <c r="L845" s="84">
        <v>0</v>
      </c>
      <c r="M845" s="85">
        <v>43570</v>
      </c>
      <c r="N845" s="85" t="s">
        <v>265</v>
      </c>
      <c r="O845" s="86" t="s">
        <v>340</v>
      </c>
      <c r="P845" s="84" t="s">
        <v>26</v>
      </c>
      <c r="Q845" s="86" t="s">
        <v>138</v>
      </c>
      <c r="R845" s="86" t="s">
        <v>2587</v>
      </c>
      <c r="S845" s="87" t="s">
        <v>2588</v>
      </c>
      <c r="T845" s="87" t="s">
        <v>2589</v>
      </c>
      <c r="U845" s="88">
        <v>23900</v>
      </c>
      <c r="V845" s="88">
        <v>25812</v>
      </c>
      <c r="W845" s="88">
        <v>14700</v>
      </c>
      <c r="X845" s="88">
        <v>15876</v>
      </c>
      <c r="Y845" s="88">
        <v>9200</v>
      </c>
      <c r="Z845" s="88">
        <v>9936</v>
      </c>
      <c r="AA845" s="85">
        <v>43605</v>
      </c>
      <c r="AB845" s="85">
        <v>43607</v>
      </c>
      <c r="AC845" s="85">
        <v>43607</v>
      </c>
      <c r="AD845" s="84">
        <v>0</v>
      </c>
      <c r="AG845" s="84">
        <v>0</v>
      </c>
      <c r="AJ845" s="84">
        <v>0</v>
      </c>
      <c r="AM845" s="84" t="s">
        <v>290</v>
      </c>
      <c r="AN845" s="84" t="s">
        <v>2590</v>
      </c>
      <c r="AR845" s="85">
        <v>43592</v>
      </c>
      <c r="AS845" s="84">
        <v>6001670917</v>
      </c>
      <c r="AT845" s="85">
        <v>43592</v>
      </c>
      <c r="AU845" s="84" t="s">
        <v>2090</v>
      </c>
      <c r="AV845" s="85">
        <v>43607</v>
      </c>
      <c r="AW845" s="123">
        <v>43616</v>
      </c>
      <c r="AX845" s="123">
        <v>43636</v>
      </c>
      <c r="AY845" s="132">
        <v>22944</v>
      </c>
      <c r="AZ845" s="132">
        <f>ROUNDDOWN(AY845+(AY845*MASTER!$A$2/100),0)</f>
        <v>24779</v>
      </c>
      <c r="BA845" s="84" t="s">
        <v>778</v>
      </c>
      <c r="BC845" s="88">
        <v>0</v>
      </c>
      <c r="BG845" s="88">
        <v>0</v>
      </c>
      <c r="BI845" s="84" t="s">
        <v>276</v>
      </c>
      <c r="BJ845" s="88">
        <v>5980</v>
      </c>
      <c r="BK845" s="88">
        <v>6458.4</v>
      </c>
      <c r="BL845" s="84" t="s">
        <v>2567</v>
      </c>
      <c r="BS845" s="88">
        <v>0</v>
      </c>
      <c r="BV845" s="89">
        <v>15876</v>
      </c>
      <c r="BW845" s="89">
        <v>6458.4</v>
      </c>
      <c r="BX845" s="89">
        <v>43570</v>
      </c>
      <c r="BY845" s="89">
        <v>9417.6</v>
      </c>
      <c r="BZ845" s="112">
        <v>59.319727891156461</v>
      </c>
      <c r="CK845" s="88">
        <v>0</v>
      </c>
    </row>
    <row r="846" spans="1:89" x14ac:dyDescent="0.15">
      <c r="A846" s="84">
        <v>1</v>
      </c>
      <c r="B846" s="85">
        <v>43574</v>
      </c>
      <c r="C846" s="85">
        <v>43574</v>
      </c>
      <c r="F846" s="85" t="s">
        <v>338</v>
      </c>
      <c r="H846" s="85" t="s">
        <v>338</v>
      </c>
      <c r="J846" s="84">
        <v>2</v>
      </c>
      <c r="L846" s="84">
        <v>0</v>
      </c>
      <c r="M846" s="85">
        <v>43570</v>
      </c>
      <c r="N846" s="85" t="s">
        <v>265</v>
      </c>
      <c r="O846" s="86" t="s">
        <v>340</v>
      </c>
      <c r="P846" s="84" t="s">
        <v>78</v>
      </c>
      <c r="Q846" s="86" t="s">
        <v>138</v>
      </c>
      <c r="R846" s="86" t="s">
        <v>2591</v>
      </c>
      <c r="S846" s="87" t="s">
        <v>1914</v>
      </c>
      <c r="T846" s="87" t="s">
        <v>726</v>
      </c>
      <c r="U846" s="88">
        <v>65000</v>
      </c>
      <c r="V846" s="88">
        <v>70200</v>
      </c>
      <c r="W846" s="88">
        <v>65000</v>
      </c>
      <c r="X846" s="88">
        <v>70200</v>
      </c>
      <c r="Z846" s="88">
        <v>0</v>
      </c>
      <c r="AA846" s="85">
        <v>43565</v>
      </c>
      <c r="AB846" s="85">
        <v>43566</v>
      </c>
      <c r="AD846" s="84">
        <v>0</v>
      </c>
      <c r="AG846" s="84">
        <v>0</v>
      </c>
      <c r="AJ846" s="84">
        <v>0</v>
      </c>
      <c r="AN846" s="84" t="s">
        <v>338</v>
      </c>
      <c r="AR846" s="85">
        <v>43572</v>
      </c>
      <c r="AS846" s="84">
        <v>6001667681</v>
      </c>
      <c r="AT846" s="85">
        <v>43573</v>
      </c>
      <c r="AU846" s="84" t="s">
        <v>2322</v>
      </c>
      <c r="AV846" s="85">
        <v>43574</v>
      </c>
      <c r="AW846" s="123">
        <v>43585</v>
      </c>
      <c r="AX846" s="123">
        <v>43605</v>
      </c>
      <c r="AY846" s="132">
        <v>62400</v>
      </c>
      <c r="AZ846" s="132">
        <f>ROUNDDOWN(AY846+(AY846*MASTER!$A$2/100),0)</f>
        <v>67392</v>
      </c>
      <c r="BC846" s="88">
        <v>0</v>
      </c>
      <c r="BG846" s="88">
        <v>0</v>
      </c>
      <c r="BK846" s="88">
        <v>0</v>
      </c>
      <c r="BS846" s="88">
        <v>0</v>
      </c>
      <c r="BV846" s="89">
        <v>70200</v>
      </c>
      <c r="BW846" s="89">
        <v>0</v>
      </c>
      <c r="BX846" s="89">
        <v>43570</v>
      </c>
      <c r="BY846" s="89">
        <v>70200</v>
      </c>
      <c r="BZ846" s="112">
        <v>100</v>
      </c>
      <c r="CK846" s="88">
        <v>0</v>
      </c>
    </row>
    <row r="847" spans="1:89" x14ac:dyDescent="0.15">
      <c r="A847" s="84">
        <v>1</v>
      </c>
      <c r="B847" s="85">
        <v>43574</v>
      </c>
      <c r="C847" s="85">
        <v>43574</v>
      </c>
      <c r="F847" s="85" t="s">
        <v>338</v>
      </c>
      <c r="H847" s="85" t="s">
        <v>338</v>
      </c>
      <c r="J847" s="84">
        <v>2</v>
      </c>
      <c r="L847" s="84">
        <v>0</v>
      </c>
      <c r="M847" s="85">
        <v>43570</v>
      </c>
      <c r="N847" s="85" t="s">
        <v>265</v>
      </c>
      <c r="O847" s="86" t="s">
        <v>340</v>
      </c>
      <c r="P847" s="84" t="s">
        <v>78</v>
      </c>
      <c r="Q847" s="86" t="s">
        <v>138</v>
      </c>
      <c r="R847" s="86" t="s">
        <v>2592</v>
      </c>
      <c r="S847" s="87" t="s">
        <v>685</v>
      </c>
      <c r="T847" s="87" t="s">
        <v>726</v>
      </c>
      <c r="U847" s="88">
        <v>65000</v>
      </c>
      <c r="V847" s="88">
        <v>70200</v>
      </c>
      <c r="W847" s="88">
        <v>65000</v>
      </c>
      <c r="X847" s="88">
        <v>70200</v>
      </c>
      <c r="Z847" s="88">
        <v>0</v>
      </c>
      <c r="AA847" s="85">
        <v>43573</v>
      </c>
      <c r="AB847" s="85">
        <v>43574</v>
      </c>
      <c r="AD847" s="84">
        <v>0</v>
      </c>
      <c r="AG847" s="84">
        <v>0</v>
      </c>
      <c r="AJ847" s="84">
        <v>0</v>
      </c>
      <c r="AN847" s="84" t="s">
        <v>338</v>
      </c>
      <c r="AR847" s="85">
        <v>43572</v>
      </c>
      <c r="AS847" s="84">
        <v>6001667681</v>
      </c>
      <c r="AT847" s="85">
        <v>43573</v>
      </c>
      <c r="AU847" s="84" t="s">
        <v>2322</v>
      </c>
      <c r="AV847" s="85">
        <v>43574</v>
      </c>
      <c r="AW847" s="123">
        <v>43585</v>
      </c>
      <c r="AX847" s="123">
        <v>43605</v>
      </c>
      <c r="AY847" s="132">
        <v>62400</v>
      </c>
      <c r="AZ847" s="132">
        <f>ROUNDDOWN(AY847+(AY847*MASTER!$A$2/100),0)</f>
        <v>67392</v>
      </c>
      <c r="BC847" s="88">
        <v>0</v>
      </c>
      <c r="BG847" s="88">
        <v>0</v>
      </c>
      <c r="BK847" s="88">
        <v>0</v>
      </c>
      <c r="BS847" s="88">
        <v>0</v>
      </c>
      <c r="BV847" s="89">
        <v>70200</v>
      </c>
      <c r="BW847" s="89">
        <v>0</v>
      </c>
      <c r="BX847" s="89">
        <v>43570</v>
      </c>
      <c r="BY847" s="89">
        <v>70200</v>
      </c>
      <c r="BZ847" s="112">
        <v>100</v>
      </c>
      <c r="CK847" s="88">
        <v>0</v>
      </c>
    </row>
    <row r="848" spans="1:89" x14ac:dyDescent="0.15">
      <c r="A848" s="84">
        <v>2</v>
      </c>
      <c r="B848" s="85">
        <v>43574</v>
      </c>
      <c r="C848" s="85">
        <v>43581</v>
      </c>
      <c r="D848" s="85">
        <v>43610</v>
      </c>
      <c r="F848" s="85" t="s">
        <v>338</v>
      </c>
      <c r="H848" s="85" t="s">
        <v>338</v>
      </c>
      <c r="I848" s="84" t="s">
        <v>569</v>
      </c>
      <c r="J848" s="84">
        <v>2</v>
      </c>
      <c r="L848" s="84">
        <v>0</v>
      </c>
      <c r="M848" s="85">
        <v>43570</v>
      </c>
      <c r="N848" s="85" t="s">
        <v>265</v>
      </c>
      <c r="O848" s="86" t="s">
        <v>340</v>
      </c>
      <c r="P848" s="84" t="s">
        <v>26</v>
      </c>
      <c r="Q848" s="86" t="s">
        <v>138</v>
      </c>
      <c r="R848" s="86" t="s">
        <v>2593</v>
      </c>
      <c r="S848" s="87" t="s">
        <v>1648</v>
      </c>
      <c r="T848" s="87" t="s">
        <v>2594</v>
      </c>
      <c r="U848" s="88">
        <v>100000</v>
      </c>
      <c r="V848" s="88">
        <v>108000</v>
      </c>
      <c r="W848" s="88">
        <v>100000</v>
      </c>
      <c r="X848" s="88">
        <v>108000</v>
      </c>
      <c r="Z848" s="88">
        <v>0</v>
      </c>
      <c r="AA848" s="85">
        <v>43576</v>
      </c>
      <c r="AB848" s="85">
        <v>43581</v>
      </c>
      <c r="AD848" s="84">
        <v>0</v>
      </c>
      <c r="AG848" s="84">
        <v>0</v>
      </c>
      <c r="AJ848" s="84">
        <v>0</v>
      </c>
      <c r="AN848" s="84" t="s">
        <v>338</v>
      </c>
      <c r="AR848" s="85">
        <v>43572</v>
      </c>
      <c r="AS848" s="84">
        <v>6001667681</v>
      </c>
      <c r="AT848" s="85">
        <v>43573</v>
      </c>
      <c r="AU848" s="84" t="s">
        <v>2322</v>
      </c>
      <c r="AV848" s="85">
        <v>43581</v>
      </c>
      <c r="AW848" s="123">
        <v>43585</v>
      </c>
      <c r="AX848" s="123">
        <v>43605</v>
      </c>
      <c r="AY848" s="132">
        <v>96000</v>
      </c>
      <c r="AZ848" s="132">
        <f>ROUNDDOWN(AY848+(AY848*MASTER!$A$2/100),0)</f>
        <v>103680</v>
      </c>
      <c r="BA848" s="84" t="s">
        <v>778</v>
      </c>
      <c r="BC848" s="88">
        <v>0</v>
      </c>
      <c r="BG848" s="88">
        <v>0</v>
      </c>
      <c r="BK848" s="88">
        <v>0</v>
      </c>
      <c r="BS848" s="88">
        <v>0</v>
      </c>
      <c r="BV848" s="89">
        <v>108000</v>
      </c>
      <c r="BW848" s="89">
        <v>0</v>
      </c>
      <c r="BX848" s="89">
        <v>43570</v>
      </c>
      <c r="BY848" s="89">
        <v>108000</v>
      </c>
      <c r="BZ848" s="112">
        <v>100</v>
      </c>
      <c r="CK848" s="88">
        <v>0</v>
      </c>
    </row>
    <row r="849" spans="1:89" x14ac:dyDescent="0.15">
      <c r="A849" s="84">
        <v>2</v>
      </c>
      <c r="B849" s="85">
        <v>43574</v>
      </c>
      <c r="C849" s="85">
        <v>43574</v>
      </c>
      <c r="D849" s="85">
        <v>43571</v>
      </c>
      <c r="E849" s="85">
        <v>43571</v>
      </c>
      <c r="F849" s="85" t="s">
        <v>338</v>
      </c>
      <c r="G849" s="85">
        <v>43571</v>
      </c>
      <c r="H849" s="85" t="s">
        <v>338</v>
      </c>
      <c r="I849" s="84" t="s">
        <v>380</v>
      </c>
      <c r="J849" s="84">
        <v>2</v>
      </c>
      <c r="L849" s="84">
        <v>0</v>
      </c>
      <c r="M849" s="85">
        <v>43570</v>
      </c>
      <c r="N849" s="85" t="s">
        <v>265</v>
      </c>
      <c r="O849" s="86" t="s">
        <v>340</v>
      </c>
      <c r="P849" s="84" t="s">
        <v>6</v>
      </c>
      <c r="Q849" s="86" t="s">
        <v>138</v>
      </c>
      <c r="R849" s="86" t="s">
        <v>2595</v>
      </c>
      <c r="S849" s="87" t="s">
        <v>1900</v>
      </c>
      <c r="T849" s="87" t="s">
        <v>342</v>
      </c>
      <c r="U849" s="88">
        <v>35000</v>
      </c>
      <c r="V849" s="88">
        <v>37800</v>
      </c>
      <c r="W849" s="88">
        <v>35000</v>
      </c>
      <c r="X849" s="88">
        <v>37800</v>
      </c>
      <c r="Z849" s="88">
        <v>0</v>
      </c>
      <c r="AA849" s="85">
        <v>43570</v>
      </c>
      <c r="AB849" s="85">
        <v>43571</v>
      </c>
      <c r="AD849" s="84">
        <v>0</v>
      </c>
      <c r="AG849" s="84">
        <v>0</v>
      </c>
      <c r="AJ849" s="84">
        <v>0</v>
      </c>
      <c r="AR849" s="85">
        <v>43572</v>
      </c>
      <c r="AS849" s="84">
        <v>6001667681</v>
      </c>
      <c r="AT849" s="85">
        <v>43573</v>
      </c>
      <c r="AU849" s="84" t="s">
        <v>2322</v>
      </c>
      <c r="AV849" s="85">
        <v>43574</v>
      </c>
      <c r="AW849" s="123">
        <v>43585</v>
      </c>
      <c r="AX849" s="123">
        <v>43605</v>
      </c>
      <c r="AY849" s="132">
        <v>33600</v>
      </c>
      <c r="AZ849" s="132">
        <f>ROUNDDOWN(AY849+(AY849*MASTER!$A$2/100),0)</f>
        <v>36288</v>
      </c>
      <c r="BA849" s="84" t="s">
        <v>543</v>
      </c>
      <c r="BB849" s="88">
        <v>26000</v>
      </c>
      <c r="BC849" s="88">
        <v>28080</v>
      </c>
      <c r="BD849" s="84" t="s">
        <v>1579</v>
      </c>
      <c r="BG849" s="88">
        <v>0</v>
      </c>
      <c r="BK849" s="88">
        <v>0</v>
      </c>
      <c r="BS849" s="88">
        <v>0</v>
      </c>
      <c r="BV849" s="89">
        <v>37800</v>
      </c>
      <c r="BW849" s="89">
        <v>28080</v>
      </c>
      <c r="BX849" s="89">
        <v>43570</v>
      </c>
      <c r="BY849" s="89">
        <v>9720</v>
      </c>
      <c r="BZ849" s="112">
        <v>25.714285714285712</v>
      </c>
    </row>
    <row r="850" spans="1:89" x14ac:dyDescent="0.15">
      <c r="A850" s="84">
        <v>1</v>
      </c>
      <c r="B850" s="85">
        <v>43592</v>
      </c>
      <c r="C850" s="85">
        <v>43599</v>
      </c>
      <c r="F850" s="85" t="s">
        <v>338</v>
      </c>
      <c r="H850" s="85" t="s">
        <v>338</v>
      </c>
      <c r="J850" s="84">
        <v>2</v>
      </c>
      <c r="L850" s="84">
        <v>0</v>
      </c>
      <c r="M850" s="85">
        <v>43570</v>
      </c>
      <c r="N850" s="85" t="s">
        <v>265</v>
      </c>
      <c r="O850" s="86" t="s">
        <v>340</v>
      </c>
      <c r="P850" s="84" t="s">
        <v>78</v>
      </c>
      <c r="Q850" s="86" t="s">
        <v>138</v>
      </c>
      <c r="R850" s="86" t="s">
        <v>2596</v>
      </c>
      <c r="S850" s="87" t="s">
        <v>436</v>
      </c>
      <c r="T850" s="87" t="s">
        <v>726</v>
      </c>
      <c r="U850" s="88">
        <v>65000</v>
      </c>
      <c r="V850" s="88">
        <v>70200</v>
      </c>
      <c r="W850" s="88">
        <v>65000</v>
      </c>
      <c r="X850" s="88">
        <v>70200</v>
      </c>
      <c r="Z850" s="88">
        <v>0</v>
      </c>
      <c r="AA850" s="85">
        <v>43598</v>
      </c>
      <c r="AB850" s="85">
        <v>43599</v>
      </c>
      <c r="AD850" s="84">
        <v>0</v>
      </c>
      <c r="AG850" s="84">
        <v>0</v>
      </c>
      <c r="AJ850" s="84">
        <v>0</v>
      </c>
      <c r="AN850" s="84" t="s">
        <v>338</v>
      </c>
      <c r="AR850" s="85">
        <v>43572</v>
      </c>
      <c r="AS850" s="84">
        <v>6001667681</v>
      </c>
      <c r="AT850" s="85">
        <v>43573</v>
      </c>
      <c r="AU850" s="84" t="s">
        <v>2322</v>
      </c>
      <c r="AV850" s="85">
        <v>43599</v>
      </c>
      <c r="AW850" s="123">
        <v>43616</v>
      </c>
      <c r="AX850" s="123">
        <v>43636</v>
      </c>
      <c r="AY850" s="132">
        <v>62400</v>
      </c>
      <c r="AZ850" s="132">
        <f>ROUNDDOWN(AY850+(AY850*MASTER!$A$2/100),0)</f>
        <v>67392</v>
      </c>
      <c r="BC850" s="88">
        <v>0</v>
      </c>
      <c r="BG850" s="88">
        <v>0</v>
      </c>
      <c r="BK850" s="88">
        <v>0</v>
      </c>
      <c r="BS850" s="88">
        <v>0</v>
      </c>
      <c r="BV850" s="89">
        <v>70200</v>
      </c>
      <c r="BW850" s="89">
        <v>0</v>
      </c>
      <c r="BX850" s="89">
        <v>43570</v>
      </c>
      <c r="BY850" s="89">
        <v>70200</v>
      </c>
      <c r="BZ850" s="112">
        <v>100</v>
      </c>
      <c r="CK850" s="88">
        <v>0</v>
      </c>
    </row>
    <row r="851" spans="1:89" s="151" customFormat="1" x14ac:dyDescent="0.15">
      <c r="A851" s="141">
        <v>3</v>
      </c>
      <c r="B851" s="142"/>
      <c r="C851" s="142" t="s">
        <v>338</v>
      </c>
      <c r="D851" s="142"/>
      <c r="E851" s="142"/>
      <c r="F851" s="142" t="s">
        <v>338</v>
      </c>
      <c r="G851" s="142"/>
      <c r="H851" s="142" t="s">
        <v>338</v>
      </c>
      <c r="I851" s="141"/>
      <c r="J851" s="141">
        <v>1</v>
      </c>
      <c r="K851" s="142"/>
      <c r="L851" s="141">
        <v>0</v>
      </c>
      <c r="M851" s="142">
        <v>43570</v>
      </c>
      <c r="N851" s="142" t="s">
        <v>265</v>
      </c>
      <c r="O851" s="143" t="s">
        <v>340</v>
      </c>
      <c r="P851" s="141" t="s">
        <v>26</v>
      </c>
      <c r="Q851" s="143" t="s">
        <v>138</v>
      </c>
      <c r="R851" s="143" t="s">
        <v>2597</v>
      </c>
      <c r="S851" s="144" t="s">
        <v>1914</v>
      </c>
      <c r="T851" s="144" t="s">
        <v>801</v>
      </c>
      <c r="U851" s="145">
        <v>64000</v>
      </c>
      <c r="V851" s="145">
        <v>69120</v>
      </c>
      <c r="W851" s="145">
        <v>50000</v>
      </c>
      <c r="X851" s="145">
        <v>54000</v>
      </c>
      <c r="Y851" s="145">
        <v>14000</v>
      </c>
      <c r="Z851" s="145">
        <v>15120</v>
      </c>
      <c r="AA851" s="142"/>
      <c r="AB851" s="142"/>
      <c r="AC851" s="142"/>
      <c r="AD851" s="141">
        <v>0</v>
      </c>
      <c r="AE851" s="141"/>
      <c r="AF851" s="141"/>
      <c r="AG851" s="141">
        <v>0</v>
      </c>
      <c r="AH851" s="141"/>
      <c r="AI851" s="141"/>
      <c r="AJ851" s="141">
        <v>0</v>
      </c>
      <c r="AK851" s="141"/>
      <c r="AL851" s="141"/>
      <c r="AM851" s="141"/>
      <c r="AN851" s="141" t="s">
        <v>338</v>
      </c>
      <c r="AO851" s="142"/>
      <c r="AP851" s="141"/>
      <c r="AQ851" s="141"/>
      <c r="AR851" s="142"/>
      <c r="AS851" s="141"/>
      <c r="AT851" s="142"/>
      <c r="AU851" s="141"/>
      <c r="AV851" s="142"/>
      <c r="AW851" s="146"/>
      <c r="AX851" s="146"/>
      <c r="AY851" s="147">
        <v>61440</v>
      </c>
      <c r="AZ851" s="132">
        <f>ROUNDDOWN(AY851+(AY851*MASTER!$A$2/100),0)</f>
        <v>66355</v>
      </c>
      <c r="BA851" s="141"/>
      <c r="BB851" s="145"/>
      <c r="BC851" s="145">
        <v>0</v>
      </c>
      <c r="BD851" s="141"/>
      <c r="BE851" s="141"/>
      <c r="BF851" s="145"/>
      <c r="BG851" s="145">
        <v>0</v>
      </c>
      <c r="BH851" s="141"/>
      <c r="BI851" s="141"/>
      <c r="BJ851" s="145"/>
      <c r="BK851" s="145">
        <v>0</v>
      </c>
      <c r="BL851" s="141"/>
      <c r="BM851" s="145"/>
      <c r="BN851" s="145"/>
      <c r="BO851" s="145"/>
      <c r="BP851" s="145"/>
      <c r="BQ851" s="145"/>
      <c r="BR851" s="145"/>
      <c r="BS851" s="145">
        <v>0</v>
      </c>
      <c r="BT851" s="148"/>
      <c r="BU851" s="148"/>
      <c r="BV851" s="149">
        <v>54000</v>
      </c>
      <c r="BW851" s="149">
        <v>0</v>
      </c>
      <c r="BX851" s="149">
        <v>43570</v>
      </c>
      <c r="BY851" s="149">
        <v>54000</v>
      </c>
      <c r="BZ851" s="150">
        <v>100</v>
      </c>
      <c r="CA851" s="141"/>
      <c r="CB851" s="141"/>
      <c r="CC851" s="141"/>
      <c r="CD851" s="144" t="s">
        <v>1585</v>
      </c>
      <c r="CE851" s="142"/>
      <c r="CF851" s="142"/>
      <c r="CG851" s="142"/>
      <c r="CH851" s="142"/>
      <c r="CI851" s="142"/>
      <c r="CJ851" s="142"/>
      <c r="CK851" s="145">
        <v>0</v>
      </c>
    </row>
    <row r="852" spans="1:89" x14ac:dyDescent="0.15">
      <c r="A852" s="84">
        <v>1</v>
      </c>
      <c r="B852" s="85">
        <v>43595</v>
      </c>
      <c r="C852" s="85">
        <v>43616</v>
      </c>
      <c r="F852" s="85" t="s">
        <v>338</v>
      </c>
      <c r="H852" s="85" t="s">
        <v>338</v>
      </c>
      <c r="J852" s="84">
        <v>3</v>
      </c>
      <c r="L852" s="84">
        <v>0</v>
      </c>
      <c r="M852" s="85">
        <v>43571</v>
      </c>
      <c r="N852" s="85" t="s">
        <v>265</v>
      </c>
      <c r="O852" s="86" t="s">
        <v>340</v>
      </c>
      <c r="P852" s="84" t="s">
        <v>6</v>
      </c>
      <c r="Q852" s="86" t="s">
        <v>138</v>
      </c>
      <c r="R852" s="86" t="s">
        <v>2598</v>
      </c>
      <c r="S852" s="87" t="s">
        <v>598</v>
      </c>
      <c r="T852" s="87" t="s">
        <v>2599</v>
      </c>
      <c r="U852" s="88">
        <v>9000</v>
      </c>
      <c r="V852" s="88">
        <v>9720</v>
      </c>
      <c r="X852" s="88">
        <v>0</v>
      </c>
      <c r="Y852" s="88">
        <v>9000</v>
      </c>
      <c r="Z852" s="88">
        <v>9720</v>
      </c>
      <c r="AD852" s="84">
        <v>0</v>
      </c>
      <c r="AG852" s="84">
        <v>0</v>
      </c>
      <c r="AJ852" s="84">
        <v>0</v>
      </c>
      <c r="AR852" s="85">
        <v>43573</v>
      </c>
      <c r="AS852" s="84">
        <v>6001667893</v>
      </c>
      <c r="AT852" s="85">
        <v>43573</v>
      </c>
      <c r="AU852" s="84" t="s">
        <v>2490</v>
      </c>
      <c r="AV852" s="85">
        <v>43616</v>
      </c>
      <c r="AW852" s="123">
        <v>43616</v>
      </c>
      <c r="AX852" s="123">
        <v>43636</v>
      </c>
      <c r="AY852" s="132">
        <v>8640</v>
      </c>
      <c r="AZ852" s="132">
        <f>ROUNDDOWN(AY852+(AY852*MASTER!$A$2/100),0)</f>
        <v>9331</v>
      </c>
      <c r="BC852" s="88">
        <v>0</v>
      </c>
      <c r="BG852" s="88">
        <v>0</v>
      </c>
      <c r="BK852" s="88">
        <v>0</v>
      </c>
      <c r="BS852" s="88">
        <v>0</v>
      </c>
      <c r="BV852" s="89">
        <v>0</v>
      </c>
      <c r="BW852" s="89">
        <v>0</v>
      </c>
      <c r="BX852" s="89">
        <v>43571</v>
      </c>
      <c r="BY852" s="89">
        <v>0</v>
      </c>
      <c r="BZ852" s="112" t="s">
        <v>338</v>
      </c>
    </row>
    <row r="853" spans="1:89" x14ac:dyDescent="0.15">
      <c r="A853" s="84">
        <v>2</v>
      </c>
      <c r="B853" s="85">
        <v>43637</v>
      </c>
      <c r="C853" s="85">
        <v>43637</v>
      </c>
      <c r="F853" s="85" t="s">
        <v>338</v>
      </c>
      <c r="H853" s="85" t="s">
        <v>338</v>
      </c>
      <c r="J853" s="84">
        <v>2</v>
      </c>
      <c r="L853" s="84">
        <v>0</v>
      </c>
      <c r="M853" s="85">
        <v>43571</v>
      </c>
      <c r="N853" s="85" t="s">
        <v>265</v>
      </c>
      <c r="O853" s="86" t="s">
        <v>340</v>
      </c>
      <c r="P853" s="84" t="s">
        <v>272</v>
      </c>
      <c r="Q853" s="86" t="s">
        <v>138</v>
      </c>
      <c r="R853" s="86" t="s">
        <v>2600</v>
      </c>
      <c r="S853" s="87" t="s">
        <v>1845</v>
      </c>
      <c r="T853" s="87" t="s">
        <v>2601</v>
      </c>
      <c r="U853" s="88">
        <v>3000</v>
      </c>
      <c r="V853" s="88">
        <v>3240</v>
      </c>
      <c r="W853" s="88">
        <v>3000</v>
      </c>
      <c r="X853" s="88">
        <v>3240</v>
      </c>
      <c r="Z853" s="88">
        <v>0</v>
      </c>
      <c r="AA853" s="85">
        <v>43564</v>
      </c>
      <c r="AD853" s="84">
        <v>0</v>
      </c>
      <c r="AG853" s="84">
        <v>0</v>
      </c>
      <c r="AJ853" s="84">
        <v>0</v>
      </c>
      <c r="AR853" s="85">
        <v>43635</v>
      </c>
      <c r="AS853" s="84">
        <v>6001685421</v>
      </c>
      <c r="AT853" s="85">
        <v>43636</v>
      </c>
      <c r="AU853" s="84" t="s">
        <v>2602</v>
      </c>
      <c r="AV853" s="85">
        <v>43637</v>
      </c>
      <c r="AW853" s="123">
        <v>43646</v>
      </c>
      <c r="AX853" s="123">
        <v>43666</v>
      </c>
      <c r="AY853" s="132">
        <v>2880</v>
      </c>
      <c r="AZ853" s="132">
        <f>ROUNDDOWN(AY853+(AY853*MASTER!$A$2/100),0)</f>
        <v>3110</v>
      </c>
      <c r="BC853" s="88">
        <v>0</v>
      </c>
      <c r="BG853" s="88">
        <v>0</v>
      </c>
      <c r="BK853" s="88">
        <v>0</v>
      </c>
      <c r="BS853" s="88">
        <v>0</v>
      </c>
      <c r="BV853" s="89">
        <v>3240</v>
      </c>
      <c r="BW853" s="89">
        <v>0</v>
      </c>
      <c r="BX853" s="89">
        <v>43571</v>
      </c>
      <c r="BY853" s="89">
        <v>3240</v>
      </c>
      <c r="BZ853" s="112">
        <v>100</v>
      </c>
    </row>
    <row r="854" spans="1:89" x14ac:dyDescent="0.15">
      <c r="A854" s="84">
        <v>2</v>
      </c>
      <c r="C854" s="85" t="s">
        <v>338</v>
      </c>
      <c r="F854" s="85">
        <v>43583</v>
      </c>
      <c r="H854" s="85">
        <v>43579</v>
      </c>
      <c r="I854" s="84" t="s">
        <v>401</v>
      </c>
      <c r="J854" s="84">
        <v>4</v>
      </c>
      <c r="L854" s="84">
        <v>0</v>
      </c>
      <c r="M854" s="85">
        <v>43571</v>
      </c>
      <c r="N854" s="85" t="s">
        <v>265</v>
      </c>
      <c r="O854" s="86" t="s">
        <v>340</v>
      </c>
      <c r="P854" s="84" t="s">
        <v>26</v>
      </c>
      <c r="Q854" s="86" t="s">
        <v>138</v>
      </c>
      <c r="R854" s="86" t="s">
        <v>2603</v>
      </c>
      <c r="S854" s="87" t="s">
        <v>2192</v>
      </c>
      <c r="T854" s="87" t="s">
        <v>2604</v>
      </c>
      <c r="U854" s="88">
        <v>0</v>
      </c>
      <c r="V854" s="88">
        <v>0</v>
      </c>
      <c r="W854" s="88">
        <v>0</v>
      </c>
      <c r="X854" s="88">
        <v>0</v>
      </c>
      <c r="Y854" s="88">
        <v>0</v>
      </c>
      <c r="Z854" s="88">
        <v>0</v>
      </c>
      <c r="AA854" s="85">
        <v>43542</v>
      </c>
      <c r="AB854" s="85">
        <v>43576</v>
      </c>
      <c r="AC854" s="85">
        <v>43576</v>
      </c>
      <c r="AD854" s="84">
        <v>0</v>
      </c>
      <c r="AG854" s="84">
        <v>0</v>
      </c>
      <c r="AJ854" s="84">
        <v>0</v>
      </c>
      <c r="AN854" s="84" t="s">
        <v>338</v>
      </c>
      <c r="AY854" s="132">
        <v>0</v>
      </c>
      <c r="AZ854" s="132">
        <f>ROUNDDOWN(AY854+(AY854*MASTER!$A$2/100),0)</f>
        <v>0</v>
      </c>
      <c r="BA854" s="84" t="s">
        <v>287</v>
      </c>
      <c r="BB854" s="88">
        <v>1801900</v>
      </c>
      <c r="BC854" s="88">
        <v>1946052</v>
      </c>
      <c r="BD854" s="84" t="s">
        <v>2197</v>
      </c>
      <c r="BG854" s="88">
        <v>0</v>
      </c>
      <c r="BK854" s="88">
        <v>0</v>
      </c>
      <c r="BS854" s="88">
        <v>0</v>
      </c>
      <c r="BV854" s="89">
        <v>0</v>
      </c>
      <c r="BW854" s="89">
        <v>1946052</v>
      </c>
      <c r="BX854" s="89">
        <v>43571</v>
      </c>
      <c r="BY854" s="89">
        <v>-1946052</v>
      </c>
      <c r="BZ854" s="112" t="s">
        <v>338</v>
      </c>
      <c r="CK854" s="88">
        <v>0</v>
      </c>
    </row>
    <row r="855" spans="1:89" x14ac:dyDescent="0.15">
      <c r="A855" s="84">
        <v>1</v>
      </c>
      <c r="B855" s="85">
        <v>43595</v>
      </c>
      <c r="C855" s="85">
        <v>43616</v>
      </c>
      <c r="F855" s="85" t="s">
        <v>338</v>
      </c>
      <c r="H855" s="85" t="s">
        <v>338</v>
      </c>
      <c r="J855" s="84">
        <v>3</v>
      </c>
      <c r="L855" s="84">
        <v>0</v>
      </c>
      <c r="M855" s="85">
        <v>43571</v>
      </c>
      <c r="N855" s="85" t="s">
        <v>265</v>
      </c>
      <c r="O855" s="86" t="s">
        <v>340</v>
      </c>
      <c r="P855" s="84" t="s">
        <v>6</v>
      </c>
      <c r="Q855" s="86" t="s">
        <v>138</v>
      </c>
      <c r="R855" s="86" t="s">
        <v>2605</v>
      </c>
      <c r="S855" s="87" t="s">
        <v>1278</v>
      </c>
      <c r="T855" s="87" t="s">
        <v>2599</v>
      </c>
      <c r="U855" s="88">
        <v>9000</v>
      </c>
      <c r="V855" s="88">
        <v>9720</v>
      </c>
      <c r="X855" s="88">
        <v>0</v>
      </c>
      <c r="Y855" s="88">
        <v>9000</v>
      </c>
      <c r="Z855" s="88">
        <v>9720</v>
      </c>
      <c r="AD855" s="84">
        <v>0</v>
      </c>
      <c r="AG855" s="84">
        <v>0</v>
      </c>
      <c r="AJ855" s="84">
        <v>0</v>
      </c>
      <c r="AR855" s="85">
        <v>43573</v>
      </c>
      <c r="AS855" s="84">
        <v>6001667893</v>
      </c>
      <c r="AT855" s="85">
        <v>43573</v>
      </c>
      <c r="AU855" s="84" t="s">
        <v>2490</v>
      </c>
      <c r="AV855" s="85">
        <v>43616</v>
      </c>
      <c r="AW855" s="123">
        <v>43616</v>
      </c>
      <c r="AX855" s="123">
        <v>43636</v>
      </c>
      <c r="AY855" s="132">
        <v>8640</v>
      </c>
      <c r="AZ855" s="132">
        <f>ROUNDDOWN(AY855+(AY855*MASTER!$A$2/100),0)</f>
        <v>9331</v>
      </c>
      <c r="BC855" s="88">
        <v>0</v>
      </c>
      <c r="BG855" s="88">
        <v>0</v>
      </c>
      <c r="BK855" s="88">
        <v>0</v>
      </c>
      <c r="BS855" s="88">
        <v>0</v>
      </c>
      <c r="BV855" s="89">
        <v>0</v>
      </c>
      <c r="BW855" s="89">
        <v>0</v>
      </c>
      <c r="BX855" s="89">
        <v>43571</v>
      </c>
      <c r="BY855" s="89">
        <v>0</v>
      </c>
      <c r="BZ855" s="112" t="s">
        <v>338</v>
      </c>
    </row>
    <row r="856" spans="1:89" x14ac:dyDescent="0.15">
      <c r="A856" s="84">
        <v>1</v>
      </c>
      <c r="B856" s="85">
        <v>43579</v>
      </c>
      <c r="C856" s="85">
        <v>43574</v>
      </c>
      <c r="F856" s="85" t="s">
        <v>338</v>
      </c>
      <c r="H856" s="85" t="s">
        <v>338</v>
      </c>
      <c r="J856" s="84">
        <v>2</v>
      </c>
      <c r="L856" s="84">
        <v>0</v>
      </c>
      <c r="M856" s="85">
        <v>43572</v>
      </c>
      <c r="N856" s="85" t="s">
        <v>265</v>
      </c>
      <c r="O856" s="86" t="s">
        <v>340</v>
      </c>
      <c r="P856" s="84" t="s">
        <v>26</v>
      </c>
      <c r="Q856" s="86" t="s">
        <v>138</v>
      </c>
      <c r="R856" s="86" t="s">
        <v>2606</v>
      </c>
      <c r="S856" s="87" t="s">
        <v>2192</v>
      </c>
      <c r="T856" s="87" t="s">
        <v>2607</v>
      </c>
      <c r="U856" s="88">
        <v>300000</v>
      </c>
      <c r="V856" s="88">
        <v>324000</v>
      </c>
      <c r="W856" s="88">
        <v>300000</v>
      </c>
      <c r="X856" s="88">
        <v>324000</v>
      </c>
      <c r="Z856" s="88">
        <v>0</v>
      </c>
      <c r="AD856" s="84">
        <v>0</v>
      </c>
      <c r="AG856" s="84">
        <v>0</v>
      </c>
      <c r="AJ856" s="84">
        <v>0</v>
      </c>
      <c r="AN856" s="84" t="s">
        <v>338</v>
      </c>
      <c r="AR856" s="85">
        <v>43574</v>
      </c>
      <c r="AS856" s="84">
        <v>6001668404</v>
      </c>
      <c r="AT856" s="85">
        <v>43577</v>
      </c>
      <c r="AU856" s="84" t="s">
        <v>2608</v>
      </c>
      <c r="AV856" s="85">
        <v>43574</v>
      </c>
      <c r="AW856" s="123">
        <v>43585</v>
      </c>
      <c r="AX856" s="123">
        <v>43605</v>
      </c>
      <c r="AY856" s="132">
        <v>288000</v>
      </c>
      <c r="AZ856" s="132">
        <f>ROUNDDOWN(AY856+(AY856*MASTER!$A$2/100),0)</f>
        <v>311040</v>
      </c>
      <c r="BC856" s="88">
        <v>0</v>
      </c>
      <c r="BG856" s="88">
        <v>0</v>
      </c>
      <c r="BK856" s="88">
        <v>0</v>
      </c>
      <c r="BS856" s="88">
        <v>0</v>
      </c>
      <c r="BV856" s="89">
        <v>324000</v>
      </c>
      <c r="BW856" s="89">
        <v>0</v>
      </c>
      <c r="BX856" s="89">
        <v>43572</v>
      </c>
      <c r="BY856" s="89">
        <v>324000</v>
      </c>
      <c r="BZ856" s="112">
        <v>100</v>
      </c>
      <c r="CK856" s="88">
        <v>0</v>
      </c>
    </row>
    <row r="857" spans="1:89" x14ac:dyDescent="0.15">
      <c r="A857" s="84">
        <v>1</v>
      </c>
      <c r="B857" s="85">
        <v>43579</v>
      </c>
      <c r="C857" s="85">
        <v>43581</v>
      </c>
      <c r="F857" s="85" t="s">
        <v>338</v>
      </c>
      <c r="H857" s="85" t="s">
        <v>338</v>
      </c>
      <c r="J857" s="84">
        <v>2</v>
      </c>
      <c r="L857" s="84">
        <v>0</v>
      </c>
      <c r="M857" s="85">
        <v>43572</v>
      </c>
      <c r="N857" s="85" t="s">
        <v>265</v>
      </c>
      <c r="O857" s="86" t="s">
        <v>340</v>
      </c>
      <c r="P857" s="84" t="s">
        <v>26</v>
      </c>
      <c r="Q857" s="86" t="s">
        <v>138</v>
      </c>
      <c r="R857" s="86" t="s">
        <v>2609</v>
      </c>
      <c r="S857" s="87" t="s">
        <v>1648</v>
      </c>
      <c r="T857" s="87" t="s">
        <v>2610</v>
      </c>
      <c r="U857" s="88">
        <v>200000</v>
      </c>
      <c r="V857" s="88">
        <v>216000</v>
      </c>
      <c r="W857" s="88">
        <v>200000</v>
      </c>
      <c r="X857" s="88">
        <v>216000</v>
      </c>
      <c r="Z857" s="88">
        <v>0</v>
      </c>
      <c r="AA857" s="85">
        <v>43576</v>
      </c>
      <c r="AB857" s="85">
        <v>43581</v>
      </c>
      <c r="AD857" s="84">
        <v>0</v>
      </c>
      <c r="AG857" s="84">
        <v>0</v>
      </c>
      <c r="AJ857" s="84">
        <v>0</v>
      </c>
      <c r="AN857" s="84" t="s">
        <v>338</v>
      </c>
      <c r="AR857" s="85">
        <v>43574</v>
      </c>
      <c r="AS857" s="84">
        <v>6001668404</v>
      </c>
      <c r="AT857" s="85">
        <v>43577</v>
      </c>
      <c r="AU857" s="84" t="s">
        <v>2608</v>
      </c>
      <c r="AV857" s="85">
        <v>43581</v>
      </c>
      <c r="AW857" s="123">
        <v>43585</v>
      </c>
      <c r="AX857" s="123">
        <v>43605</v>
      </c>
      <c r="AY857" s="132">
        <v>192000</v>
      </c>
      <c r="AZ857" s="132">
        <f>ROUNDDOWN(AY857+(AY857*MASTER!$A$2/100),0)</f>
        <v>207360</v>
      </c>
      <c r="BC857" s="88">
        <v>0</v>
      </c>
      <c r="BG857" s="88">
        <v>0</v>
      </c>
      <c r="BK857" s="88">
        <v>0</v>
      </c>
      <c r="BS857" s="88">
        <v>0</v>
      </c>
      <c r="BV857" s="89">
        <v>216000</v>
      </c>
      <c r="BW857" s="89">
        <v>0</v>
      </c>
      <c r="BX857" s="89">
        <v>43572</v>
      </c>
      <c r="BY857" s="89">
        <v>216000</v>
      </c>
      <c r="BZ857" s="112">
        <v>100</v>
      </c>
      <c r="CK857" s="88">
        <v>0</v>
      </c>
    </row>
    <row r="858" spans="1:89" x14ac:dyDescent="0.15">
      <c r="A858" s="84">
        <v>1</v>
      </c>
      <c r="B858" s="85">
        <v>43579</v>
      </c>
      <c r="C858" s="85">
        <v>43580</v>
      </c>
      <c r="F858" s="85" t="s">
        <v>338</v>
      </c>
      <c r="H858" s="85" t="s">
        <v>338</v>
      </c>
      <c r="J858" s="84">
        <v>2</v>
      </c>
      <c r="L858" s="84">
        <v>0</v>
      </c>
      <c r="M858" s="85">
        <v>43572</v>
      </c>
      <c r="N858" s="85" t="s">
        <v>265</v>
      </c>
      <c r="O858" s="86" t="s">
        <v>340</v>
      </c>
      <c r="P858" s="84" t="s">
        <v>26</v>
      </c>
      <c r="Q858" s="86" t="s">
        <v>138</v>
      </c>
      <c r="R858" s="86" t="s">
        <v>2611</v>
      </c>
      <c r="S858" s="87" t="s">
        <v>740</v>
      </c>
      <c r="T858" s="87" t="s">
        <v>2612</v>
      </c>
      <c r="U858" s="88">
        <v>200000</v>
      </c>
      <c r="V858" s="88">
        <v>216000</v>
      </c>
      <c r="W858" s="88">
        <v>200000</v>
      </c>
      <c r="X858" s="88">
        <v>216000</v>
      </c>
      <c r="Z858" s="88">
        <v>0</v>
      </c>
      <c r="AA858" s="85">
        <v>43576</v>
      </c>
      <c r="AB858" s="85">
        <v>43580</v>
      </c>
      <c r="AD858" s="84">
        <v>0</v>
      </c>
      <c r="AG858" s="84">
        <v>0</v>
      </c>
      <c r="AJ858" s="84">
        <v>0</v>
      </c>
      <c r="AN858" s="84" t="s">
        <v>338</v>
      </c>
      <c r="AR858" s="85">
        <v>43574</v>
      </c>
      <c r="AS858" s="84">
        <v>6001668404</v>
      </c>
      <c r="AT858" s="85">
        <v>43577</v>
      </c>
      <c r="AU858" s="84" t="s">
        <v>2608</v>
      </c>
      <c r="AV858" s="85">
        <v>43580</v>
      </c>
      <c r="AW858" s="123">
        <v>43585</v>
      </c>
      <c r="AX858" s="123">
        <v>43605</v>
      </c>
      <c r="AY858" s="132">
        <v>192000</v>
      </c>
      <c r="AZ858" s="132">
        <f>ROUNDDOWN(AY858+(AY858*MASTER!$A$2/100),0)</f>
        <v>207360</v>
      </c>
      <c r="BC858" s="88">
        <v>0</v>
      </c>
      <c r="BG858" s="88">
        <v>0</v>
      </c>
      <c r="BK858" s="88">
        <v>0</v>
      </c>
      <c r="BS858" s="88">
        <v>0</v>
      </c>
      <c r="BV858" s="89">
        <v>216000</v>
      </c>
      <c r="BW858" s="89">
        <v>0</v>
      </c>
      <c r="BX858" s="89">
        <v>43572</v>
      </c>
      <c r="BY858" s="89">
        <v>216000</v>
      </c>
      <c r="BZ858" s="112">
        <v>100</v>
      </c>
      <c r="CK858" s="88">
        <v>0</v>
      </c>
    </row>
    <row r="859" spans="1:89" x14ac:dyDescent="0.15">
      <c r="A859" s="84">
        <v>1</v>
      </c>
      <c r="B859" s="85">
        <v>43579</v>
      </c>
      <c r="C859" s="85">
        <v>43579</v>
      </c>
      <c r="F859" s="85" t="s">
        <v>338</v>
      </c>
      <c r="H859" s="85" t="s">
        <v>338</v>
      </c>
      <c r="J859" s="84">
        <v>2</v>
      </c>
      <c r="L859" s="84">
        <v>0</v>
      </c>
      <c r="M859" s="85">
        <v>43572</v>
      </c>
      <c r="N859" s="85" t="s">
        <v>265</v>
      </c>
      <c r="O859" s="86" t="s">
        <v>340</v>
      </c>
      <c r="P859" s="84" t="s">
        <v>26</v>
      </c>
      <c r="Q859" s="86" t="s">
        <v>138</v>
      </c>
      <c r="R859" s="86" t="s">
        <v>2613</v>
      </c>
      <c r="S859" s="87" t="s">
        <v>1876</v>
      </c>
      <c r="T859" s="87" t="s">
        <v>2614</v>
      </c>
      <c r="U859" s="88">
        <v>200000</v>
      </c>
      <c r="V859" s="88">
        <v>216000</v>
      </c>
      <c r="W859" s="88">
        <v>200000</v>
      </c>
      <c r="X859" s="88">
        <v>216000</v>
      </c>
      <c r="Z859" s="88">
        <v>0</v>
      </c>
      <c r="AA859" s="85">
        <v>43576</v>
      </c>
      <c r="AB859" s="85">
        <v>43579</v>
      </c>
      <c r="AD859" s="84">
        <v>0</v>
      </c>
      <c r="AG859" s="84">
        <v>0</v>
      </c>
      <c r="AJ859" s="84">
        <v>0</v>
      </c>
      <c r="AN859" s="84" t="s">
        <v>338</v>
      </c>
      <c r="AR859" s="85">
        <v>43574</v>
      </c>
      <c r="AS859" s="84">
        <v>6001668404</v>
      </c>
      <c r="AT859" s="85">
        <v>43577</v>
      </c>
      <c r="AU859" s="84" t="s">
        <v>2608</v>
      </c>
      <c r="AV859" s="85">
        <v>43579</v>
      </c>
      <c r="AW859" s="123">
        <v>43585</v>
      </c>
      <c r="AX859" s="123">
        <v>43605</v>
      </c>
      <c r="AY859" s="132">
        <v>192000</v>
      </c>
      <c r="AZ859" s="132">
        <f>ROUNDDOWN(AY859+(AY859*MASTER!$A$2/100),0)</f>
        <v>207360</v>
      </c>
      <c r="BC859" s="88">
        <v>0</v>
      </c>
      <c r="BG859" s="88">
        <v>0</v>
      </c>
      <c r="BK859" s="88">
        <v>0</v>
      </c>
      <c r="BS859" s="88">
        <v>0</v>
      </c>
      <c r="BV859" s="89">
        <v>216000</v>
      </c>
      <c r="BW859" s="89">
        <v>0</v>
      </c>
      <c r="BX859" s="89">
        <v>43572</v>
      </c>
      <c r="BY859" s="89">
        <v>216000</v>
      </c>
      <c r="BZ859" s="112">
        <v>100</v>
      </c>
      <c r="CK859" s="88">
        <v>0</v>
      </c>
    </row>
    <row r="860" spans="1:89" s="151" customFormat="1" x14ac:dyDescent="0.15">
      <c r="A860" s="141">
        <v>3</v>
      </c>
      <c r="B860" s="142"/>
      <c r="C860" s="142" t="s">
        <v>338</v>
      </c>
      <c r="D860" s="142"/>
      <c r="E860" s="142"/>
      <c r="F860" s="142" t="s">
        <v>338</v>
      </c>
      <c r="G860" s="142"/>
      <c r="H860" s="142" t="s">
        <v>338</v>
      </c>
      <c r="I860" s="141"/>
      <c r="J860" s="141">
        <v>1</v>
      </c>
      <c r="K860" s="142"/>
      <c r="L860" s="141">
        <v>0</v>
      </c>
      <c r="M860" s="142">
        <v>43573</v>
      </c>
      <c r="N860" s="142" t="s">
        <v>265</v>
      </c>
      <c r="O860" s="143" t="s">
        <v>340</v>
      </c>
      <c r="P860" s="141" t="s">
        <v>26</v>
      </c>
      <c r="Q860" s="143" t="s">
        <v>138</v>
      </c>
      <c r="R860" s="143" t="s">
        <v>2615</v>
      </c>
      <c r="S860" s="144" t="s">
        <v>1204</v>
      </c>
      <c r="T860" s="144" t="s">
        <v>801</v>
      </c>
      <c r="U860" s="145">
        <v>64000</v>
      </c>
      <c r="V860" s="145">
        <v>69120</v>
      </c>
      <c r="W860" s="145">
        <v>50000</v>
      </c>
      <c r="X860" s="145">
        <v>54000</v>
      </c>
      <c r="Y860" s="145">
        <v>14000</v>
      </c>
      <c r="Z860" s="145">
        <v>15120</v>
      </c>
      <c r="AA860" s="142"/>
      <c r="AB860" s="142"/>
      <c r="AC860" s="142"/>
      <c r="AD860" s="141">
        <v>0</v>
      </c>
      <c r="AE860" s="141"/>
      <c r="AF860" s="141"/>
      <c r="AG860" s="141">
        <v>0</v>
      </c>
      <c r="AH860" s="141"/>
      <c r="AI860" s="141"/>
      <c r="AJ860" s="141">
        <v>0</v>
      </c>
      <c r="AK860" s="141"/>
      <c r="AL860" s="141"/>
      <c r="AM860" s="141"/>
      <c r="AN860" s="141" t="s">
        <v>338</v>
      </c>
      <c r="AO860" s="142"/>
      <c r="AP860" s="141"/>
      <c r="AQ860" s="141"/>
      <c r="AR860" s="142"/>
      <c r="AS860" s="141"/>
      <c r="AT860" s="142"/>
      <c r="AU860" s="141"/>
      <c r="AV860" s="142"/>
      <c r="AW860" s="146"/>
      <c r="AX860" s="146"/>
      <c r="AY860" s="147">
        <v>61440</v>
      </c>
      <c r="AZ860" s="132">
        <f>ROUNDDOWN(AY860+(AY860*MASTER!$A$2/100),0)</f>
        <v>66355</v>
      </c>
      <c r="BA860" s="141"/>
      <c r="BB860" s="145"/>
      <c r="BC860" s="145">
        <v>0</v>
      </c>
      <c r="BD860" s="141"/>
      <c r="BE860" s="141"/>
      <c r="BF860" s="145"/>
      <c r="BG860" s="145">
        <v>0</v>
      </c>
      <c r="BH860" s="141"/>
      <c r="BI860" s="141"/>
      <c r="BJ860" s="145"/>
      <c r="BK860" s="145">
        <v>0</v>
      </c>
      <c r="BL860" s="141"/>
      <c r="BM860" s="145"/>
      <c r="BN860" s="145"/>
      <c r="BO860" s="145"/>
      <c r="BP860" s="145"/>
      <c r="BQ860" s="145"/>
      <c r="BR860" s="145"/>
      <c r="BS860" s="145">
        <v>0</v>
      </c>
      <c r="BT860" s="148"/>
      <c r="BU860" s="148"/>
      <c r="BV860" s="149">
        <v>54000</v>
      </c>
      <c r="BW860" s="149">
        <v>0</v>
      </c>
      <c r="BX860" s="149">
        <v>43573</v>
      </c>
      <c r="BY860" s="149">
        <v>54000</v>
      </c>
      <c r="BZ860" s="150">
        <v>100</v>
      </c>
      <c r="CA860" s="141"/>
      <c r="CB860" s="141"/>
      <c r="CC860" s="141"/>
      <c r="CD860" s="144" t="s">
        <v>1585</v>
      </c>
      <c r="CE860" s="142"/>
      <c r="CF860" s="142"/>
      <c r="CG860" s="142"/>
      <c r="CH860" s="142"/>
      <c r="CI860" s="142"/>
      <c r="CJ860" s="142"/>
      <c r="CK860" s="145">
        <v>0</v>
      </c>
    </row>
    <row r="861" spans="1:89" x14ac:dyDescent="0.15">
      <c r="A861" s="84">
        <v>2</v>
      </c>
      <c r="B861" s="85">
        <v>43602</v>
      </c>
      <c r="C861" s="85">
        <v>43607</v>
      </c>
      <c r="D861" s="85" t="s">
        <v>374</v>
      </c>
      <c r="E861" s="85">
        <v>43613</v>
      </c>
      <c r="F861" s="85">
        <v>43616</v>
      </c>
      <c r="G861" s="85">
        <v>43613</v>
      </c>
      <c r="H861" s="85">
        <v>43612</v>
      </c>
      <c r="I861" s="84" t="s">
        <v>401</v>
      </c>
      <c r="J861" s="84">
        <v>1</v>
      </c>
      <c r="L861" s="84">
        <v>0</v>
      </c>
      <c r="M861" s="85">
        <v>43573</v>
      </c>
      <c r="N861" s="85" t="s">
        <v>265</v>
      </c>
      <c r="O861" s="86" t="s">
        <v>340</v>
      </c>
      <c r="P861" s="84" t="s">
        <v>26</v>
      </c>
      <c r="Q861" s="86" t="s">
        <v>138</v>
      </c>
      <c r="R861" s="86" t="s">
        <v>2616</v>
      </c>
      <c r="S861" s="87" t="s">
        <v>2617</v>
      </c>
      <c r="T861" s="87" t="s">
        <v>794</v>
      </c>
      <c r="U861" s="88">
        <v>23900</v>
      </c>
      <c r="V861" s="88">
        <v>25812</v>
      </c>
      <c r="W861" s="88">
        <v>14700</v>
      </c>
      <c r="X861" s="88">
        <v>15876</v>
      </c>
      <c r="Y861" s="88">
        <v>9200</v>
      </c>
      <c r="Z861" s="88">
        <v>9936</v>
      </c>
      <c r="AA861" s="85">
        <v>43608</v>
      </c>
      <c r="AB861" s="85">
        <v>43609</v>
      </c>
      <c r="AC861" s="85">
        <v>43609</v>
      </c>
      <c r="AD861" s="84">
        <v>0</v>
      </c>
      <c r="AG861" s="84">
        <v>0</v>
      </c>
      <c r="AJ861" s="84">
        <v>0</v>
      </c>
      <c r="AM861" s="84" t="s">
        <v>290</v>
      </c>
      <c r="AN861" s="84" t="s">
        <v>2618</v>
      </c>
      <c r="AR861" s="85">
        <v>43594</v>
      </c>
      <c r="AS861" s="84">
        <v>6001672064</v>
      </c>
      <c r="AT861" s="85">
        <v>43594</v>
      </c>
      <c r="AU861" s="84" t="s">
        <v>2619</v>
      </c>
      <c r="AV861" s="85">
        <v>43607</v>
      </c>
      <c r="AW861" s="123">
        <v>43616</v>
      </c>
      <c r="AX861" s="123">
        <v>43636</v>
      </c>
      <c r="AY861" s="132">
        <v>22944</v>
      </c>
      <c r="AZ861" s="132">
        <f>ROUNDDOWN(AY861+(AY861*MASTER!$A$2/100),0)</f>
        <v>24779</v>
      </c>
      <c r="BA861" s="84" t="s">
        <v>778</v>
      </c>
      <c r="BC861" s="88">
        <v>0</v>
      </c>
      <c r="BG861" s="88">
        <v>0</v>
      </c>
      <c r="BI861" s="84" t="s">
        <v>276</v>
      </c>
      <c r="BJ861" s="88">
        <v>5980</v>
      </c>
      <c r="BK861" s="88">
        <v>6458.4</v>
      </c>
      <c r="BL861" s="84" t="s">
        <v>2567</v>
      </c>
      <c r="BS861" s="88">
        <v>0</v>
      </c>
      <c r="BV861" s="89">
        <v>15876</v>
      </c>
      <c r="BW861" s="89">
        <v>6458.4</v>
      </c>
      <c r="BX861" s="89">
        <v>43573</v>
      </c>
      <c r="BY861" s="89">
        <v>9417.6</v>
      </c>
      <c r="BZ861" s="112">
        <v>59.319727891156461</v>
      </c>
      <c r="CK861" s="88">
        <v>0</v>
      </c>
    </row>
    <row r="862" spans="1:89" x14ac:dyDescent="0.15">
      <c r="A862" s="84">
        <v>2</v>
      </c>
      <c r="B862" s="85">
        <v>43602</v>
      </c>
      <c r="C862" s="85">
        <v>43609</v>
      </c>
      <c r="D862" s="85" t="s">
        <v>374</v>
      </c>
      <c r="E862" s="85">
        <v>43613</v>
      </c>
      <c r="F862" s="85">
        <v>43616</v>
      </c>
      <c r="G862" s="85">
        <v>43613</v>
      </c>
      <c r="H862" s="85">
        <v>43612</v>
      </c>
      <c r="I862" s="84" t="s">
        <v>401</v>
      </c>
      <c r="J862" s="84">
        <v>1</v>
      </c>
      <c r="L862" s="84">
        <v>0</v>
      </c>
      <c r="M862" s="85">
        <v>43573</v>
      </c>
      <c r="N862" s="85" t="s">
        <v>265</v>
      </c>
      <c r="O862" s="86" t="s">
        <v>340</v>
      </c>
      <c r="P862" s="84" t="s">
        <v>26</v>
      </c>
      <c r="Q862" s="86" t="s">
        <v>138</v>
      </c>
      <c r="R862" s="86" t="s">
        <v>2620</v>
      </c>
      <c r="S862" s="87" t="s">
        <v>2621</v>
      </c>
      <c r="T862" s="87" t="s">
        <v>2622</v>
      </c>
      <c r="U862" s="88">
        <v>23900</v>
      </c>
      <c r="V862" s="88">
        <v>25812</v>
      </c>
      <c r="W862" s="88">
        <v>14700</v>
      </c>
      <c r="X862" s="88">
        <v>15876</v>
      </c>
      <c r="Y862" s="88">
        <v>9200</v>
      </c>
      <c r="Z862" s="88">
        <v>9936</v>
      </c>
      <c r="AA862" s="85">
        <v>43607</v>
      </c>
      <c r="AB862" s="85">
        <v>43609</v>
      </c>
      <c r="AC862" s="85">
        <v>43609</v>
      </c>
      <c r="AD862" s="84">
        <v>0</v>
      </c>
      <c r="AG862" s="84">
        <v>0</v>
      </c>
      <c r="AJ862" s="84">
        <v>0</v>
      </c>
      <c r="AM862" s="84" t="s">
        <v>290</v>
      </c>
      <c r="AN862" s="84" t="s">
        <v>2623</v>
      </c>
      <c r="AR862" s="85">
        <v>43600</v>
      </c>
      <c r="AS862" s="84">
        <v>6001674145</v>
      </c>
      <c r="AT862" s="85">
        <v>43600</v>
      </c>
      <c r="AU862" s="84" t="s">
        <v>2624</v>
      </c>
      <c r="AV862" s="85">
        <v>43609</v>
      </c>
      <c r="AW862" s="123">
        <v>43616</v>
      </c>
      <c r="AX862" s="123">
        <v>43636</v>
      </c>
      <c r="AY862" s="132">
        <v>22944</v>
      </c>
      <c r="AZ862" s="132">
        <f>ROUNDDOWN(AY862+(AY862*MASTER!$A$2/100),0)</f>
        <v>24779</v>
      </c>
      <c r="BA862" s="84" t="s">
        <v>778</v>
      </c>
      <c r="BC862" s="88">
        <v>0</v>
      </c>
      <c r="BG862" s="88">
        <v>0</v>
      </c>
      <c r="BI862" s="84" t="s">
        <v>276</v>
      </c>
      <c r="BJ862" s="88">
        <v>5980</v>
      </c>
      <c r="BK862" s="88">
        <v>6458.4</v>
      </c>
      <c r="BL862" s="84" t="s">
        <v>2567</v>
      </c>
      <c r="BS862" s="88">
        <v>0</v>
      </c>
      <c r="BV862" s="89">
        <v>15876</v>
      </c>
      <c r="BW862" s="89">
        <v>6458.4</v>
      </c>
      <c r="BX862" s="89">
        <v>43573</v>
      </c>
      <c r="BY862" s="89">
        <v>9417.6</v>
      </c>
      <c r="BZ862" s="112">
        <v>59.319727891156461</v>
      </c>
      <c r="CK862" s="88">
        <v>0</v>
      </c>
    </row>
    <row r="863" spans="1:89" x14ac:dyDescent="0.15">
      <c r="A863" s="84">
        <v>2</v>
      </c>
      <c r="B863" s="85">
        <v>43602</v>
      </c>
      <c r="C863" s="85">
        <v>43605</v>
      </c>
      <c r="D863" s="85" t="s">
        <v>374</v>
      </c>
      <c r="E863" s="85">
        <v>43606</v>
      </c>
      <c r="F863" s="85">
        <v>43612</v>
      </c>
      <c r="G863" s="85">
        <v>43606</v>
      </c>
      <c r="H863" s="85">
        <v>43608</v>
      </c>
      <c r="I863" s="84" t="s">
        <v>401</v>
      </c>
      <c r="J863" s="84">
        <v>1</v>
      </c>
      <c r="L863" s="84">
        <v>0</v>
      </c>
      <c r="M863" s="85">
        <v>43573</v>
      </c>
      <c r="N863" s="85" t="s">
        <v>265</v>
      </c>
      <c r="O863" s="86" t="s">
        <v>340</v>
      </c>
      <c r="P863" s="84" t="s">
        <v>26</v>
      </c>
      <c r="Q863" s="86" t="s">
        <v>138</v>
      </c>
      <c r="R863" s="86" t="s">
        <v>2625</v>
      </c>
      <c r="S863" s="87" t="s">
        <v>546</v>
      </c>
      <c r="T863" s="87" t="s">
        <v>2626</v>
      </c>
      <c r="U863" s="88">
        <v>23900</v>
      </c>
      <c r="V863" s="88">
        <v>25812</v>
      </c>
      <c r="W863" s="88">
        <v>14700</v>
      </c>
      <c r="X863" s="88">
        <v>15876</v>
      </c>
      <c r="Y863" s="88">
        <v>9200</v>
      </c>
      <c r="Z863" s="88">
        <v>9936</v>
      </c>
      <c r="AA863" s="85">
        <v>43604</v>
      </c>
      <c r="AB863" s="85">
        <v>43605</v>
      </c>
      <c r="AC863" s="85">
        <v>43605</v>
      </c>
      <c r="AD863" s="84">
        <v>0</v>
      </c>
      <c r="AG863" s="84">
        <v>0</v>
      </c>
      <c r="AJ863" s="84">
        <v>0</v>
      </c>
      <c r="AM863" s="84" t="s">
        <v>290</v>
      </c>
      <c r="AN863" s="84" t="s">
        <v>2627</v>
      </c>
      <c r="AR863" s="85">
        <v>43594</v>
      </c>
      <c r="AS863" s="84">
        <v>6001672064</v>
      </c>
      <c r="AT863" s="85">
        <v>43594</v>
      </c>
      <c r="AU863" s="84" t="s">
        <v>2619</v>
      </c>
      <c r="AV863" s="85">
        <v>43605</v>
      </c>
      <c r="AW863" s="123">
        <v>43616</v>
      </c>
      <c r="AX863" s="123">
        <v>43636</v>
      </c>
      <c r="AY863" s="132">
        <v>22944</v>
      </c>
      <c r="AZ863" s="132">
        <f>ROUNDDOWN(AY863+(AY863*MASTER!$A$2/100),0)</f>
        <v>24779</v>
      </c>
      <c r="BA863" s="84" t="s">
        <v>778</v>
      </c>
      <c r="BC863" s="88">
        <v>0</v>
      </c>
      <c r="BG863" s="88">
        <v>0</v>
      </c>
      <c r="BI863" s="84" t="s">
        <v>276</v>
      </c>
      <c r="BJ863" s="88">
        <v>5980</v>
      </c>
      <c r="BK863" s="88">
        <v>6458.4</v>
      </c>
      <c r="BL863" s="84" t="s">
        <v>1645</v>
      </c>
      <c r="BS863" s="88">
        <v>0</v>
      </c>
      <c r="BV863" s="89">
        <v>15876</v>
      </c>
      <c r="BW863" s="89">
        <v>6458.4</v>
      </c>
      <c r="BX863" s="89">
        <v>43573</v>
      </c>
      <c r="BY863" s="89">
        <v>9417.6</v>
      </c>
      <c r="BZ863" s="112">
        <v>59.319727891156461</v>
      </c>
      <c r="CK863" s="88">
        <v>0</v>
      </c>
    </row>
    <row r="864" spans="1:89" x14ac:dyDescent="0.15">
      <c r="A864" s="84">
        <v>2</v>
      </c>
      <c r="B864" s="85">
        <v>43602</v>
      </c>
      <c r="C864" s="85">
        <v>43609</v>
      </c>
      <c r="D864" s="85" t="s">
        <v>374</v>
      </c>
      <c r="E864" s="85">
        <v>43613</v>
      </c>
      <c r="F864" s="85">
        <v>43616</v>
      </c>
      <c r="G864" s="85">
        <v>43613</v>
      </c>
      <c r="H864" s="85">
        <v>43612</v>
      </c>
      <c r="I864" s="84" t="s">
        <v>401</v>
      </c>
      <c r="J864" s="84">
        <v>1</v>
      </c>
      <c r="L864" s="84">
        <v>0</v>
      </c>
      <c r="M864" s="85">
        <v>43573</v>
      </c>
      <c r="N864" s="85" t="s">
        <v>265</v>
      </c>
      <c r="O864" s="86" t="s">
        <v>340</v>
      </c>
      <c r="P864" s="84" t="s">
        <v>26</v>
      </c>
      <c r="Q864" s="86" t="s">
        <v>138</v>
      </c>
      <c r="R864" s="86" t="s">
        <v>2628</v>
      </c>
      <c r="S864" s="87" t="s">
        <v>2629</v>
      </c>
      <c r="T864" s="87" t="s">
        <v>2630</v>
      </c>
      <c r="U864" s="88">
        <v>17700</v>
      </c>
      <c r="V864" s="88">
        <v>19116</v>
      </c>
      <c r="W864" s="88">
        <v>14700</v>
      </c>
      <c r="X864" s="88">
        <v>15876</v>
      </c>
      <c r="Y864" s="88">
        <v>3000</v>
      </c>
      <c r="Z864" s="88">
        <v>3240</v>
      </c>
      <c r="AA864" s="85">
        <v>43608</v>
      </c>
      <c r="AB864" s="85">
        <v>43609</v>
      </c>
      <c r="AC864" s="85">
        <v>43609</v>
      </c>
      <c r="AD864" s="84">
        <v>0</v>
      </c>
      <c r="AG864" s="84">
        <v>0</v>
      </c>
      <c r="AJ864" s="84">
        <v>0</v>
      </c>
      <c r="AM864" s="84" t="s">
        <v>290</v>
      </c>
      <c r="AN864" s="84" t="s">
        <v>2631</v>
      </c>
      <c r="AR864" s="85">
        <v>43595</v>
      </c>
      <c r="AS864" s="84">
        <v>6001672552</v>
      </c>
      <c r="AT864" s="85">
        <v>43598</v>
      </c>
      <c r="AU864" s="84" t="s">
        <v>2632</v>
      </c>
      <c r="AV864" s="85">
        <v>43609</v>
      </c>
      <c r="AW864" s="123">
        <v>43616</v>
      </c>
      <c r="AX864" s="123">
        <v>43636</v>
      </c>
      <c r="AY864" s="132">
        <v>16992</v>
      </c>
      <c r="AZ864" s="132">
        <f>ROUNDDOWN(AY864+(AY864*MASTER!$A$2/100),0)</f>
        <v>18351</v>
      </c>
      <c r="BA864" s="84" t="s">
        <v>778</v>
      </c>
      <c r="BC864" s="88">
        <v>0</v>
      </c>
      <c r="BG864" s="88">
        <v>0</v>
      </c>
      <c r="BK864" s="88">
        <v>0</v>
      </c>
      <c r="BS864" s="88">
        <v>0</v>
      </c>
      <c r="BV864" s="89">
        <v>15876</v>
      </c>
      <c r="BW864" s="89">
        <v>0</v>
      </c>
      <c r="BX864" s="89">
        <v>43573</v>
      </c>
      <c r="BY864" s="89">
        <v>15876</v>
      </c>
      <c r="BZ864" s="112">
        <v>100</v>
      </c>
      <c r="CK864" s="88">
        <v>0</v>
      </c>
    </row>
    <row r="865" spans="1:89" x14ac:dyDescent="0.15">
      <c r="A865" s="84">
        <v>2</v>
      </c>
      <c r="B865" s="85">
        <v>43633</v>
      </c>
      <c r="C865" s="85">
        <v>43642</v>
      </c>
      <c r="E865" s="85">
        <v>43643</v>
      </c>
      <c r="F865" s="85">
        <v>43649</v>
      </c>
      <c r="G865" s="85">
        <v>43643</v>
      </c>
      <c r="H865" s="85">
        <v>43645</v>
      </c>
      <c r="I865" s="84" t="s">
        <v>401</v>
      </c>
      <c r="J865" s="84">
        <v>2</v>
      </c>
      <c r="L865" s="84">
        <v>0</v>
      </c>
      <c r="M865" s="85">
        <v>43574</v>
      </c>
      <c r="N865" s="85" t="s">
        <v>265</v>
      </c>
      <c r="O865" s="86" t="s">
        <v>340</v>
      </c>
      <c r="P865" s="84" t="s">
        <v>26</v>
      </c>
      <c r="Q865" s="86" t="s">
        <v>138</v>
      </c>
      <c r="R865" s="86" t="s">
        <v>2633</v>
      </c>
      <c r="S865" s="87" t="s">
        <v>2075</v>
      </c>
      <c r="T865" s="87" t="s">
        <v>2634</v>
      </c>
      <c r="U865" s="88">
        <v>133300</v>
      </c>
      <c r="V865" s="88">
        <v>143964</v>
      </c>
      <c r="W865" s="88">
        <v>133300</v>
      </c>
      <c r="X865" s="88">
        <v>143964</v>
      </c>
      <c r="Z865" s="88">
        <v>0</v>
      </c>
      <c r="AA865" s="85">
        <v>43640</v>
      </c>
      <c r="AB865" s="85">
        <v>43637</v>
      </c>
      <c r="AC865" s="85">
        <v>43642</v>
      </c>
      <c r="AD865" s="84">
        <v>0</v>
      </c>
      <c r="AG865" s="84">
        <v>0</v>
      </c>
      <c r="AJ865" s="84">
        <v>0</v>
      </c>
      <c r="AM865" s="84" t="s">
        <v>290</v>
      </c>
      <c r="AN865" s="84" t="s">
        <v>2635</v>
      </c>
      <c r="AR865" s="85">
        <v>43620</v>
      </c>
      <c r="AS865" s="84">
        <v>6001679765</v>
      </c>
      <c r="AT865" s="85">
        <v>43620</v>
      </c>
      <c r="AU865" s="84" t="s">
        <v>2636</v>
      </c>
      <c r="AV865" s="85">
        <v>43642</v>
      </c>
      <c r="AW865" s="123">
        <v>43646</v>
      </c>
      <c r="AX865" s="123">
        <v>43666</v>
      </c>
      <c r="AY865" s="132">
        <v>127968</v>
      </c>
      <c r="AZ865" s="132">
        <f>ROUNDDOWN(AY865+(AY865*MASTER!$A$2/100),0)</f>
        <v>138205</v>
      </c>
      <c r="BA865" s="84" t="s">
        <v>286</v>
      </c>
      <c r="BB865" s="88">
        <v>51320</v>
      </c>
      <c r="BC865" s="88">
        <v>55425.599999999999</v>
      </c>
      <c r="BD865" s="84" t="s">
        <v>2637</v>
      </c>
      <c r="BG865" s="88">
        <v>0</v>
      </c>
      <c r="BK865" s="88">
        <v>0</v>
      </c>
      <c r="BS865" s="88">
        <v>0</v>
      </c>
      <c r="BV865" s="89">
        <v>143964</v>
      </c>
      <c r="BW865" s="89">
        <v>55425.599999999999</v>
      </c>
      <c r="BX865" s="89">
        <v>43574</v>
      </c>
      <c r="BY865" s="89">
        <v>88538.4</v>
      </c>
      <c r="BZ865" s="112">
        <v>61.500375093773442</v>
      </c>
      <c r="CK865" s="88">
        <v>6300</v>
      </c>
    </row>
    <row r="866" spans="1:89" x14ac:dyDescent="0.15">
      <c r="A866" s="84">
        <v>2</v>
      </c>
      <c r="B866" s="85">
        <v>43602</v>
      </c>
      <c r="C866" s="85">
        <v>43609</v>
      </c>
      <c r="D866" s="85" t="s">
        <v>374</v>
      </c>
      <c r="E866" s="85">
        <v>43613</v>
      </c>
      <c r="F866" s="85">
        <v>43616</v>
      </c>
      <c r="G866" s="85">
        <v>43613</v>
      </c>
      <c r="H866" s="85">
        <v>43612</v>
      </c>
      <c r="I866" s="84" t="s">
        <v>401</v>
      </c>
      <c r="J866" s="84">
        <v>1</v>
      </c>
      <c r="L866" s="84">
        <v>0</v>
      </c>
      <c r="M866" s="85">
        <v>43574</v>
      </c>
      <c r="N866" s="85" t="s">
        <v>265</v>
      </c>
      <c r="O866" s="86" t="s">
        <v>340</v>
      </c>
      <c r="P866" s="84" t="s">
        <v>26</v>
      </c>
      <c r="Q866" s="86" t="s">
        <v>138</v>
      </c>
      <c r="R866" s="86" t="s">
        <v>2638</v>
      </c>
      <c r="S866" s="87" t="s">
        <v>390</v>
      </c>
      <c r="T866" s="87" t="s">
        <v>794</v>
      </c>
      <c r="U866" s="88">
        <v>23900</v>
      </c>
      <c r="V866" s="88">
        <v>25812</v>
      </c>
      <c r="W866" s="88">
        <v>14700</v>
      </c>
      <c r="X866" s="88">
        <v>15876</v>
      </c>
      <c r="Y866" s="88">
        <v>9200</v>
      </c>
      <c r="Z866" s="88">
        <v>9936</v>
      </c>
      <c r="AA866" s="85">
        <v>43607</v>
      </c>
      <c r="AB866" s="85">
        <v>43609</v>
      </c>
      <c r="AC866" s="85">
        <v>43609</v>
      </c>
      <c r="AD866" s="84">
        <v>0</v>
      </c>
      <c r="AG866" s="84">
        <v>0</v>
      </c>
      <c r="AJ866" s="84">
        <v>0</v>
      </c>
      <c r="AM866" s="84" t="s">
        <v>290</v>
      </c>
      <c r="AN866" s="84" t="s">
        <v>2639</v>
      </c>
      <c r="AR866" s="85">
        <v>43594</v>
      </c>
      <c r="AS866" s="84">
        <v>6001672064</v>
      </c>
      <c r="AT866" s="85">
        <v>43594</v>
      </c>
      <c r="AU866" s="84" t="s">
        <v>2619</v>
      </c>
      <c r="AV866" s="85">
        <v>43609</v>
      </c>
      <c r="AW866" s="123">
        <v>43616</v>
      </c>
      <c r="AX866" s="123">
        <v>43636</v>
      </c>
      <c r="AY866" s="132">
        <v>22944</v>
      </c>
      <c r="AZ866" s="132">
        <f>ROUNDDOWN(AY866+(AY866*MASTER!$A$2/100),0)</f>
        <v>24779</v>
      </c>
      <c r="BA866" s="84" t="s">
        <v>778</v>
      </c>
      <c r="BC866" s="88">
        <v>0</v>
      </c>
      <c r="BG866" s="88">
        <v>0</v>
      </c>
      <c r="BI866" s="84" t="s">
        <v>276</v>
      </c>
      <c r="BJ866" s="88">
        <v>5980</v>
      </c>
      <c r="BK866" s="88">
        <v>6458.4</v>
      </c>
      <c r="BL866" s="84" t="s">
        <v>2567</v>
      </c>
      <c r="BS866" s="88">
        <v>0</v>
      </c>
      <c r="BV866" s="89">
        <v>15876</v>
      </c>
      <c r="BW866" s="89">
        <v>6458.4</v>
      </c>
      <c r="BX866" s="89">
        <v>43574</v>
      </c>
      <c r="BY866" s="89">
        <v>9417.6</v>
      </c>
      <c r="BZ866" s="112">
        <v>59.319727891156461</v>
      </c>
      <c r="CK866" s="88">
        <v>0</v>
      </c>
    </row>
    <row r="867" spans="1:89" x14ac:dyDescent="0.15">
      <c r="A867" s="84">
        <v>2</v>
      </c>
      <c r="B867" s="85">
        <v>43581</v>
      </c>
      <c r="C867" s="85">
        <v>43594</v>
      </c>
      <c r="D867" s="85">
        <v>43598</v>
      </c>
      <c r="F867" s="85" t="s">
        <v>338</v>
      </c>
      <c r="G867" s="85">
        <v>43595</v>
      </c>
      <c r="H867" s="85" t="s">
        <v>338</v>
      </c>
      <c r="I867" s="84" t="s">
        <v>401</v>
      </c>
      <c r="J867" s="84">
        <v>1</v>
      </c>
      <c r="L867" s="84">
        <v>0</v>
      </c>
      <c r="M867" s="85">
        <v>43574</v>
      </c>
      <c r="N867" s="85" t="s">
        <v>265</v>
      </c>
      <c r="O867" s="86" t="s">
        <v>340</v>
      </c>
      <c r="P867" s="84" t="s">
        <v>26</v>
      </c>
      <c r="Q867" s="86" t="s">
        <v>138</v>
      </c>
      <c r="R867" s="86" t="s">
        <v>2640</v>
      </c>
      <c r="S867" s="87" t="s">
        <v>1251</v>
      </c>
      <c r="T867" s="87" t="s">
        <v>801</v>
      </c>
      <c r="U867" s="88">
        <v>72000</v>
      </c>
      <c r="V867" s="88">
        <v>77760</v>
      </c>
      <c r="W867" s="88">
        <v>58000</v>
      </c>
      <c r="X867" s="88">
        <v>62640</v>
      </c>
      <c r="Y867" s="88">
        <v>14000</v>
      </c>
      <c r="Z867" s="88">
        <v>15120</v>
      </c>
      <c r="AA867" s="85">
        <v>43594</v>
      </c>
      <c r="AB867" s="85">
        <v>43594</v>
      </c>
      <c r="AD867" s="84">
        <v>0</v>
      </c>
      <c r="AG867" s="84">
        <v>0</v>
      </c>
      <c r="AJ867" s="84">
        <v>0</v>
      </c>
      <c r="AN867" s="84" t="s">
        <v>338</v>
      </c>
      <c r="AR867" s="85">
        <v>43577</v>
      </c>
      <c r="AS867" s="84">
        <v>6001669162</v>
      </c>
      <c r="AT867" s="85">
        <v>43577</v>
      </c>
      <c r="AU867" s="84" t="s">
        <v>2421</v>
      </c>
      <c r="AV867" s="85">
        <v>43594</v>
      </c>
      <c r="AW867" s="123">
        <v>43616</v>
      </c>
      <c r="AX867" s="123">
        <v>43636</v>
      </c>
      <c r="AY867" s="132">
        <v>69120</v>
      </c>
      <c r="AZ867" s="132">
        <f>ROUNDDOWN(AY867+(AY867*MASTER!$A$2/100),0)</f>
        <v>74649</v>
      </c>
      <c r="BA867" s="84" t="s">
        <v>666</v>
      </c>
      <c r="BB867" s="88">
        <v>42000</v>
      </c>
      <c r="BC867" s="88">
        <v>45360</v>
      </c>
      <c r="BD867" s="84" t="s">
        <v>2197</v>
      </c>
      <c r="BG867" s="88">
        <v>0</v>
      </c>
      <c r="BI867" s="84" t="s">
        <v>276</v>
      </c>
      <c r="BJ867" s="88">
        <v>9100</v>
      </c>
      <c r="BK867" s="88">
        <v>9828</v>
      </c>
      <c r="BL867" s="84" t="s">
        <v>1645</v>
      </c>
      <c r="BS867" s="88">
        <v>0</v>
      </c>
      <c r="BV867" s="89">
        <v>62640</v>
      </c>
      <c r="BW867" s="89">
        <v>55188</v>
      </c>
      <c r="BX867" s="89">
        <v>43574</v>
      </c>
      <c r="BY867" s="89">
        <v>7452</v>
      </c>
      <c r="BZ867" s="112">
        <v>11.896551724137931</v>
      </c>
      <c r="CK867" s="88">
        <v>0</v>
      </c>
    </row>
    <row r="868" spans="1:89" x14ac:dyDescent="0.15">
      <c r="A868" s="84">
        <v>1</v>
      </c>
      <c r="B868" s="85">
        <v>43601</v>
      </c>
      <c r="C868" s="85">
        <v>43602</v>
      </c>
      <c r="F868" s="85" t="s">
        <v>338</v>
      </c>
      <c r="G868" s="85">
        <v>43581</v>
      </c>
      <c r="H868" s="85" t="s">
        <v>338</v>
      </c>
      <c r="J868" s="84">
        <v>2</v>
      </c>
      <c r="L868" s="84">
        <v>0</v>
      </c>
      <c r="M868" s="85">
        <v>43574</v>
      </c>
      <c r="N868" s="85" t="s">
        <v>265</v>
      </c>
      <c r="O868" s="86" t="s">
        <v>340</v>
      </c>
      <c r="P868" s="84" t="s">
        <v>6</v>
      </c>
      <c r="Q868" s="86" t="s">
        <v>138</v>
      </c>
      <c r="R868" s="86" t="s">
        <v>2641</v>
      </c>
      <c r="S868" s="87" t="s">
        <v>1979</v>
      </c>
      <c r="T868" s="87" t="s">
        <v>342</v>
      </c>
      <c r="U868" s="88">
        <v>35000</v>
      </c>
      <c r="V868" s="88">
        <v>37800</v>
      </c>
      <c r="W868" s="88">
        <v>35000</v>
      </c>
      <c r="X868" s="88">
        <v>37800</v>
      </c>
      <c r="Z868" s="88">
        <v>0</v>
      </c>
      <c r="AA868" s="85">
        <v>43579</v>
      </c>
      <c r="AD868" s="84">
        <v>0</v>
      </c>
      <c r="AG868" s="84">
        <v>0</v>
      </c>
      <c r="AJ868" s="84">
        <v>0</v>
      </c>
      <c r="AN868" s="84" t="s">
        <v>338</v>
      </c>
      <c r="AR868" s="85">
        <v>43600</v>
      </c>
      <c r="AS868" s="84">
        <v>6001674145</v>
      </c>
      <c r="AT868" s="85">
        <v>43600</v>
      </c>
      <c r="AU868" s="84" t="s">
        <v>2624</v>
      </c>
      <c r="AV868" s="85">
        <v>43602</v>
      </c>
      <c r="AW868" s="123">
        <v>43616</v>
      </c>
      <c r="AX868" s="123">
        <v>43636</v>
      </c>
      <c r="AY868" s="132">
        <v>33600</v>
      </c>
      <c r="AZ868" s="132">
        <f>ROUNDDOWN(AY868+(AY868*MASTER!$A$2/100),0)</f>
        <v>36288</v>
      </c>
      <c r="BC868" s="88">
        <v>0</v>
      </c>
      <c r="BG868" s="88">
        <v>0</v>
      </c>
      <c r="BK868" s="88">
        <v>0</v>
      </c>
      <c r="BS868" s="88">
        <v>0</v>
      </c>
      <c r="BV868" s="89">
        <v>37800</v>
      </c>
      <c r="BW868" s="89">
        <v>0</v>
      </c>
      <c r="BX868" s="89">
        <v>43574</v>
      </c>
      <c r="BY868" s="89">
        <v>37800</v>
      </c>
      <c r="BZ868" s="112">
        <v>100</v>
      </c>
      <c r="CK868" s="88">
        <v>0</v>
      </c>
    </row>
    <row r="869" spans="1:89" x14ac:dyDescent="0.15">
      <c r="A869" s="84">
        <v>2</v>
      </c>
      <c r="C869" s="85" t="s">
        <v>338</v>
      </c>
      <c r="F869" s="85" t="s">
        <v>338</v>
      </c>
      <c r="H869" s="85" t="s">
        <v>338</v>
      </c>
      <c r="I869" s="84" t="s">
        <v>2642</v>
      </c>
      <c r="J869" s="84">
        <v>4</v>
      </c>
      <c r="L869" s="84">
        <v>0</v>
      </c>
      <c r="M869" s="85">
        <v>43575</v>
      </c>
      <c r="N869" s="85" t="s">
        <v>265</v>
      </c>
      <c r="O869" s="86" t="s">
        <v>340</v>
      </c>
      <c r="P869" s="84" t="s">
        <v>272</v>
      </c>
      <c r="Q869" s="86" t="s">
        <v>138</v>
      </c>
      <c r="R869" s="86" t="s">
        <v>2643</v>
      </c>
      <c r="S869" s="87" t="s">
        <v>351</v>
      </c>
      <c r="T869" s="87" t="s">
        <v>2644</v>
      </c>
      <c r="U869" s="88">
        <v>0</v>
      </c>
      <c r="V869" s="88">
        <v>0</v>
      </c>
      <c r="W869" s="88">
        <v>0</v>
      </c>
      <c r="X869" s="88">
        <v>0</v>
      </c>
      <c r="Y869" s="88">
        <v>0</v>
      </c>
      <c r="Z869" s="88">
        <v>0</v>
      </c>
      <c r="AA869" s="85">
        <v>43545</v>
      </c>
      <c r="AB869" s="85">
        <v>43575</v>
      </c>
      <c r="AD869" s="84">
        <v>0</v>
      </c>
      <c r="AG869" s="84">
        <v>0</v>
      </c>
      <c r="AJ869" s="84">
        <v>0</v>
      </c>
      <c r="AN869" s="84" t="s">
        <v>338</v>
      </c>
      <c r="AY869" s="132">
        <f>ROUNDDOWN((0.96*U869),0)</f>
        <v>0</v>
      </c>
      <c r="AZ869" s="132">
        <f>ROUNDDOWN(AY869+(AY869*MASTER!$A$2/100),0)</f>
        <v>0</v>
      </c>
      <c r="BA869" s="84" t="s">
        <v>1045</v>
      </c>
      <c r="BB869" s="88">
        <v>760000</v>
      </c>
      <c r="BC869" s="88">
        <v>820800</v>
      </c>
      <c r="BD869" s="84" t="s">
        <v>1579</v>
      </c>
      <c r="BG869" s="88">
        <v>0</v>
      </c>
      <c r="BK869" s="88">
        <v>0</v>
      </c>
      <c r="BS869" s="88">
        <v>0</v>
      </c>
      <c r="BV869" s="89">
        <v>0</v>
      </c>
      <c r="BW869" s="89">
        <v>820800</v>
      </c>
      <c r="BX869" s="89">
        <v>43575</v>
      </c>
      <c r="BY869" s="89">
        <v>-820800</v>
      </c>
      <c r="BZ869" s="112" t="s">
        <v>338</v>
      </c>
    </row>
    <row r="870" spans="1:89" x14ac:dyDescent="0.15">
      <c r="A870" s="84">
        <v>2</v>
      </c>
      <c r="C870" s="85" t="s">
        <v>338</v>
      </c>
      <c r="F870" s="85" t="s">
        <v>338</v>
      </c>
      <c r="H870" s="85" t="s">
        <v>338</v>
      </c>
      <c r="I870" s="84" t="s">
        <v>2642</v>
      </c>
      <c r="J870" s="84">
        <v>4</v>
      </c>
      <c r="L870" s="84">
        <v>0</v>
      </c>
      <c r="M870" s="85">
        <v>43575</v>
      </c>
      <c r="N870" s="85" t="s">
        <v>265</v>
      </c>
      <c r="O870" s="86" t="s">
        <v>340</v>
      </c>
      <c r="P870" s="84" t="s">
        <v>272</v>
      </c>
      <c r="Q870" s="86" t="s">
        <v>138</v>
      </c>
      <c r="R870" s="86" t="s">
        <v>2645</v>
      </c>
      <c r="S870" s="87" t="s">
        <v>351</v>
      </c>
      <c r="T870" s="87" t="s">
        <v>2646</v>
      </c>
      <c r="U870" s="88">
        <v>0</v>
      </c>
      <c r="V870" s="88">
        <v>0</v>
      </c>
      <c r="W870" s="88">
        <v>0</v>
      </c>
      <c r="X870" s="88">
        <v>0</v>
      </c>
      <c r="Y870" s="88">
        <v>0</v>
      </c>
      <c r="Z870" s="88">
        <v>0</v>
      </c>
      <c r="AA870" s="85">
        <v>43565</v>
      </c>
      <c r="AB870" s="85">
        <v>43573</v>
      </c>
      <c r="AD870" s="84">
        <v>0</v>
      </c>
      <c r="AG870" s="84">
        <v>0</v>
      </c>
      <c r="AJ870" s="84">
        <v>0</v>
      </c>
      <c r="AN870" s="84" t="s">
        <v>338</v>
      </c>
      <c r="AY870" s="132">
        <f>ROUNDDOWN((0.96*U870),0)</f>
        <v>0</v>
      </c>
      <c r="AZ870" s="132">
        <f>ROUNDDOWN(AY870+(AY870*MASTER!$A$2/100),0)</f>
        <v>0</v>
      </c>
      <c r="BA870" s="84" t="s">
        <v>14</v>
      </c>
      <c r="BB870" s="88">
        <v>147000</v>
      </c>
      <c r="BC870" s="88">
        <v>158760</v>
      </c>
      <c r="BD870" s="84" t="s">
        <v>1579</v>
      </c>
      <c r="BG870" s="88">
        <v>0</v>
      </c>
      <c r="BK870" s="88">
        <v>0</v>
      </c>
      <c r="BS870" s="88">
        <v>0</v>
      </c>
      <c r="BV870" s="89">
        <v>0</v>
      </c>
      <c r="BW870" s="89">
        <v>158760</v>
      </c>
      <c r="BX870" s="89">
        <v>43575</v>
      </c>
      <c r="BY870" s="89">
        <v>-158760</v>
      </c>
      <c r="BZ870" s="112" t="s">
        <v>338</v>
      </c>
    </row>
    <row r="871" spans="1:89" x14ac:dyDescent="0.15">
      <c r="A871" s="84">
        <v>2</v>
      </c>
      <c r="B871" s="85">
        <v>43593</v>
      </c>
      <c r="C871" s="85">
        <v>43598</v>
      </c>
      <c r="D871" s="85">
        <v>43578</v>
      </c>
      <c r="E871" s="85">
        <v>43578</v>
      </c>
      <c r="F871" s="85" t="s">
        <v>338</v>
      </c>
      <c r="G871" s="85">
        <v>43578</v>
      </c>
      <c r="H871" s="85" t="s">
        <v>338</v>
      </c>
      <c r="I871" s="84" t="s">
        <v>380</v>
      </c>
      <c r="J871" s="84">
        <v>2</v>
      </c>
      <c r="L871" s="84">
        <v>0</v>
      </c>
      <c r="M871" s="85">
        <v>43577</v>
      </c>
      <c r="N871" s="85" t="s">
        <v>265</v>
      </c>
      <c r="O871" s="86" t="s">
        <v>340</v>
      </c>
      <c r="P871" s="84" t="s">
        <v>6</v>
      </c>
      <c r="Q871" s="86" t="s">
        <v>138</v>
      </c>
      <c r="R871" s="86" t="s">
        <v>2647</v>
      </c>
      <c r="S871" s="87" t="s">
        <v>1426</v>
      </c>
      <c r="T871" s="87" t="s">
        <v>342</v>
      </c>
      <c r="U871" s="88">
        <v>35000</v>
      </c>
      <c r="V871" s="88">
        <v>37800</v>
      </c>
      <c r="W871" s="88">
        <v>35000</v>
      </c>
      <c r="X871" s="88">
        <v>37800</v>
      </c>
      <c r="Z871" s="88">
        <v>0</v>
      </c>
      <c r="AA871" s="85">
        <v>43577</v>
      </c>
      <c r="AB871" s="85">
        <v>43577</v>
      </c>
      <c r="AD871" s="84">
        <v>0</v>
      </c>
      <c r="AG871" s="84">
        <v>0</v>
      </c>
      <c r="AJ871" s="84">
        <v>0</v>
      </c>
      <c r="AR871" s="85">
        <v>43580</v>
      </c>
      <c r="AS871" s="84">
        <v>6001670361</v>
      </c>
      <c r="AT871" s="85">
        <v>43592</v>
      </c>
      <c r="AU871" s="84" t="s">
        <v>2648</v>
      </c>
      <c r="AV871" s="85">
        <v>43598</v>
      </c>
      <c r="AW871" s="123">
        <v>43616</v>
      </c>
      <c r="AX871" s="123">
        <v>43636</v>
      </c>
      <c r="AY871" s="132">
        <v>33600</v>
      </c>
      <c r="AZ871" s="132">
        <f>ROUNDDOWN(AY871+(AY871*MASTER!$A$2/100),0)</f>
        <v>36288</v>
      </c>
      <c r="BA871" s="84" t="s">
        <v>477</v>
      </c>
      <c r="BB871" s="88">
        <v>35000</v>
      </c>
      <c r="BC871" s="88">
        <v>37800</v>
      </c>
      <c r="BD871" s="84" t="s">
        <v>2197</v>
      </c>
      <c r="BG871" s="88">
        <v>0</v>
      </c>
      <c r="BK871" s="88">
        <v>0</v>
      </c>
      <c r="BS871" s="88">
        <v>0</v>
      </c>
      <c r="BV871" s="89">
        <v>37800</v>
      </c>
      <c r="BW871" s="89">
        <v>37800</v>
      </c>
      <c r="BX871" s="89">
        <v>43577</v>
      </c>
      <c r="BY871" s="89">
        <v>0</v>
      </c>
      <c r="BZ871" s="112">
        <v>0</v>
      </c>
    </row>
    <row r="872" spans="1:89" x14ac:dyDescent="0.15">
      <c r="A872" s="84">
        <v>1</v>
      </c>
      <c r="B872" s="85">
        <v>43579</v>
      </c>
      <c r="C872" s="85">
        <v>43580</v>
      </c>
      <c r="F872" s="85" t="s">
        <v>338</v>
      </c>
      <c r="H872" s="85" t="s">
        <v>338</v>
      </c>
      <c r="J872" s="84">
        <v>2</v>
      </c>
      <c r="L872" s="84">
        <v>0</v>
      </c>
      <c r="M872" s="85">
        <v>43577</v>
      </c>
      <c r="N872" s="85" t="s">
        <v>265</v>
      </c>
      <c r="O872" s="86" t="s">
        <v>340</v>
      </c>
      <c r="P872" s="84" t="s">
        <v>271</v>
      </c>
      <c r="Q872" s="86" t="s">
        <v>138</v>
      </c>
      <c r="R872" s="86" t="s">
        <v>2649</v>
      </c>
      <c r="S872" s="87" t="s">
        <v>351</v>
      </c>
      <c r="T872" s="87" t="s">
        <v>2650</v>
      </c>
      <c r="U872" s="88">
        <v>1200000</v>
      </c>
      <c r="V872" s="88">
        <v>1296000</v>
      </c>
      <c r="W872" s="88">
        <v>1200000</v>
      </c>
      <c r="X872" s="88">
        <v>1296000</v>
      </c>
      <c r="Z872" s="88">
        <v>0</v>
      </c>
      <c r="AD872" s="84">
        <v>0</v>
      </c>
      <c r="AG872" s="84">
        <v>0</v>
      </c>
      <c r="AJ872" s="84">
        <v>0</v>
      </c>
      <c r="AN872" s="84" t="s">
        <v>338</v>
      </c>
      <c r="AR872" s="85">
        <v>43578</v>
      </c>
      <c r="AS872" s="84">
        <v>6001669525</v>
      </c>
      <c r="AT872" s="85">
        <v>43578</v>
      </c>
      <c r="AU872" s="84" t="s">
        <v>2545</v>
      </c>
      <c r="AV872" s="85">
        <v>43580</v>
      </c>
      <c r="AW872" s="123">
        <v>43585</v>
      </c>
      <c r="AX872" s="123">
        <v>43605</v>
      </c>
      <c r="AY872" s="140">
        <v>1200000</v>
      </c>
      <c r="AZ872" s="132">
        <f>ROUNDDOWN(AY872+(AY872*MASTER!$A$2/100),0)</f>
        <v>1296000</v>
      </c>
      <c r="BC872" s="88">
        <v>0</v>
      </c>
      <c r="BG872" s="88">
        <v>0</v>
      </c>
      <c r="BK872" s="88">
        <v>0</v>
      </c>
      <c r="BS872" s="88">
        <v>0</v>
      </c>
      <c r="BV872" s="89">
        <v>1296000</v>
      </c>
      <c r="BW872" s="89">
        <v>0</v>
      </c>
      <c r="BX872" s="89">
        <v>43577</v>
      </c>
      <c r="BY872" s="89">
        <v>1296000</v>
      </c>
      <c r="BZ872" s="112">
        <v>100</v>
      </c>
      <c r="CK872" s="88">
        <v>1200000</v>
      </c>
    </row>
    <row r="873" spans="1:89" x14ac:dyDescent="0.15">
      <c r="A873" s="84">
        <v>2</v>
      </c>
      <c r="B873" s="85">
        <v>43608</v>
      </c>
      <c r="C873" s="85">
        <v>43612</v>
      </c>
      <c r="D873" s="85">
        <v>43640</v>
      </c>
      <c r="E873" s="85">
        <v>43613</v>
      </c>
      <c r="F873" s="85" t="s">
        <v>338</v>
      </c>
      <c r="G873" s="85">
        <v>43613</v>
      </c>
      <c r="H873" s="85" t="s">
        <v>338</v>
      </c>
      <c r="I873" s="84" t="s">
        <v>401</v>
      </c>
      <c r="J873" s="84">
        <v>1</v>
      </c>
      <c r="K873" s="85">
        <v>43581</v>
      </c>
      <c r="L873" s="84" t="s">
        <v>818</v>
      </c>
      <c r="M873" s="85">
        <v>43577</v>
      </c>
      <c r="N873" s="85" t="s">
        <v>265</v>
      </c>
      <c r="O873" s="86" t="s">
        <v>340</v>
      </c>
      <c r="P873" s="84" t="s">
        <v>26</v>
      </c>
      <c r="Q873" s="86" t="s">
        <v>138</v>
      </c>
      <c r="R873" s="86" t="s">
        <v>2651</v>
      </c>
      <c r="S873" s="87" t="s">
        <v>2629</v>
      </c>
      <c r="T873" s="87" t="s">
        <v>801</v>
      </c>
      <c r="U873" s="88">
        <v>110250</v>
      </c>
      <c r="V873" s="88">
        <v>119070</v>
      </c>
      <c r="W873" s="88">
        <v>96250</v>
      </c>
      <c r="X873" s="88">
        <v>103950</v>
      </c>
      <c r="Y873" s="88">
        <v>14000</v>
      </c>
      <c r="Z873" s="88">
        <v>15120</v>
      </c>
      <c r="AA873" s="85">
        <v>43609</v>
      </c>
      <c r="AB873" s="85">
        <v>43609</v>
      </c>
      <c r="AD873" s="84">
        <v>0</v>
      </c>
      <c r="AG873" s="84">
        <v>0</v>
      </c>
      <c r="AJ873" s="84">
        <v>0</v>
      </c>
      <c r="AN873" s="84" t="s">
        <v>338</v>
      </c>
      <c r="AR873" s="85">
        <v>43593</v>
      </c>
      <c r="AS873" s="84">
        <v>6001671481</v>
      </c>
      <c r="AT873" s="85">
        <v>43594</v>
      </c>
      <c r="AU873" s="84" t="s">
        <v>2652</v>
      </c>
      <c r="AV873" s="85">
        <v>43612</v>
      </c>
      <c r="AW873" s="123">
        <v>43616</v>
      </c>
      <c r="AX873" s="123">
        <v>43636</v>
      </c>
      <c r="AY873" s="132">
        <v>105840</v>
      </c>
      <c r="AZ873" s="132">
        <f>ROUNDDOWN(AY873+(AY873*MASTER!$A$2/100),0)</f>
        <v>114307</v>
      </c>
      <c r="BA873" s="84" t="s">
        <v>286</v>
      </c>
      <c r="BB873" s="88">
        <v>40000</v>
      </c>
      <c r="BC873" s="88">
        <v>43200</v>
      </c>
      <c r="BD873" s="84" t="s">
        <v>2466</v>
      </c>
      <c r="BG873" s="88">
        <v>0</v>
      </c>
      <c r="BI873" s="84" t="s">
        <v>434</v>
      </c>
      <c r="BJ873" s="88">
        <v>9100</v>
      </c>
      <c r="BK873" s="88">
        <v>9828</v>
      </c>
      <c r="BL873" s="84" t="s">
        <v>2466</v>
      </c>
      <c r="BS873" s="88">
        <v>0</v>
      </c>
      <c r="BV873" s="89">
        <v>103950</v>
      </c>
      <c r="BW873" s="89">
        <v>53028</v>
      </c>
      <c r="BX873" s="89">
        <v>0</v>
      </c>
      <c r="BY873" s="89">
        <v>43581</v>
      </c>
      <c r="BZ873" s="112">
        <v>48.987012987012982</v>
      </c>
      <c r="CK873" s="88">
        <v>0</v>
      </c>
    </row>
    <row r="874" spans="1:89" x14ac:dyDescent="0.15">
      <c r="A874" s="84">
        <v>2</v>
      </c>
      <c r="B874" s="85">
        <v>43620</v>
      </c>
      <c r="C874" s="85">
        <v>43641</v>
      </c>
      <c r="D874" s="85">
        <v>43631</v>
      </c>
      <c r="E874" s="85">
        <v>43628</v>
      </c>
      <c r="F874" s="85">
        <v>43630</v>
      </c>
      <c r="G874" s="85">
        <v>43623</v>
      </c>
      <c r="H874" s="85">
        <v>43626</v>
      </c>
      <c r="I874" s="84" t="s">
        <v>1191</v>
      </c>
      <c r="J874" s="84">
        <v>1</v>
      </c>
      <c r="L874" s="84">
        <v>0</v>
      </c>
      <c r="M874" s="85">
        <v>43577</v>
      </c>
      <c r="N874" s="85" t="s">
        <v>265</v>
      </c>
      <c r="O874" s="86" t="s">
        <v>340</v>
      </c>
      <c r="P874" s="84" t="s">
        <v>26</v>
      </c>
      <c r="Q874" s="86" t="s">
        <v>138</v>
      </c>
      <c r="R874" s="86" t="s">
        <v>2653</v>
      </c>
      <c r="S874" s="87" t="s">
        <v>2215</v>
      </c>
      <c r="T874" s="87" t="s">
        <v>2654</v>
      </c>
      <c r="U874" s="88">
        <v>189800</v>
      </c>
      <c r="V874" s="88">
        <v>204984</v>
      </c>
      <c r="W874" s="88">
        <v>102800</v>
      </c>
      <c r="X874" s="88">
        <v>111024</v>
      </c>
      <c r="Y874" s="88">
        <v>87000</v>
      </c>
      <c r="Z874" s="88">
        <v>93960</v>
      </c>
      <c r="AA874" s="85">
        <v>43622</v>
      </c>
      <c r="AB874" s="85">
        <v>43623</v>
      </c>
      <c r="AC874" s="85">
        <v>43623</v>
      </c>
      <c r="AD874" s="84">
        <v>0</v>
      </c>
      <c r="AG874" s="84">
        <v>0</v>
      </c>
      <c r="AJ874" s="84">
        <v>0</v>
      </c>
      <c r="AN874" s="84" t="s">
        <v>338</v>
      </c>
      <c r="AR874" s="85">
        <v>43578</v>
      </c>
      <c r="AS874" s="84">
        <v>6001669526</v>
      </c>
      <c r="AT874" s="85">
        <v>43578</v>
      </c>
      <c r="AU874" s="84" t="s">
        <v>2655</v>
      </c>
      <c r="AV874" s="85">
        <v>43641</v>
      </c>
      <c r="AW874" s="123">
        <v>43646</v>
      </c>
      <c r="AX874" s="123">
        <v>43666</v>
      </c>
      <c r="AY874" s="132">
        <v>182208</v>
      </c>
      <c r="AZ874" s="132">
        <f>ROUNDDOWN(AY874+(AY874*MASTER!$A$2/100),0)</f>
        <v>196784</v>
      </c>
      <c r="BA874" s="84" t="s">
        <v>14</v>
      </c>
      <c r="BB874" s="88">
        <v>43000</v>
      </c>
      <c r="BC874" s="88">
        <v>46440</v>
      </c>
      <c r="BD874" s="84" t="s">
        <v>2466</v>
      </c>
      <c r="BG874" s="88">
        <v>0</v>
      </c>
      <c r="BI874" s="84" t="s">
        <v>434</v>
      </c>
      <c r="BJ874" s="88">
        <v>56550</v>
      </c>
      <c r="BK874" s="88">
        <v>61074</v>
      </c>
      <c r="BL874" s="84" t="s">
        <v>2466</v>
      </c>
      <c r="BS874" s="88">
        <v>0</v>
      </c>
      <c r="BV874" s="89">
        <v>111024</v>
      </c>
      <c r="BW874" s="89">
        <v>107514</v>
      </c>
      <c r="BX874" s="89">
        <v>43577</v>
      </c>
      <c r="BY874" s="89">
        <v>3510</v>
      </c>
      <c r="BZ874" s="112">
        <v>3.1614785992217898</v>
      </c>
      <c r="CK874" s="88">
        <v>6300</v>
      </c>
    </row>
    <row r="875" spans="1:89" x14ac:dyDescent="0.15">
      <c r="A875" s="84">
        <v>2</v>
      </c>
      <c r="B875" s="85">
        <v>43619</v>
      </c>
      <c r="C875" s="85">
        <v>43628</v>
      </c>
      <c r="D875" s="85">
        <v>43663</v>
      </c>
      <c r="E875" s="85">
        <v>43643</v>
      </c>
      <c r="F875" s="85">
        <v>43648</v>
      </c>
      <c r="G875" s="85">
        <v>43641</v>
      </c>
      <c r="H875" s="85">
        <v>43644</v>
      </c>
      <c r="I875" s="84" t="s">
        <v>1191</v>
      </c>
      <c r="J875" s="84">
        <v>1</v>
      </c>
      <c r="L875" s="84">
        <v>0</v>
      </c>
      <c r="M875" s="85">
        <v>43578</v>
      </c>
      <c r="N875" s="85" t="s">
        <v>265</v>
      </c>
      <c r="O875" s="86" t="s">
        <v>340</v>
      </c>
      <c r="P875" s="84" t="s">
        <v>26</v>
      </c>
      <c r="Q875" s="86" t="s">
        <v>138</v>
      </c>
      <c r="R875" s="86" t="s">
        <v>2656</v>
      </c>
      <c r="S875" s="87" t="s">
        <v>2657</v>
      </c>
      <c r="T875" s="87" t="s">
        <v>1158</v>
      </c>
      <c r="U875" s="88">
        <v>189800</v>
      </c>
      <c r="V875" s="88">
        <v>204984</v>
      </c>
      <c r="W875" s="88">
        <v>76300</v>
      </c>
      <c r="X875" s="88">
        <v>82404</v>
      </c>
      <c r="Y875" s="88">
        <v>113500</v>
      </c>
      <c r="Z875" s="88">
        <v>122580</v>
      </c>
      <c r="AA875" s="85">
        <v>43639</v>
      </c>
      <c r="AB875" s="85">
        <v>43641</v>
      </c>
      <c r="AC875" s="85">
        <v>43641</v>
      </c>
      <c r="AD875" s="84">
        <v>0</v>
      </c>
      <c r="AG875" s="84">
        <v>0</v>
      </c>
      <c r="AJ875" s="84">
        <v>0</v>
      </c>
      <c r="AM875" s="84" t="s">
        <v>290</v>
      </c>
      <c r="AN875" s="84" t="s">
        <v>2658</v>
      </c>
      <c r="AR875" s="85">
        <v>43608</v>
      </c>
      <c r="AS875" s="84">
        <v>6001677069</v>
      </c>
      <c r="AT875" s="85">
        <v>43608</v>
      </c>
      <c r="AU875" s="84" t="s">
        <v>2659</v>
      </c>
      <c r="AV875" s="85">
        <v>43628</v>
      </c>
      <c r="AW875" s="123">
        <v>43646</v>
      </c>
      <c r="AX875" s="123">
        <v>43666</v>
      </c>
      <c r="AY875" s="132">
        <v>182208</v>
      </c>
      <c r="AZ875" s="132">
        <f>ROUNDDOWN(AY875+(AY875*MASTER!$A$2/100),0)</f>
        <v>196784</v>
      </c>
      <c r="BA875" s="84" t="s">
        <v>14</v>
      </c>
      <c r="BB875" s="88">
        <v>30000</v>
      </c>
      <c r="BC875" s="88">
        <v>32400</v>
      </c>
      <c r="BD875" s="84" t="s">
        <v>2637</v>
      </c>
      <c r="BG875" s="88">
        <v>0</v>
      </c>
      <c r="BI875" s="84" t="s">
        <v>276</v>
      </c>
      <c r="BJ875" s="88">
        <v>73775</v>
      </c>
      <c r="BK875" s="88">
        <v>79677</v>
      </c>
      <c r="BL875" s="84" t="s">
        <v>2660</v>
      </c>
      <c r="BS875" s="88">
        <v>0</v>
      </c>
      <c r="BV875" s="89">
        <v>82404</v>
      </c>
      <c r="BW875" s="89">
        <v>112077</v>
      </c>
      <c r="BX875" s="89">
        <v>43578</v>
      </c>
      <c r="BY875" s="89">
        <v>-29673</v>
      </c>
      <c r="BZ875" s="112">
        <v>-36.009174311926607</v>
      </c>
      <c r="CK875" s="88">
        <v>6300</v>
      </c>
    </row>
    <row r="876" spans="1:89" s="151" customFormat="1" x14ac:dyDescent="0.15">
      <c r="A876" s="141">
        <v>3</v>
      </c>
      <c r="B876" s="142"/>
      <c r="C876" s="142" t="s">
        <v>338</v>
      </c>
      <c r="D876" s="142"/>
      <c r="E876" s="142"/>
      <c r="F876" s="142" t="s">
        <v>338</v>
      </c>
      <c r="G876" s="142"/>
      <c r="H876" s="142" t="s">
        <v>338</v>
      </c>
      <c r="I876" s="141"/>
      <c r="J876" s="141">
        <v>1</v>
      </c>
      <c r="K876" s="142"/>
      <c r="L876" s="141">
        <v>0</v>
      </c>
      <c r="M876" s="142">
        <v>43578</v>
      </c>
      <c r="N876" s="142" t="s">
        <v>265</v>
      </c>
      <c r="O876" s="143" t="s">
        <v>340</v>
      </c>
      <c r="P876" s="141" t="s">
        <v>26</v>
      </c>
      <c r="Q876" s="143" t="s">
        <v>138</v>
      </c>
      <c r="R876" s="143" t="s">
        <v>2661</v>
      </c>
      <c r="S876" s="144" t="s">
        <v>1840</v>
      </c>
      <c r="T876" s="144" t="s">
        <v>794</v>
      </c>
      <c r="U876" s="145">
        <v>23900</v>
      </c>
      <c r="V876" s="145">
        <v>25812</v>
      </c>
      <c r="W876" s="145">
        <v>14700</v>
      </c>
      <c r="X876" s="145">
        <v>15876</v>
      </c>
      <c r="Y876" s="145">
        <v>9200</v>
      </c>
      <c r="Z876" s="145">
        <v>9936</v>
      </c>
      <c r="AA876" s="142">
        <v>43605</v>
      </c>
      <c r="AB876" s="142">
        <v>43607</v>
      </c>
      <c r="AC876" s="142"/>
      <c r="AD876" s="141">
        <v>0</v>
      </c>
      <c r="AE876" s="141"/>
      <c r="AF876" s="141"/>
      <c r="AG876" s="141">
        <v>0</v>
      </c>
      <c r="AH876" s="141"/>
      <c r="AI876" s="141"/>
      <c r="AJ876" s="141">
        <v>0</v>
      </c>
      <c r="AK876" s="141"/>
      <c r="AL876" s="141"/>
      <c r="AM876" s="141" t="s">
        <v>290</v>
      </c>
      <c r="AN876" s="141" t="s">
        <v>2662</v>
      </c>
      <c r="AO876" s="142"/>
      <c r="AP876" s="141"/>
      <c r="AQ876" s="141"/>
      <c r="AR876" s="142"/>
      <c r="AS876" s="141"/>
      <c r="AT876" s="142"/>
      <c r="AU876" s="141"/>
      <c r="AV876" s="142"/>
      <c r="AW876" s="146"/>
      <c r="AX876" s="146"/>
      <c r="AY876" s="147">
        <v>22944</v>
      </c>
      <c r="AZ876" s="132">
        <f>ROUNDDOWN(AY876+(AY876*MASTER!$A$2/100),0)</f>
        <v>24779</v>
      </c>
      <c r="BA876" s="141"/>
      <c r="BB876" s="145"/>
      <c r="BC876" s="145">
        <v>0</v>
      </c>
      <c r="BD876" s="141"/>
      <c r="BE876" s="141"/>
      <c r="BF876" s="145"/>
      <c r="BG876" s="145">
        <v>0</v>
      </c>
      <c r="BH876" s="141"/>
      <c r="BI876" s="141"/>
      <c r="BJ876" s="145"/>
      <c r="BK876" s="145">
        <v>0</v>
      </c>
      <c r="BL876" s="141"/>
      <c r="BM876" s="145"/>
      <c r="BN876" s="145"/>
      <c r="BO876" s="145"/>
      <c r="BP876" s="145"/>
      <c r="BQ876" s="145"/>
      <c r="BR876" s="145"/>
      <c r="BS876" s="145">
        <v>0</v>
      </c>
      <c r="BT876" s="148"/>
      <c r="BU876" s="148"/>
      <c r="BV876" s="149">
        <v>15876</v>
      </c>
      <c r="BW876" s="149">
        <v>0</v>
      </c>
      <c r="BX876" s="149">
        <v>43578</v>
      </c>
      <c r="BY876" s="149">
        <v>15876</v>
      </c>
      <c r="BZ876" s="150">
        <v>100</v>
      </c>
      <c r="CA876" s="141"/>
      <c r="CB876" s="141"/>
      <c r="CC876" s="141"/>
      <c r="CD876" s="144" t="s">
        <v>2663</v>
      </c>
      <c r="CE876" s="142"/>
      <c r="CF876" s="142"/>
      <c r="CG876" s="142"/>
      <c r="CH876" s="142"/>
      <c r="CI876" s="142"/>
      <c r="CJ876" s="142"/>
      <c r="CK876" s="145">
        <v>0</v>
      </c>
    </row>
    <row r="877" spans="1:89" x14ac:dyDescent="0.15">
      <c r="A877" s="84">
        <v>1</v>
      </c>
      <c r="C877" s="85">
        <v>43609</v>
      </c>
      <c r="F877" s="85" t="s">
        <v>338</v>
      </c>
      <c r="H877" s="85" t="s">
        <v>338</v>
      </c>
      <c r="J877" s="84">
        <v>2</v>
      </c>
      <c r="L877" s="84">
        <v>0</v>
      </c>
      <c r="M877" s="85">
        <v>43578</v>
      </c>
      <c r="N877" s="85" t="s">
        <v>264</v>
      </c>
      <c r="O877" s="86" t="s">
        <v>340</v>
      </c>
      <c r="P877" s="84" t="s">
        <v>272</v>
      </c>
      <c r="Q877" s="86" t="s">
        <v>138</v>
      </c>
      <c r="R877" s="86" t="s">
        <v>2664</v>
      </c>
      <c r="S877" s="87" t="s">
        <v>387</v>
      </c>
      <c r="T877" s="87" t="s">
        <v>2665</v>
      </c>
      <c r="U877" s="88">
        <v>1900000</v>
      </c>
      <c r="V877" s="88">
        <v>2052000</v>
      </c>
      <c r="W877" s="88">
        <v>1900000</v>
      </c>
      <c r="X877" s="88">
        <v>2052000</v>
      </c>
      <c r="Z877" s="88">
        <v>0</v>
      </c>
      <c r="AD877" s="84">
        <v>0</v>
      </c>
      <c r="AG877" s="84">
        <v>0</v>
      </c>
      <c r="AJ877" s="84">
        <v>0</v>
      </c>
      <c r="AR877" s="85">
        <v>43598</v>
      </c>
      <c r="AS877" s="84">
        <v>6001673391</v>
      </c>
      <c r="AT877" s="85">
        <v>43598</v>
      </c>
      <c r="AU877" s="84" t="s">
        <v>2666</v>
      </c>
      <c r="AV877" s="85">
        <v>43609</v>
      </c>
      <c r="AW877" s="123">
        <v>43616</v>
      </c>
      <c r="AX877" s="123">
        <v>43636</v>
      </c>
      <c r="AY877" s="140">
        <v>1900000</v>
      </c>
      <c r="AZ877" s="132">
        <f>ROUNDDOWN(AY877+(AY877*MASTER!$A$2/100),0)</f>
        <v>2052000</v>
      </c>
      <c r="BC877" s="88">
        <v>0</v>
      </c>
      <c r="BG877" s="88">
        <v>0</v>
      </c>
      <c r="BK877" s="88">
        <v>0</v>
      </c>
      <c r="BS877" s="88">
        <v>0</v>
      </c>
      <c r="BV877" s="89">
        <v>2052000</v>
      </c>
      <c r="BW877" s="89">
        <v>0</v>
      </c>
      <c r="BX877" s="89">
        <v>43578</v>
      </c>
      <c r="BY877" s="89">
        <v>2052000</v>
      </c>
      <c r="BZ877" s="112">
        <v>100</v>
      </c>
    </row>
    <row r="878" spans="1:89" x14ac:dyDescent="0.15">
      <c r="A878" s="84">
        <v>1</v>
      </c>
      <c r="B878" s="85">
        <v>43613</v>
      </c>
      <c r="C878" s="85">
        <v>43613</v>
      </c>
      <c r="F878" s="85" t="s">
        <v>338</v>
      </c>
      <c r="H878" s="85" t="s">
        <v>338</v>
      </c>
      <c r="J878" s="84">
        <v>3</v>
      </c>
      <c r="L878" s="84">
        <v>0</v>
      </c>
      <c r="M878" s="85">
        <v>43578</v>
      </c>
      <c r="N878" s="85" t="s">
        <v>265</v>
      </c>
      <c r="O878" s="86" t="s">
        <v>340</v>
      </c>
      <c r="P878" s="84" t="s">
        <v>6</v>
      </c>
      <c r="Q878" s="86" t="s">
        <v>138</v>
      </c>
      <c r="R878" s="86" t="s">
        <v>2667</v>
      </c>
      <c r="S878" s="87" t="s">
        <v>908</v>
      </c>
      <c r="T878" s="87" t="s">
        <v>2668</v>
      </c>
      <c r="U878" s="88">
        <v>28000</v>
      </c>
      <c r="V878" s="88">
        <v>30240</v>
      </c>
      <c r="X878" s="88">
        <v>0</v>
      </c>
      <c r="Y878" s="88">
        <v>28000</v>
      </c>
      <c r="Z878" s="88">
        <v>30240</v>
      </c>
      <c r="AD878" s="84">
        <v>0</v>
      </c>
      <c r="AG878" s="84">
        <v>0</v>
      </c>
      <c r="AJ878" s="84">
        <v>0</v>
      </c>
      <c r="AR878" s="85">
        <v>43609</v>
      </c>
      <c r="AS878" s="84">
        <v>6001677551</v>
      </c>
      <c r="AT878" s="85">
        <v>43612</v>
      </c>
      <c r="AU878" s="84" t="s">
        <v>2669</v>
      </c>
      <c r="AV878" s="85">
        <v>43613</v>
      </c>
      <c r="AW878" s="123">
        <v>43616</v>
      </c>
      <c r="AX878" s="123">
        <v>43636</v>
      </c>
      <c r="AY878" s="132">
        <v>26880</v>
      </c>
      <c r="AZ878" s="132">
        <f>ROUNDDOWN(AY878+(AY878*MASTER!$A$2/100),0)</f>
        <v>29030</v>
      </c>
      <c r="BC878" s="88">
        <v>0</v>
      </c>
      <c r="BG878" s="88">
        <v>0</v>
      </c>
      <c r="BK878" s="88">
        <v>0</v>
      </c>
      <c r="BS878" s="88">
        <v>0</v>
      </c>
      <c r="BV878" s="89">
        <v>0</v>
      </c>
      <c r="BW878" s="89">
        <v>0</v>
      </c>
      <c r="BX878" s="89">
        <v>43578</v>
      </c>
      <c r="BY878" s="89">
        <v>0</v>
      </c>
      <c r="BZ878" s="112" t="s">
        <v>338</v>
      </c>
    </row>
    <row r="879" spans="1:89" x14ac:dyDescent="0.15">
      <c r="A879" s="84">
        <v>2</v>
      </c>
      <c r="B879" s="85">
        <v>43599</v>
      </c>
      <c r="C879" s="85">
        <v>43612</v>
      </c>
      <c r="D879" s="85">
        <v>43610</v>
      </c>
      <c r="E879" s="85">
        <v>43606</v>
      </c>
      <c r="F879" s="85">
        <v>43613</v>
      </c>
      <c r="G879" s="85">
        <v>43606</v>
      </c>
      <c r="H879" s="85">
        <v>43609</v>
      </c>
      <c r="I879" s="84" t="s">
        <v>401</v>
      </c>
      <c r="J879" s="84">
        <v>1</v>
      </c>
      <c r="L879" s="84">
        <v>0</v>
      </c>
      <c r="M879" s="85">
        <v>43578</v>
      </c>
      <c r="N879" s="85" t="s">
        <v>265</v>
      </c>
      <c r="O879" s="86" t="s">
        <v>340</v>
      </c>
      <c r="P879" s="84" t="s">
        <v>26</v>
      </c>
      <c r="Q879" s="86" t="s">
        <v>138</v>
      </c>
      <c r="R879" s="86" t="s">
        <v>2670</v>
      </c>
      <c r="S879" s="87" t="s">
        <v>1148</v>
      </c>
      <c r="T879" s="87" t="s">
        <v>828</v>
      </c>
      <c r="U879" s="88">
        <v>101300</v>
      </c>
      <c r="V879" s="88">
        <v>109404</v>
      </c>
      <c r="W879" s="88">
        <v>86300</v>
      </c>
      <c r="X879" s="88">
        <v>93204</v>
      </c>
      <c r="Y879" s="88">
        <v>15000</v>
      </c>
      <c r="Z879" s="88">
        <v>16200</v>
      </c>
      <c r="AA879" s="85">
        <v>43605</v>
      </c>
      <c r="AB879" s="85">
        <v>43606</v>
      </c>
      <c r="AC879" s="85">
        <v>43606</v>
      </c>
      <c r="AD879" s="84">
        <v>0</v>
      </c>
      <c r="AG879" s="84">
        <v>0</v>
      </c>
      <c r="AJ879" s="84">
        <v>0</v>
      </c>
      <c r="AN879" s="84" t="s">
        <v>338</v>
      </c>
      <c r="AR879" s="85">
        <v>43592</v>
      </c>
      <c r="AS879" s="84">
        <v>6001670917</v>
      </c>
      <c r="AT879" s="85">
        <v>43592</v>
      </c>
      <c r="AU879" s="84" t="s">
        <v>2090</v>
      </c>
      <c r="AV879" s="85">
        <v>43612</v>
      </c>
      <c r="AW879" s="123">
        <v>43616</v>
      </c>
      <c r="AX879" s="123">
        <v>43636</v>
      </c>
      <c r="AY879" s="132">
        <v>97248</v>
      </c>
      <c r="AZ879" s="132">
        <f>ROUNDDOWN(AY879+(AY879*MASTER!$A$2/100),0)</f>
        <v>105027</v>
      </c>
      <c r="BA879" s="84" t="s">
        <v>286</v>
      </c>
      <c r="BB879" s="88">
        <v>25000</v>
      </c>
      <c r="BC879" s="88">
        <v>27000</v>
      </c>
      <c r="BD879" s="84" t="s">
        <v>2197</v>
      </c>
      <c r="BG879" s="88">
        <v>0</v>
      </c>
      <c r="BI879" s="84" t="s">
        <v>276</v>
      </c>
      <c r="BJ879" s="88">
        <v>9750</v>
      </c>
      <c r="BK879" s="88">
        <v>10530</v>
      </c>
      <c r="BL879" s="84" t="s">
        <v>2567</v>
      </c>
      <c r="BS879" s="88">
        <v>0</v>
      </c>
      <c r="BV879" s="89">
        <v>93204</v>
      </c>
      <c r="BW879" s="89">
        <v>37530</v>
      </c>
      <c r="BX879" s="89">
        <v>43578</v>
      </c>
      <c r="BY879" s="89">
        <v>55674</v>
      </c>
      <c r="BZ879" s="112">
        <v>59.733487833140209</v>
      </c>
      <c r="CK879" s="88">
        <v>6300</v>
      </c>
    </row>
    <row r="880" spans="1:89" x14ac:dyDescent="0.15">
      <c r="A880" s="84">
        <v>2</v>
      </c>
      <c r="B880" s="85">
        <v>43595</v>
      </c>
      <c r="C880" s="85">
        <v>43599</v>
      </c>
      <c r="D880" s="85">
        <v>43612</v>
      </c>
      <c r="E880" s="85">
        <v>43605</v>
      </c>
      <c r="F880" s="85">
        <v>43606</v>
      </c>
      <c r="G880" s="85">
        <v>43599</v>
      </c>
      <c r="H880" s="85">
        <v>43602</v>
      </c>
      <c r="I880" s="84" t="s">
        <v>1191</v>
      </c>
      <c r="J880" s="84">
        <v>2</v>
      </c>
      <c r="L880" s="84">
        <v>0</v>
      </c>
      <c r="M880" s="85">
        <v>43579</v>
      </c>
      <c r="N880" s="85" t="s">
        <v>265</v>
      </c>
      <c r="O880" s="86" t="s">
        <v>340</v>
      </c>
      <c r="P880" s="84" t="s">
        <v>26</v>
      </c>
      <c r="Q880" s="86" t="s">
        <v>138</v>
      </c>
      <c r="R880" s="86" t="s">
        <v>2671</v>
      </c>
      <c r="S880" s="87" t="s">
        <v>1282</v>
      </c>
      <c r="T880" s="87" t="s">
        <v>2672</v>
      </c>
      <c r="U880" s="88">
        <v>41300</v>
      </c>
      <c r="V880" s="88">
        <v>44604</v>
      </c>
      <c r="W880" s="88">
        <v>41300</v>
      </c>
      <c r="X880" s="88">
        <v>44604</v>
      </c>
      <c r="Z880" s="88">
        <v>0</v>
      </c>
      <c r="AA880" s="85">
        <v>43598</v>
      </c>
      <c r="AB880" s="85">
        <v>43599</v>
      </c>
      <c r="AC880" s="85">
        <v>43599</v>
      </c>
      <c r="AD880" s="84">
        <v>0</v>
      </c>
      <c r="AG880" s="84">
        <v>0</v>
      </c>
      <c r="AJ880" s="84">
        <v>0</v>
      </c>
      <c r="AM880" s="84" t="s">
        <v>290</v>
      </c>
      <c r="AN880" s="84" t="s">
        <v>2673</v>
      </c>
      <c r="AR880" s="85">
        <v>43594</v>
      </c>
      <c r="AS880" s="84">
        <v>6001672064</v>
      </c>
      <c r="AT880" s="85">
        <v>43594</v>
      </c>
      <c r="AU880" s="84" t="s">
        <v>2619</v>
      </c>
      <c r="AV880" s="85">
        <v>43599</v>
      </c>
      <c r="AW880" s="123">
        <v>43616</v>
      </c>
      <c r="AX880" s="123">
        <v>43636</v>
      </c>
      <c r="AY880" s="132">
        <v>39648</v>
      </c>
      <c r="AZ880" s="132">
        <f>ROUNDDOWN(AY880+(AY880*MASTER!$A$2/100),0)</f>
        <v>42819</v>
      </c>
      <c r="BA880" s="84" t="s">
        <v>543</v>
      </c>
      <c r="BB880" s="88">
        <v>24000</v>
      </c>
      <c r="BC880" s="88">
        <v>25920</v>
      </c>
      <c r="BD880" s="84" t="s">
        <v>2197</v>
      </c>
      <c r="BG880" s="88">
        <v>0</v>
      </c>
      <c r="BK880" s="88">
        <v>0</v>
      </c>
      <c r="BS880" s="88">
        <v>0</v>
      </c>
      <c r="BV880" s="89">
        <v>44604</v>
      </c>
      <c r="BW880" s="89">
        <v>25920</v>
      </c>
      <c r="BX880" s="89">
        <v>43579</v>
      </c>
      <c r="BY880" s="89">
        <v>18684</v>
      </c>
      <c r="BZ880" s="112">
        <v>41.888619854721547</v>
      </c>
      <c r="CK880" s="88">
        <v>0</v>
      </c>
    </row>
    <row r="881" spans="1:89" s="151" customFormat="1" x14ac:dyDescent="0.15">
      <c r="A881" s="141">
        <v>3</v>
      </c>
      <c r="B881" s="142"/>
      <c r="C881" s="142" t="s">
        <v>338</v>
      </c>
      <c r="D881" s="142"/>
      <c r="E881" s="142"/>
      <c r="F881" s="142" t="s">
        <v>338</v>
      </c>
      <c r="G881" s="142"/>
      <c r="H881" s="142" t="s">
        <v>338</v>
      </c>
      <c r="I881" s="141"/>
      <c r="J881" s="141">
        <v>2</v>
      </c>
      <c r="K881" s="142"/>
      <c r="L881" s="141">
        <v>0</v>
      </c>
      <c r="M881" s="142">
        <v>43579</v>
      </c>
      <c r="N881" s="142" t="s">
        <v>265</v>
      </c>
      <c r="O881" s="143" t="s">
        <v>340</v>
      </c>
      <c r="P881" s="141" t="s">
        <v>26</v>
      </c>
      <c r="Q881" s="143" t="s">
        <v>138</v>
      </c>
      <c r="R881" s="143" t="s">
        <v>2674</v>
      </c>
      <c r="S881" s="144" t="s">
        <v>562</v>
      </c>
      <c r="T881" s="144" t="s">
        <v>2675</v>
      </c>
      <c r="U881" s="145">
        <v>61700</v>
      </c>
      <c r="V881" s="145">
        <v>66636</v>
      </c>
      <c r="W881" s="145">
        <v>61700</v>
      </c>
      <c r="X881" s="145">
        <v>66636</v>
      </c>
      <c r="Y881" s="145"/>
      <c r="Z881" s="145">
        <v>0</v>
      </c>
      <c r="AA881" s="142"/>
      <c r="AB881" s="142"/>
      <c r="AC881" s="142"/>
      <c r="AD881" s="141">
        <v>0</v>
      </c>
      <c r="AE881" s="141"/>
      <c r="AF881" s="141"/>
      <c r="AG881" s="141">
        <v>0</v>
      </c>
      <c r="AH881" s="141"/>
      <c r="AI881" s="141"/>
      <c r="AJ881" s="141">
        <v>0</v>
      </c>
      <c r="AK881" s="141"/>
      <c r="AL881" s="141"/>
      <c r="AM881" s="141"/>
      <c r="AN881" s="141" t="s">
        <v>338</v>
      </c>
      <c r="AO881" s="142"/>
      <c r="AP881" s="141"/>
      <c r="AQ881" s="141"/>
      <c r="AR881" s="142"/>
      <c r="AS881" s="141"/>
      <c r="AT881" s="142"/>
      <c r="AU881" s="141"/>
      <c r="AV881" s="142"/>
      <c r="AW881" s="146"/>
      <c r="AX881" s="146"/>
      <c r="AY881" s="147">
        <v>59232</v>
      </c>
      <c r="AZ881" s="132">
        <f>ROUNDDOWN(AY881+(AY881*MASTER!$A$2/100),0)</f>
        <v>63970</v>
      </c>
      <c r="BA881" s="141"/>
      <c r="BB881" s="145"/>
      <c r="BC881" s="145">
        <v>0</v>
      </c>
      <c r="BD881" s="141"/>
      <c r="BE881" s="141"/>
      <c r="BF881" s="145"/>
      <c r="BG881" s="145">
        <v>0</v>
      </c>
      <c r="BH881" s="141"/>
      <c r="BI881" s="141"/>
      <c r="BJ881" s="145"/>
      <c r="BK881" s="145">
        <v>0</v>
      </c>
      <c r="BL881" s="141"/>
      <c r="BM881" s="145"/>
      <c r="BN881" s="145"/>
      <c r="BO881" s="145"/>
      <c r="BP881" s="145"/>
      <c r="BQ881" s="145"/>
      <c r="BR881" s="145"/>
      <c r="BS881" s="145">
        <v>0</v>
      </c>
      <c r="BT881" s="148"/>
      <c r="BU881" s="148"/>
      <c r="BV881" s="149">
        <v>66636</v>
      </c>
      <c r="BW881" s="149">
        <v>0</v>
      </c>
      <c r="BX881" s="149">
        <v>43579</v>
      </c>
      <c r="BY881" s="149">
        <v>66636</v>
      </c>
      <c r="BZ881" s="150">
        <v>100</v>
      </c>
      <c r="CA881" s="141"/>
      <c r="CB881" s="141"/>
      <c r="CC881" s="141"/>
      <c r="CD881" s="144"/>
      <c r="CE881" s="142"/>
      <c r="CF881" s="142"/>
      <c r="CG881" s="142"/>
      <c r="CH881" s="142"/>
      <c r="CI881" s="142"/>
      <c r="CJ881" s="142"/>
      <c r="CK881" s="145">
        <v>0</v>
      </c>
    </row>
    <row r="882" spans="1:89" s="151" customFormat="1" x14ac:dyDescent="0.15">
      <c r="A882" s="141">
        <v>3</v>
      </c>
      <c r="B882" s="142"/>
      <c r="C882" s="142" t="s">
        <v>338</v>
      </c>
      <c r="D882" s="142"/>
      <c r="E882" s="142"/>
      <c r="F882" s="142" t="s">
        <v>338</v>
      </c>
      <c r="G882" s="142"/>
      <c r="H882" s="142" t="s">
        <v>338</v>
      </c>
      <c r="I882" s="141"/>
      <c r="J882" s="141">
        <v>2</v>
      </c>
      <c r="K882" s="142"/>
      <c r="L882" s="141">
        <v>0</v>
      </c>
      <c r="M882" s="142">
        <v>43579</v>
      </c>
      <c r="N882" s="142" t="s">
        <v>265</v>
      </c>
      <c r="O882" s="143" t="s">
        <v>340</v>
      </c>
      <c r="P882" s="141" t="s">
        <v>26</v>
      </c>
      <c r="Q882" s="143" t="s">
        <v>138</v>
      </c>
      <c r="R882" s="143" t="s">
        <v>2676</v>
      </c>
      <c r="S882" s="144" t="s">
        <v>562</v>
      </c>
      <c r="T882" s="144" t="s">
        <v>2677</v>
      </c>
      <c r="U882" s="145">
        <v>61700</v>
      </c>
      <c r="V882" s="145">
        <v>66636</v>
      </c>
      <c r="W882" s="145">
        <v>61700</v>
      </c>
      <c r="X882" s="145">
        <v>66636</v>
      </c>
      <c r="Y882" s="145"/>
      <c r="Z882" s="145">
        <v>0</v>
      </c>
      <c r="AA882" s="142"/>
      <c r="AB882" s="142"/>
      <c r="AC882" s="142"/>
      <c r="AD882" s="141">
        <v>0</v>
      </c>
      <c r="AE882" s="141"/>
      <c r="AF882" s="141"/>
      <c r="AG882" s="141">
        <v>0</v>
      </c>
      <c r="AH882" s="141"/>
      <c r="AI882" s="141"/>
      <c r="AJ882" s="141">
        <v>0</v>
      </c>
      <c r="AK882" s="141"/>
      <c r="AL882" s="141"/>
      <c r="AM882" s="141"/>
      <c r="AN882" s="141" t="s">
        <v>338</v>
      </c>
      <c r="AO882" s="142"/>
      <c r="AP882" s="141"/>
      <c r="AQ882" s="141"/>
      <c r="AR882" s="142"/>
      <c r="AS882" s="141"/>
      <c r="AT882" s="142"/>
      <c r="AU882" s="141"/>
      <c r="AV882" s="142"/>
      <c r="AW882" s="146"/>
      <c r="AX882" s="146"/>
      <c r="AY882" s="147">
        <v>59232</v>
      </c>
      <c r="AZ882" s="132">
        <f>ROUNDDOWN(AY882+(AY882*MASTER!$A$2/100),0)</f>
        <v>63970</v>
      </c>
      <c r="BA882" s="141"/>
      <c r="BB882" s="145"/>
      <c r="BC882" s="145">
        <v>0</v>
      </c>
      <c r="BD882" s="141"/>
      <c r="BE882" s="141"/>
      <c r="BF882" s="145"/>
      <c r="BG882" s="145">
        <v>0</v>
      </c>
      <c r="BH882" s="141"/>
      <c r="BI882" s="141"/>
      <c r="BJ882" s="145"/>
      <c r="BK882" s="145">
        <v>0</v>
      </c>
      <c r="BL882" s="141"/>
      <c r="BM882" s="145"/>
      <c r="BN882" s="145"/>
      <c r="BO882" s="145"/>
      <c r="BP882" s="145"/>
      <c r="BQ882" s="145"/>
      <c r="BR882" s="145"/>
      <c r="BS882" s="145">
        <v>0</v>
      </c>
      <c r="BT882" s="148"/>
      <c r="BU882" s="148"/>
      <c r="BV882" s="149">
        <v>66636</v>
      </c>
      <c r="BW882" s="149">
        <v>0</v>
      </c>
      <c r="BX882" s="149">
        <v>43579</v>
      </c>
      <c r="BY882" s="149">
        <v>66636</v>
      </c>
      <c r="BZ882" s="150">
        <v>100</v>
      </c>
      <c r="CA882" s="141"/>
      <c r="CB882" s="141"/>
      <c r="CC882" s="141"/>
      <c r="CD882" s="144"/>
      <c r="CE882" s="142"/>
      <c r="CF882" s="142"/>
      <c r="CG882" s="142"/>
      <c r="CH882" s="142"/>
      <c r="CI882" s="142"/>
      <c r="CJ882" s="142"/>
      <c r="CK882" s="145">
        <v>0</v>
      </c>
    </row>
    <row r="883" spans="1:89" s="151" customFormat="1" x14ac:dyDescent="0.15">
      <c r="A883" s="141">
        <v>3</v>
      </c>
      <c r="B883" s="142"/>
      <c r="C883" s="142" t="s">
        <v>338</v>
      </c>
      <c r="D883" s="142"/>
      <c r="E883" s="142"/>
      <c r="F883" s="142" t="s">
        <v>338</v>
      </c>
      <c r="G883" s="142"/>
      <c r="H883" s="142" t="s">
        <v>338</v>
      </c>
      <c r="I883" s="141"/>
      <c r="J883" s="141">
        <v>2</v>
      </c>
      <c r="K883" s="142"/>
      <c r="L883" s="141">
        <v>0</v>
      </c>
      <c r="M883" s="142">
        <v>43579</v>
      </c>
      <c r="N883" s="142" t="s">
        <v>265</v>
      </c>
      <c r="O883" s="143" t="s">
        <v>340</v>
      </c>
      <c r="P883" s="141" t="s">
        <v>26</v>
      </c>
      <c r="Q883" s="143" t="s">
        <v>138</v>
      </c>
      <c r="R883" s="143" t="s">
        <v>2678</v>
      </c>
      <c r="S883" s="144" t="s">
        <v>562</v>
      </c>
      <c r="T883" s="144" t="s">
        <v>2679</v>
      </c>
      <c r="U883" s="145">
        <v>53700</v>
      </c>
      <c r="V883" s="145">
        <v>57996</v>
      </c>
      <c r="W883" s="145">
        <v>53700</v>
      </c>
      <c r="X883" s="145">
        <v>57996</v>
      </c>
      <c r="Y883" s="145"/>
      <c r="Z883" s="145">
        <v>0</v>
      </c>
      <c r="AA883" s="142"/>
      <c r="AB883" s="142"/>
      <c r="AC883" s="142"/>
      <c r="AD883" s="141">
        <v>0</v>
      </c>
      <c r="AE883" s="141"/>
      <c r="AF883" s="141"/>
      <c r="AG883" s="141">
        <v>0</v>
      </c>
      <c r="AH883" s="141"/>
      <c r="AI883" s="141"/>
      <c r="AJ883" s="141">
        <v>0</v>
      </c>
      <c r="AK883" s="141"/>
      <c r="AL883" s="141"/>
      <c r="AM883" s="141"/>
      <c r="AN883" s="141" t="s">
        <v>338</v>
      </c>
      <c r="AO883" s="142"/>
      <c r="AP883" s="141"/>
      <c r="AQ883" s="141"/>
      <c r="AR883" s="142"/>
      <c r="AS883" s="141"/>
      <c r="AT883" s="142"/>
      <c r="AU883" s="141"/>
      <c r="AV883" s="142"/>
      <c r="AW883" s="146"/>
      <c r="AX883" s="146"/>
      <c r="AY883" s="147">
        <v>51552</v>
      </c>
      <c r="AZ883" s="132">
        <f>ROUNDDOWN(AY883+(AY883*MASTER!$A$2/100),0)</f>
        <v>55676</v>
      </c>
      <c r="BA883" s="141"/>
      <c r="BB883" s="145"/>
      <c r="BC883" s="145">
        <v>0</v>
      </c>
      <c r="BD883" s="141"/>
      <c r="BE883" s="141"/>
      <c r="BF883" s="145"/>
      <c r="BG883" s="145">
        <v>0</v>
      </c>
      <c r="BH883" s="141"/>
      <c r="BI883" s="141"/>
      <c r="BJ883" s="145"/>
      <c r="BK883" s="145">
        <v>0</v>
      </c>
      <c r="BL883" s="141"/>
      <c r="BM883" s="145"/>
      <c r="BN883" s="145"/>
      <c r="BO883" s="145"/>
      <c r="BP883" s="145"/>
      <c r="BQ883" s="145"/>
      <c r="BR883" s="145"/>
      <c r="BS883" s="145">
        <v>0</v>
      </c>
      <c r="BT883" s="148"/>
      <c r="BU883" s="148"/>
      <c r="BV883" s="149">
        <v>57996</v>
      </c>
      <c r="BW883" s="149">
        <v>0</v>
      </c>
      <c r="BX883" s="149">
        <v>43579</v>
      </c>
      <c r="BY883" s="149">
        <v>57996</v>
      </c>
      <c r="BZ883" s="150">
        <v>100</v>
      </c>
      <c r="CA883" s="141"/>
      <c r="CB883" s="141"/>
      <c r="CC883" s="141"/>
      <c r="CD883" s="144"/>
      <c r="CE883" s="142"/>
      <c r="CF883" s="142"/>
      <c r="CG883" s="142"/>
      <c r="CH883" s="142"/>
      <c r="CI883" s="142"/>
      <c r="CJ883" s="142"/>
      <c r="CK883" s="145">
        <v>0</v>
      </c>
    </row>
    <row r="884" spans="1:89" x14ac:dyDescent="0.15">
      <c r="A884" s="84">
        <v>2</v>
      </c>
      <c r="C884" s="85" t="s">
        <v>338</v>
      </c>
      <c r="F884" s="85" t="s">
        <v>338</v>
      </c>
      <c r="H884" s="85" t="s">
        <v>338</v>
      </c>
      <c r="J884" s="84">
        <v>4</v>
      </c>
      <c r="L884" s="84">
        <v>0</v>
      </c>
      <c r="M884" s="85">
        <v>43580</v>
      </c>
      <c r="N884" s="85" t="s">
        <v>265</v>
      </c>
      <c r="O884" s="86" t="s">
        <v>340</v>
      </c>
      <c r="P884" s="84" t="s">
        <v>78</v>
      </c>
      <c r="Q884" s="86" t="s">
        <v>138</v>
      </c>
      <c r="R884" s="86" t="s">
        <v>2680</v>
      </c>
      <c r="S884" s="87" t="s">
        <v>562</v>
      </c>
      <c r="T884" s="87" t="s">
        <v>2681</v>
      </c>
      <c r="U884" s="88">
        <v>0</v>
      </c>
      <c r="V884" s="88">
        <v>0</v>
      </c>
      <c r="W884" s="88">
        <v>0</v>
      </c>
      <c r="X884" s="88">
        <v>0</v>
      </c>
      <c r="Y884" s="88">
        <v>0</v>
      </c>
      <c r="Z884" s="88">
        <v>0</v>
      </c>
      <c r="AA884" s="85">
        <v>43545</v>
      </c>
      <c r="AB884" s="85">
        <v>43575</v>
      </c>
      <c r="AD884" s="84">
        <v>0</v>
      </c>
      <c r="AG884" s="84">
        <v>0</v>
      </c>
      <c r="AJ884" s="84">
        <v>0</v>
      </c>
      <c r="AN884" s="84" t="s">
        <v>338</v>
      </c>
      <c r="AY884" s="132">
        <f>ROUNDDOWN((0.96*U884),0)</f>
        <v>0</v>
      </c>
      <c r="AZ884" s="132">
        <f>ROUNDDOWN(AY884+(AY884*MASTER!$A$2/100),0)</f>
        <v>0</v>
      </c>
      <c r="BA884" s="84" t="s">
        <v>289</v>
      </c>
      <c r="BB884" s="88">
        <v>552456.5</v>
      </c>
      <c r="BC884" s="88">
        <v>596653.02</v>
      </c>
      <c r="BD884" s="84" t="s">
        <v>1579</v>
      </c>
      <c r="BG884" s="88">
        <v>0</v>
      </c>
      <c r="BK884" s="88">
        <v>0</v>
      </c>
      <c r="BS884" s="88">
        <v>0</v>
      </c>
      <c r="BV884" s="89">
        <v>0</v>
      </c>
      <c r="BW884" s="89">
        <v>596653.02</v>
      </c>
      <c r="BX884" s="89">
        <v>43580</v>
      </c>
      <c r="BY884" s="89">
        <v>-596653.02</v>
      </c>
      <c r="BZ884" s="112" t="s">
        <v>338</v>
      </c>
    </row>
    <row r="885" spans="1:89" s="151" customFormat="1" x14ac:dyDescent="0.15">
      <c r="A885" s="141">
        <v>3</v>
      </c>
      <c r="B885" s="142"/>
      <c r="C885" s="142" t="s">
        <v>338</v>
      </c>
      <c r="D885" s="142"/>
      <c r="E885" s="142"/>
      <c r="F885" s="142" t="s">
        <v>338</v>
      </c>
      <c r="G885" s="142"/>
      <c r="H885" s="142" t="s">
        <v>338</v>
      </c>
      <c r="I885" s="141"/>
      <c r="J885" s="141">
        <v>2</v>
      </c>
      <c r="K885" s="142"/>
      <c r="L885" s="141">
        <v>0</v>
      </c>
      <c r="M885" s="142">
        <v>43580</v>
      </c>
      <c r="N885" s="142" t="s">
        <v>265</v>
      </c>
      <c r="O885" s="143" t="s">
        <v>340</v>
      </c>
      <c r="P885" s="141" t="s">
        <v>6</v>
      </c>
      <c r="Q885" s="143" t="s">
        <v>138</v>
      </c>
      <c r="R885" s="143" t="s">
        <v>2682</v>
      </c>
      <c r="S885" s="144" t="s">
        <v>898</v>
      </c>
      <c r="T885" s="144" t="s">
        <v>342</v>
      </c>
      <c r="U885" s="145">
        <v>35000</v>
      </c>
      <c r="V885" s="145">
        <v>37800</v>
      </c>
      <c r="W885" s="145">
        <v>35000</v>
      </c>
      <c r="X885" s="145">
        <v>37800</v>
      </c>
      <c r="Y885" s="145"/>
      <c r="Z885" s="145">
        <v>0</v>
      </c>
      <c r="AA885" s="142"/>
      <c r="AB885" s="142"/>
      <c r="AC885" s="142"/>
      <c r="AD885" s="141">
        <v>0</v>
      </c>
      <c r="AE885" s="141"/>
      <c r="AF885" s="141"/>
      <c r="AG885" s="141">
        <v>0</v>
      </c>
      <c r="AH885" s="141"/>
      <c r="AI885" s="141"/>
      <c r="AJ885" s="141">
        <v>0</v>
      </c>
      <c r="AK885" s="141"/>
      <c r="AL885" s="141"/>
      <c r="AM885" s="141"/>
      <c r="AN885" s="141" t="s">
        <v>338</v>
      </c>
      <c r="AO885" s="142"/>
      <c r="AP885" s="141"/>
      <c r="AQ885" s="141"/>
      <c r="AR885" s="142"/>
      <c r="AS885" s="141"/>
      <c r="AT885" s="142"/>
      <c r="AU885" s="141"/>
      <c r="AV885" s="142"/>
      <c r="AW885" s="146"/>
      <c r="AX885" s="146"/>
      <c r="AY885" s="147">
        <v>33600</v>
      </c>
      <c r="AZ885" s="132">
        <f>ROUNDDOWN(AY885+(AY885*MASTER!$A$2/100),0)</f>
        <v>36288</v>
      </c>
      <c r="BA885" s="141"/>
      <c r="BB885" s="145"/>
      <c r="BC885" s="145">
        <v>0</v>
      </c>
      <c r="BD885" s="141"/>
      <c r="BE885" s="141"/>
      <c r="BF885" s="145"/>
      <c r="BG885" s="145">
        <v>0</v>
      </c>
      <c r="BH885" s="141"/>
      <c r="BI885" s="141"/>
      <c r="BJ885" s="145"/>
      <c r="BK885" s="145">
        <v>0</v>
      </c>
      <c r="BL885" s="141"/>
      <c r="BM885" s="145"/>
      <c r="BN885" s="145"/>
      <c r="BO885" s="145"/>
      <c r="BP885" s="145"/>
      <c r="BQ885" s="145"/>
      <c r="BR885" s="145"/>
      <c r="BS885" s="145">
        <v>0</v>
      </c>
      <c r="BT885" s="148"/>
      <c r="BU885" s="148"/>
      <c r="BV885" s="149">
        <v>37800</v>
      </c>
      <c r="BW885" s="149">
        <v>0</v>
      </c>
      <c r="BX885" s="149">
        <v>43580</v>
      </c>
      <c r="BY885" s="149">
        <v>37800</v>
      </c>
      <c r="BZ885" s="150">
        <v>100</v>
      </c>
      <c r="CA885" s="141"/>
      <c r="CB885" s="141"/>
      <c r="CC885" s="141"/>
      <c r="CD885" s="144" t="s">
        <v>2683</v>
      </c>
      <c r="CE885" s="142"/>
      <c r="CF885" s="142"/>
      <c r="CG885" s="142"/>
      <c r="CH885" s="142"/>
      <c r="CI885" s="142"/>
      <c r="CJ885" s="142"/>
      <c r="CK885" s="145">
        <v>0</v>
      </c>
    </row>
    <row r="886" spans="1:89" x14ac:dyDescent="0.15">
      <c r="A886" s="84">
        <v>1</v>
      </c>
      <c r="C886" s="85">
        <v>43819</v>
      </c>
      <c r="F886" s="85" t="s">
        <v>338</v>
      </c>
      <c r="H886" s="85" t="s">
        <v>338</v>
      </c>
      <c r="J886" s="84">
        <v>2</v>
      </c>
      <c r="L886" s="84">
        <v>0</v>
      </c>
      <c r="M886" s="85">
        <v>43580</v>
      </c>
      <c r="N886" s="85" t="s">
        <v>265</v>
      </c>
      <c r="O886" s="86" t="s">
        <v>340</v>
      </c>
      <c r="P886" s="84" t="s">
        <v>272</v>
      </c>
      <c r="Q886" s="86" t="s">
        <v>138</v>
      </c>
      <c r="R886" s="86" t="s">
        <v>2684</v>
      </c>
      <c r="S886" s="87" t="s">
        <v>387</v>
      </c>
      <c r="T886" s="87" t="s">
        <v>2685</v>
      </c>
      <c r="U886" s="88">
        <v>2590000</v>
      </c>
      <c r="V886" s="88">
        <v>2797200</v>
      </c>
      <c r="W886" s="88">
        <v>2590000</v>
      </c>
      <c r="X886" s="88">
        <v>2797200</v>
      </c>
      <c r="Z886" s="88">
        <v>0</v>
      </c>
      <c r="AD886" s="84">
        <v>0</v>
      </c>
      <c r="AG886" s="84">
        <v>0</v>
      </c>
      <c r="AJ886" s="84">
        <v>0</v>
      </c>
      <c r="AR886" s="85">
        <v>43651</v>
      </c>
      <c r="AS886" s="84">
        <v>6001690944</v>
      </c>
      <c r="AT886" s="85">
        <v>43651</v>
      </c>
      <c r="AU886" s="84" t="s">
        <v>2686</v>
      </c>
      <c r="AV886" s="85">
        <v>43819</v>
      </c>
      <c r="AW886" s="123">
        <v>43830</v>
      </c>
      <c r="AX886" s="123">
        <v>43850</v>
      </c>
      <c r="AY886" s="140">
        <v>2590000</v>
      </c>
      <c r="AZ886" s="132">
        <f>ROUNDDOWN(AY886+(AY886*0.1),0)</f>
        <v>2849000</v>
      </c>
      <c r="BC886" s="88">
        <v>0</v>
      </c>
      <c r="BG886" s="88">
        <v>0</v>
      </c>
      <c r="BK886" s="88">
        <v>0</v>
      </c>
      <c r="BS886" s="88">
        <v>0</v>
      </c>
      <c r="BV886" s="89">
        <v>2797200</v>
      </c>
      <c r="BW886" s="89">
        <v>0</v>
      </c>
      <c r="BX886" s="89">
        <v>43580</v>
      </c>
      <c r="BY886" s="89">
        <v>2797200</v>
      </c>
      <c r="BZ886" s="112">
        <v>100</v>
      </c>
      <c r="CC886" s="84">
        <v>2019</v>
      </c>
    </row>
    <row r="887" spans="1:89" x14ac:dyDescent="0.15">
      <c r="A887" s="84">
        <v>2</v>
      </c>
      <c r="B887" s="85">
        <v>43601</v>
      </c>
      <c r="C887" s="85">
        <v>43602</v>
      </c>
      <c r="D887" s="85">
        <v>43580</v>
      </c>
      <c r="E887" s="85">
        <v>43580</v>
      </c>
      <c r="F887" s="85" t="s">
        <v>338</v>
      </c>
      <c r="G887" s="85">
        <v>43580</v>
      </c>
      <c r="H887" s="85" t="s">
        <v>338</v>
      </c>
      <c r="I887" s="84" t="s">
        <v>380</v>
      </c>
      <c r="J887" s="84">
        <v>2</v>
      </c>
      <c r="L887" s="84">
        <v>0</v>
      </c>
      <c r="M887" s="85">
        <v>43581</v>
      </c>
      <c r="N887" s="85" t="s">
        <v>265</v>
      </c>
      <c r="O887" s="86" t="s">
        <v>340</v>
      </c>
      <c r="P887" s="84" t="s">
        <v>26</v>
      </c>
      <c r="Q887" s="86" t="s">
        <v>138</v>
      </c>
      <c r="R887" s="86" t="s">
        <v>2687</v>
      </c>
      <c r="S887" s="87" t="s">
        <v>593</v>
      </c>
      <c r="T887" s="87" t="s">
        <v>342</v>
      </c>
      <c r="U887" s="88">
        <v>35000</v>
      </c>
      <c r="V887" s="88">
        <v>37800</v>
      </c>
      <c r="W887" s="88">
        <v>35000</v>
      </c>
      <c r="X887" s="88">
        <v>37800</v>
      </c>
      <c r="Z887" s="88">
        <v>0</v>
      </c>
      <c r="AA887" s="85">
        <v>43578</v>
      </c>
      <c r="AB887" s="85">
        <v>43578</v>
      </c>
      <c r="AD887" s="84">
        <v>0</v>
      </c>
      <c r="AG887" s="84">
        <v>0</v>
      </c>
      <c r="AJ887" s="84">
        <v>0</v>
      </c>
      <c r="AN887" s="84" t="s">
        <v>338</v>
      </c>
      <c r="AR887" s="85">
        <v>43600</v>
      </c>
      <c r="AS887" s="84">
        <v>6001674145</v>
      </c>
      <c r="AT887" s="85">
        <v>43600</v>
      </c>
      <c r="AU887" s="84" t="s">
        <v>2624</v>
      </c>
      <c r="AV887" s="85">
        <v>43602</v>
      </c>
      <c r="AW887" s="123">
        <v>43616</v>
      </c>
      <c r="AX887" s="123">
        <v>43636</v>
      </c>
      <c r="AY887" s="132">
        <v>33600</v>
      </c>
      <c r="AZ887" s="132">
        <f>ROUNDDOWN(AY887+(AY887*MASTER!$A$2/100),0)</f>
        <v>36288</v>
      </c>
      <c r="BA887" s="84" t="s">
        <v>14</v>
      </c>
      <c r="BB887" s="88">
        <v>28000</v>
      </c>
      <c r="BC887" s="88">
        <v>30240</v>
      </c>
      <c r="BD887" s="84" t="s">
        <v>2197</v>
      </c>
      <c r="BG887" s="88">
        <v>0</v>
      </c>
      <c r="BK887" s="88">
        <v>0</v>
      </c>
      <c r="BS887" s="88">
        <v>0</v>
      </c>
      <c r="BV887" s="89">
        <v>37800</v>
      </c>
      <c r="BW887" s="89">
        <v>30240</v>
      </c>
      <c r="BX887" s="89">
        <v>43581</v>
      </c>
      <c r="BY887" s="89">
        <v>7560</v>
      </c>
      <c r="BZ887" s="112">
        <v>20</v>
      </c>
      <c r="CK887" s="88">
        <v>0</v>
      </c>
    </row>
    <row r="888" spans="1:89" x14ac:dyDescent="0.15">
      <c r="A888" s="84">
        <v>2</v>
      </c>
      <c r="B888" s="85">
        <v>43608</v>
      </c>
      <c r="C888" s="85">
        <v>43617</v>
      </c>
      <c r="D888" s="85">
        <v>43684</v>
      </c>
      <c r="E888" s="85">
        <v>43622</v>
      </c>
      <c r="F888" s="85">
        <v>43624</v>
      </c>
      <c r="G888" s="85">
        <v>43619</v>
      </c>
      <c r="H888" s="85">
        <v>43620</v>
      </c>
      <c r="I888" s="84" t="s">
        <v>1191</v>
      </c>
      <c r="J888" s="84">
        <v>1</v>
      </c>
      <c r="L888" s="84">
        <v>0</v>
      </c>
      <c r="M888" s="85">
        <v>43581</v>
      </c>
      <c r="N888" s="85" t="s">
        <v>265</v>
      </c>
      <c r="O888" s="86" t="s">
        <v>340</v>
      </c>
      <c r="P888" s="84" t="s">
        <v>26</v>
      </c>
      <c r="Q888" s="86" t="s">
        <v>138</v>
      </c>
      <c r="R888" s="86" t="s">
        <v>2688</v>
      </c>
      <c r="S888" s="87" t="s">
        <v>1060</v>
      </c>
      <c r="T888" s="87" t="s">
        <v>797</v>
      </c>
      <c r="U888" s="88">
        <v>59200</v>
      </c>
      <c r="V888" s="88">
        <v>63936</v>
      </c>
      <c r="W888" s="88">
        <v>47000</v>
      </c>
      <c r="X888" s="88">
        <v>50760</v>
      </c>
      <c r="Y888" s="88">
        <v>12200</v>
      </c>
      <c r="Z888" s="88">
        <v>13176</v>
      </c>
      <c r="AA888" s="85">
        <v>43615</v>
      </c>
      <c r="AB888" s="85">
        <v>43617</v>
      </c>
      <c r="AC888" s="85">
        <v>43617</v>
      </c>
      <c r="AD888" s="84">
        <v>0</v>
      </c>
      <c r="AG888" s="84">
        <v>0</v>
      </c>
      <c r="AJ888" s="84">
        <v>0</v>
      </c>
      <c r="AM888" s="84" t="s">
        <v>290</v>
      </c>
      <c r="AN888" s="84" t="s">
        <v>2689</v>
      </c>
      <c r="AR888" s="85">
        <v>43602</v>
      </c>
      <c r="AS888" s="84">
        <v>6001675091</v>
      </c>
      <c r="AT888" s="85">
        <v>43605</v>
      </c>
      <c r="AU888" s="84" t="s">
        <v>2690</v>
      </c>
      <c r="AV888" s="85">
        <v>43617</v>
      </c>
      <c r="AW888" s="123">
        <v>43646</v>
      </c>
      <c r="AX888" s="123">
        <v>43666</v>
      </c>
      <c r="AY888" s="132">
        <v>56832</v>
      </c>
      <c r="AZ888" s="132">
        <f>ROUNDDOWN(AY888+(AY888*MASTER!$A$2/100),0)</f>
        <v>61378</v>
      </c>
      <c r="BA888" s="84" t="s">
        <v>287</v>
      </c>
      <c r="BB888" s="88">
        <v>23000</v>
      </c>
      <c r="BC888" s="88">
        <v>24840</v>
      </c>
      <c r="BD888" s="84" t="s">
        <v>2466</v>
      </c>
      <c r="BG888" s="88">
        <v>0</v>
      </c>
      <c r="BI888" s="84" t="s">
        <v>434</v>
      </c>
      <c r="BJ888" s="88">
        <v>7930</v>
      </c>
      <c r="BK888" s="88">
        <v>8564.4</v>
      </c>
      <c r="BL888" s="84" t="s">
        <v>2466</v>
      </c>
      <c r="BS888" s="88">
        <v>0</v>
      </c>
      <c r="BV888" s="89">
        <v>50760</v>
      </c>
      <c r="BW888" s="89">
        <v>33404.400000000001</v>
      </c>
      <c r="BX888" s="89">
        <v>43581</v>
      </c>
      <c r="BY888" s="89">
        <v>17355.599999999999</v>
      </c>
      <c r="BZ888" s="112">
        <v>34.191489361702125</v>
      </c>
      <c r="CK888" s="88">
        <v>0</v>
      </c>
    </row>
    <row r="889" spans="1:89" x14ac:dyDescent="0.15">
      <c r="A889" s="84">
        <v>1</v>
      </c>
      <c r="C889" s="85">
        <v>43707</v>
      </c>
      <c r="F889" s="85" t="s">
        <v>338</v>
      </c>
      <c r="H889" s="85" t="s">
        <v>338</v>
      </c>
      <c r="J889" s="84">
        <v>2</v>
      </c>
      <c r="L889" s="84">
        <v>0</v>
      </c>
      <c r="M889" s="85">
        <v>43581</v>
      </c>
      <c r="N889" s="85" t="s">
        <v>264</v>
      </c>
      <c r="O889" s="86" t="s">
        <v>340</v>
      </c>
      <c r="P889" s="84" t="s">
        <v>272</v>
      </c>
      <c r="Q889" s="86" t="s">
        <v>138</v>
      </c>
      <c r="R889" s="86" t="s">
        <v>2691</v>
      </c>
      <c r="S889" s="87" t="s">
        <v>387</v>
      </c>
      <c r="T889" s="87" t="s">
        <v>2692</v>
      </c>
      <c r="U889" s="88">
        <v>3380000</v>
      </c>
      <c r="V889" s="88">
        <v>3650400</v>
      </c>
      <c r="W889" s="88">
        <v>3380000</v>
      </c>
      <c r="X889" s="88">
        <v>3650400</v>
      </c>
      <c r="Z889" s="88">
        <v>0</v>
      </c>
      <c r="AD889" s="84">
        <v>0</v>
      </c>
      <c r="AG889" s="84">
        <v>0</v>
      </c>
      <c r="AJ889" s="84">
        <v>0</v>
      </c>
      <c r="AR889" s="85">
        <v>43594</v>
      </c>
      <c r="AS889" s="84">
        <v>6001672063</v>
      </c>
      <c r="AT889" s="85">
        <v>43594</v>
      </c>
      <c r="AU889" s="84" t="s">
        <v>2693</v>
      </c>
      <c r="AV889" s="85">
        <v>43707</v>
      </c>
      <c r="AW889" s="123">
        <v>43708</v>
      </c>
      <c r="AX889" s="123">
        <v>43728</v>
      </c>
      <c r="AY889" s="140">
        <v>3380000</v>
      </c>
      <c r="AZ889" s="132">
        <f>ROUNDDOWN(AY889+(AY889*MASTER!$A$2/100),0)</f>
        <v>3650400</v>
      </c>
      <c r="BC889" s="88">
        <v>0</v>
      </c>
      <c r="BG889" s="88">
        <v>0</v>
      </c>
      <c r="BK889" s="88">
        <v>0</v>
      </c>
      <c r="BS889" s="88">
        <v>0</v>
      </c>
      <c r="BV889" s="89">
        <v>3650400</v>
      </c>
      <c r="BW889" s="89">
        <v>0</v>
      </c>
      <c r="BX889" s="89">
        <v>43581</v>
      </c>
      <c r="BY889" s="89">
        <v>3650400</v>
      </c>
      <c r="BZ889" s="112">
        <v>100</v>
      </c>
      <c r="CD889" s="87" t="s">
        <v>2694</v>
      </c>
    </row>
    <row r="890" spans="1:89" x14ac:dyDescent="0.15">
      <c r="A890" s="84">
        <v>1</v>
      </c>
      <c r="C890" s="85" t="s">
        <v>338</v>
      </c>
      <c r="F890" s="85" t="s">
        <v>338</v>
      </c>
      <c r="H890" s="85" t="s">
        <v>338</v>
      </c>
      <c r="J890" s="84">
        <v>4</v>
      </c>
      <c r="L890" s="84">
        <v>0</v>
      </c>
      <c r="M890" s="85">
        <v>43592</v>
      </c>
      <c r="N890" s="85" t="s">
        <v>265</v>
      </c>
      <c r="O890" s="86" t="s">
        <v>340</v>
      </c>
      <c r="P890" s="84" t="s">
        <v>272</v>
      </c>
      <c r="Q890" s="86" t="s">
        <v>139</v>
      </c>
      <c r="R890" s="86" t="s">
        <v>2695</v>
      </c>
      <c r="S890" s="87" t="s">
        <v>1717</v>
      </c>
      <c r="T890" s="87" t="s">
        <v>2696</v>
      </c>
      <c r="U890" s="88">
        <v>0</v>
      </c>
      <c r="V890" s="88">
        <v>0</v>
      </c>
      <c r="W890" s="88">
        <v>0</v>
      </c>
      <c r="X890" s="88">
        <v>0</v>
      </c>
      <c r="Y890" s="88">
        <v>0</v>
      </c>
      <c r="Z890" s="88">
        <v>0</v>
      </c>
      <c r="AA890" s="85">
        <v>43557</v>
      </c>
      <c r="AB890" s="85">
        <v>43560</v>
      </c>
      <c r="AD890" s="84">
        <v>0</v>
      </c>
      <c r="AG890" s="84">
        <v>0</v>
      </c>
      <c r="AJ890" s="84">
        <v>0</v>
      </c>
      <c r="AY890" s="132">
        <f>ROUNDDOWN((0.96*U890),0)</f>
        <v>0</v>
      </c>
      <c r="AZ890" s="132">
        <f>ROUNDDOWN(AY890+(AY890*MASTER!$A$2/100),0)</f>
        <v>0</v>
      </c>
      <c r="BC890" s="88">
        <v>0</v>
      </c>
      <c r="BG890" s="88">
        <v>0</v>
      </c>
      <c r="BI890" s="84" t="s">
        <v>434</v>
      </c>
      <c r="BJ890" s="88">
        <v>45500</v>
      </c>
      <c r="BK890" s="88">
        <v>49140</v>
      </c>
      <c r="BL890" s="84" t="s">
        <v>1659</v>
      </c>
      <c r="BS890" s="88">
        <v>0</v>
      </c>
      <c r="BV890" s="89">
        <v>0</v>
      </c>
      <c r="BW890" s="89">
        <v>49140</v>
      </c>
      <c r="BX890" s="89">
        <v>43592</v>
      </c>
      <c r="BY890" s="89">
        <v>-49140</v>
      </c>
      <c r="BZ890" s="112" t="s">
        <v>338</v>
      </c>
    </row>
    <row r="891" spans="1:89" x14ac:dyDescent="0.15">
      <c r="A891" s="84">
        <v>1</v>
      </c>
      <c r="C891" s="85" t="s">
        <v>338</v>
      </c>
      <c r="F891" s="85" t="s">
        <v>338</v>
      </c>
      <c r="H891" s="85" t="s">
        <v>338</v>
      </c>
      <c r="J891" s="84">
        <v>4</v>
      </c>
      <c r="L891" s="84">
        <v>0</v>
      </c>
      <c r="M891" s="85">
        <v>43592</v>
      </c>
      <c r="N891" s="85" t="s">
        <v>265</v>
      </c>
      <c r="O891" s="86" t="s">
        <v>340</v>
      </c>
      <c r="P891" s="84" t="s">
        <v>272</v>
      </c>
      <c r="Q891" s="86" t="s">
        <v>139</v>
      </c>
      <c r="R891" s="86" t="s">
        <v>2697</v>
      </c>
      <c r="S891" s="87" t="s">
        <v>351</v>
      </c>
      <c r="T891" s="87" t="s">
        <v>2698</v>
      </c>
      <c r="U891" s="88">
        <v>0</v>
      </c>
      <c r="V891" s="88">
        <v>0</v>
      </c>
      <c r="W891" s="88">
        <v>0</v>
      </c>
      <c r="X891" s="88">
        <v>0</v>
      </c>
      <c r="Y891" s="88">
        <v>0</v>
      </c>
      <c r="Z891" s="88">
        <v>0</v>
      </c>
      <c r="AA891" s="85">
        <v>43558</v>
      </c>
      <c r="AB891" s="85">
        <v>43560</v>
      </c>
      <c r="AD891" s="84">
        <v>0</v>
      </c>
      <c r="AG891" s="84">
        <v>0</v>
      </c>
      <c r="AJ891" s="84">
        <v>0</v>
      </c>
      <c r="AY891" s="132">
        <v>0</v>
      </c>
      <c r="AZ891" s="132">
        <f>ROUNDDOWN(AY891+(AY891*MASTER!$A$2/100),0)</f>
        <v>0</v>
      </c>
      <c r="BC891" s="88">
        <v>0</v>
      </c>
      <c r="BG891" s="88">
        <v>0</v>
      </c>
      <c r="BI891" s="84" t="s">
        <v>434</v>
      </c>
      <c r="BJ891" s="88">
        <v>45500</v>
      </c>
      <c r="BK891" s="88">
        <v>49140</v>
      </c>
      <c r="BL891" s="84" t="s">
        <v>1579</v>
      </c>
      <c r="BS891" s="88">
        <v>0</v>
      </c>
      <c r="BV891" s="89">
        <v>0</v>
      </c>
      <c r="BW891" s="89">
        <v>49140</v>
      </c>
      <c r="BX891" s="89">
        <v>43592</v>
      </c>
      <c r="BY891" s="89">
        <v>-49140</v>
      </c>
      <c r="BZ891" s="112" t="s">
        <v>338</v>
      </c>
      <c r="CD891" s="87" t="s">
        <v>2699</v>
      </c>
    </row>
    <row r="892" spans="1:89" x14ac:dyDescent="0.15">
      <c r="A892" s="84">
        <v>1</v>
      </c>
      <c r="C892" s="85" t="s">
        <v>338</v>
      </c>
      <c r="F892" s="85" t="s">
        <v>338</v>
      </c>
      <c r="H892" s="85" t="s">
        <v>338</v>
      </c>
      <c r="J892" s="84">
        <v>4</v>
      </c>
      <c r="L892" s="84">
        <v>0</v>
      </c>
      <c r="M892" s="85">
        <v>43592</v>
      </c>
      <c r="N892" s="85" t="s">
        <v>265</v>
      </c>
      <c r="O892" s="86" t="s">
        <v>340</v>
      </c>
      <c r="P892" s="84" t="s">
        <v>272</v>
      </c>
      <c r="Q892" s="86" t="s">
        <v>139</v>
      </c>
      <c r="R892" s="86" t="s">
        <v>2700</v>
      </c>
      <c r="S892" s="87" t="s">
        <v>351</v>
      </c>
      <c r="T892" s="87" t="s">
        <v>2701</v>
      </c>
      <c r="U892" s="88">
        <v>0</v>
      </c>
      <c r="V892" s="88">
        <v>0</v>
      </c>
      <c r="W892" s="88">
        <v>0</v>
      </c>
      <c r="X892" s="88">
        <v>0</v>
      </c>
      <c r="Y892" s="88">
        <v>0</v>
      </c>
      <c r="Z892" s="88">
        <v>0</v>
      </c>
      <c r="AA892" s="85">
        <v>43558</v>
      </c>
      <c r="AB892" s="85">
        <v>43561</v>
      </c>
      <c r="AD892" s="84">
        <v>0</v>
      </c>
      <c r="AG892" s="84">
        <v>0</v>
      </c>
      <c r="AJ892" s="84">
        <v>0</v>
      </c>
      <c r="AY892" s="132">
        <v>0</v>
      </c>
      <c r="AZ892" s="132">
        <f>ROUNDDOWN(AY892+(AY892*MASTER!$A$2/100),0)</f>
        <v>0</v>
      </c>
      <c r="BC892" s="88">
        <v>0</v>
      </c>
      <c r="BG892" s="88">
        <v>0</v>
      </c>
      <c r="BI892" s="84" t="s">
        <v>434</v>
      </c>
      <c r="BJ892" s="88">
        <v>68250</v>
      </c>
      <c r="BK892" s="88">
        <v>73710</v>
      </c>
      <c r="BL892" s="84" t="s">
        <v>1579</v>
      </c>
      <c r="BS892" s="88">
        <v>0</v>
      </c>
      <c r="BV892" s="89">
        <v>0</v>
      </c>
      <c r="BW892" s="89">
        <v>73710</v>
      </c>
      <c r="BX892" s="89">
        <v>43592</v>
      </c>
      <c r="BY892" s="89">
        <v>-73710</v>
      </c>
      <c r="BZ892" s="112" t="s">
        <v>338</v>
      </c>
      <c r="CD892" s="87" t="s">
        <v>2702</v>
      </c>
    </row>
    <row r="893" spans="1:89" x14ac:dyDescent="0.15">
      <c r="A893" s="84">
        <v>1</v>
      </c>
      <c r="C893" s="85" t="s">
        <v>338</v>
      </c>
      <c r="F893" s="85" t="s">
        <v>338</v>
      </c>
      <c r="H893" s="85" t="s">
        <v>338</v>
      </c>
      <c r="J893" s="84">
        <v>4</v>
      </c>
      <c r="L893" s="84">
        <v>0</v>
      </c>
      <c r="M893" s="85">
        <v>43592</v>
      </c>
      <c r="N893" s="85" t="s">
        <v>265</v>
      </c>
      <c r="O893" s="86" t="s">
        <v>340</v>
      </c>
      <c r="P893" s="84" t="s">
        <v>272</v>
      </c>
      <c r="Q893" s="86" t="s">
        <v>139</v>
      </c>
      <c r="R893" s="86" t="s">
        <v>2703</v>
      </c>
      <c r="S893" s="87" t="s">
        <v>351</v>
      </c>
      <c r="T893" s="87" t="s">
        <v>2704</v>
      </c>
      <c r="U893" s="88">
        <v>0</v>
      </c>
      <c r="V893" s="88">
        <v>0</v>
      </c>
      <c r="W893" s="88">
        <v>0</v>
      </c>
      <c r="X893" s="88">
        <v>0</v>
      </c>
      <c r="Y893" s="88">
        <v>0</v>
      </c>
      <c r="Z893" s="88">
        <v>0</v>
      </c>
      <c r="AA893" s="85">
        <v>43561</v>
      </c>
      <c r="AD893" s="84">
        <v>0</v>
      </c>
      <c r="AG893" s="84">
        <v>0</v>
      </c>
      <c r="AJ893" s="84">
        <v>0</v>
      </c>
      <c r="AY893" s="132">
        <f>ROUNDDOWN((0.96*U893),0)</f>
        <v>0</v>
      </c>
      <c r="AZ893" s="132">
        <f>ROUNDDOWN(AY893+(AY893*MASTER!$A$2/100),0)</f>
        <v>0</v>
      </c>
      <c r="BC893" s="88">
        <v>0</v>
      </c>
      <c r="BG893" s="88">
        <v>0</v>
      </c>
      <c r="BI893" s="84" t="s">
        <v>434</v>
      </c>
      <c r="BJ893" s="88">
        <v>10926</v>
      </c>
      <c r="BK893" s="88">
        <v>11800.08</v>
      </c>
      <c r="BL893" s="84" t="s">
        <v>1659</v>
      </c>
      <c r="BS893" s="88">
        <v>0</v>
      </c>
      <c r="BV893" s="89">
        <v>0</v>
      </c>
      <c r="BW893" s="89">
        <v>11800.08</v>
      </c>
      <c r="BX893" s="89">
        <v>43592</v>
      </c>
      <c r="BY893" s="89">
        <v>-11800.08</v>
      </c>
      <c r="BZ893" s="112" t="s">
        <v>338</v>
      </c>
    </row>
    <row r="894" spans="1:89" x14ac:dyDescent="0.15">
      <c r="A894" s="84">
        <v>2</v>
      </c>
      <c r="C894" s="85" t="s">
        <v>338</v>
      </c>
      <c r="D894" s="85">
        <v>43592</v>
      </c>
      <c r="E894" s="85">
        <v>43592</v>
      </c>
      <c r="F894" s="85" t="s">
        <v>338</v>
      </c>
      <c r="G894" s="85">
        <v>43592</v>
      </c>
      <c r="H894" s="85" t="s">
        <v>338</v>
      </c>
      <c r="I894" s="84" t="s">
        <v>380</v>
      </c>
      <c r="J894" s="84">
        <v>4</v>
      </c>
      <c r="L894" s="84">
        <v>0</v>
      </c>
      <c r="M894" s="85">
        <v>43592</v>
      </c>
      <c r="N894" s="85" t="s">
        <v>265</v>
      </c>
      <c r="O894" s="86" t="s">
        <v>340</v>
      </c>
      <c r="P894" s="84" t="s">
        <v>6</v>
      </c>
      <c r="Q894" s="86" t="s">
        <v>139</v>
      </c>
      <c r="R894" s="86" t="s">
        <v>2705</v>
      </c>
      <c r="S894" s="87" t="s">
        <v>1763</v>
      </c>
      <c r="T894" s="87" t="s">
        <v>2706</v>
      </c>
      <c r="U894" s="88">
        <v>0</v>
      </c>
      <c r="V894" s="88">
        <v>0</v>
      </c>
      <c r="W894" s="88">
        <v>0</v>
      </c>
      <c r="X894" s="88">
        <v>0</v>
      </c>
      <c r="Y894" s="88">
        <v>0</v>
      </c>
      <c r="Z894" s="88">
        <v>0</v>
      </c>
      <c r="AA894" s="85">
        <v>43587</v>
      </c>
      <c r="AB894" s="85">
        <v>43587</v>
      </c>
      <c r="AD894" s="84">
        <v>0</v>
      </c>
      <c r="AG894" s="84">
        <v>0</v>
      </c>
      <c r="AJ894" s="84">
        <v>0</v>
      </c>
      <c r="AY894" s="132">
        <v>0</v>
      </c>
      <c r="AZ894" s="132">
        <f>ROUNDDOWN(AY894+(AY894*MASTER!$A$2/100),0)</f>
        <v>0</v>
      </c>
      <c r="BA894" s="84" t="s">
        <v>287</v>
      </c>
      <c r="BB894" s="88">
        <v>38000</v>
      </c>
      <c r="BC894" s="88">
        <v>41040</v>
      </c>
      <c r="BD894" s="84" t="s">
        <v>2197</v>
      </c>
      <c r="BG894" s="88">
        <v>0</v>
      </c>
      <c r="BK894" s="88">
        <v>0</v>
      </c>
      <c r="BS894" s="88">
        <v>0</v>
      </c>
      <c r="BV894" s="89">
        <v>0</v>
      </c>
      <c r="BW894" s="89">
        <v>41040</v>
      </c>
      <c r="BX894" s="89">
        <v>43592</v>
      </c>
      <c r="BY894" s="89">
        <v>-41040</v>
      </c>
      <c r="BZ894" s="112" t="s">
        <v>338</v>
      </c>
      <c r="CD894" s="87" t="s">
        <v>2707</v>
      </c>
    </row>
    <row r="895" spans="1:89" x14ac:dyDescent="0.15">
      <c r="A895" s="84">
        <v>2</v>
      </c>
      <c r="B895" s="85">
        <v>43602</v>
      </c>
      <c r="C895" s="85">
        <v>43605</v>
      </c>
      <c r="D895" s="85">
        <v>43592</v>
      </c>
      <c r="E895" s="85">
        <v>43592</v>
      </c>
      <c r="F895" s="85" t="s">
        <v>338</v>
      </c>
      <c r="G895" s="85">
        <v>43592</v>
      </c>
      <c r="H895" s="85" t="s">
        <v>338</v>
      </c>
      <c r="I895" s="84" t="s">
        <v>380</v>
      </c>
      <c r="J895" s="84">
        <v>2</v>
      </c>
      <c r="L895" s="84">
        <v>0</v>
      </c>
      <c r="M895" s="85">
        <v>43592</v>
      </c>
      <c r="N895" s="85" t="s">
        <v>265</v>
      </c>
      <c r="O895" s="86" t="s">
        <v>340</v>
      </c>
      <c r="P895" s="84" t="s">
        <v>6</v>
      </c>
      <c r="Q895" s="86" t="s">
        <v>139</v>
      </c>
      <c r="R895" s="86" t="s">
        <v>2708</v>
      </c>
      <c r="S895" s="87" t="s">
        <v>1078</v>
      </c>
      <c r="T895" s="87" t="s">
        <v>342</v>
      </c>
      <c r="U895" s="88">
        <v>35000</v>
      </c>
      <c r="V895" s="88">
        <v>37800</v>
      </c>
      <c r="W895" s="88">
        <v>35000</v>
      </c>
      <c r="X895" s="88">
        <v>37800</v>
      </c>
      <c r="Z895" s="88">
        <v>0</v>
      </c>
      <c r="AA895" s="85">
        <v>43584</v>
      </c>
      <c r="AB895" s="85">
        <v>43585</v>
      </c>
      <c r="AD895" s="84">
        <v>0</v>
      </c>
      <c r="AG895" s="84">
        <v>0</v>
      </c>
      <c r="AJ895" s="84">
        <v>0</v>
      </c>
      <c r="AR895" s="85">
        <v>43601</v>
      </c>
      <c r="AS895" s="84">
        <v>6001674549</v>
      </c>
      <c r="AT895" s="85">
        <v>43601</v>
      </c>
      <c r="AU895" s="84" t="s">
        <v>2496</v>
      </c>
      <c r="AV895" s="85">
        <v>43605</v>
      </c>
      <c r="AW895" s="123">
        <v>43616</v>
      </c>
      <c r="AX895" s="123">
        <v>43636</v>
      </c>
      <c r="AY895" s="132">
        <v>33600</v>
      </c>
      <c r="AZ895" s="132">
        <f>ROUNDDOWN(AY895+(AY895*MASTER!$A$2/100),0)</f>
        <v>36288</v>
      </c>
      <c r="BA895" s="84" t="s">
        <v>286</v>
      </c>
      <c r="BB895" s="88">
        <v>38000</v>
      </c>
      <c r="BC895" s="88">
        <v>41040</v>
      </c>
      <c r="BD895" s="84" t="s">
        <v>2197</v>
      </c>
      <c r="BG895" s="88">
        <v>0</v>
      </c>
      <c r="BK895" s="88">
        <v>0</v>
      </c>
      <c r="BS895" s="88">
        <v>0</v>
      </c>
      <c r="BV895" s="89">
        <v>37800</v>
      </c>
      <c r="BW895" s="89">
        <v>41040</v>
      </c>
      <c r="BX895" s="89">
        <v>43592</v>
      </c>
      <c r="BY895" s="89">
        <v>-3240</v>
      </c>
      <c r="BZ895" s="112">
        <v>-8.5714285714285712</v>
      </c>
    </row>
    <row r="896" spans="1:89" x14ac:dyDescent="0.15">
      <c r="A896" s="84">
        <v>2</v>
      </c>
      <c r="B896" s="85">
        <v>43602</v>
      </c>
      <c r="C896" s="85">
        <v>43605</v>
      </c>
      <c r="D896" s="85">
        <v>43592</v>
      </c>
      <c r="E896" s="85">
        <v>43592</v>
      </c>
      <c r="F896" s="85" t="s">
        <v>338</v>
      </c>
      <c r="G896" s="85">
        <v>43592</v>
      </c>
      <c r="H896" s="85" t="s">
        <v>338</v>
      </c>
      <c r="I896" s="84" t="s">
        <v>380</v>
      </c>
      <c r="J896" s="84">
        <v>2</v>
      </c>
      <c r="L896" s="84">
        <v>0</v>
      </c>
      <c r="M896" s="85">
        <v>43592</v>
      </c>
      <c r="N896" s="85" t="s">
        <v>265</v>
      </c>
      <c r="O896" s="86" t="s">
        <v>340</v>
      </c>
      <c r="P896" s="84" t="s">
        <v>6</v>
      </c>
      <c r="Q896" s="86" t="s">
        <v>139</v>
      </c>
      <c r="R896" s="86" t="s">
        <v>2709</v>
      </c>
      <c r="S896" s="87" t="s">
        <v>397</v>
      </c>
      <c r="T896" s="87" t="s">
        <v>342</v>
      </c>
      <c r="U896" s="88">
        <v>35000</v>
      </c>
      <c r="V896" s="88">
        <v>37800</v>
      </c>
      <c r="W896" s="88">
        <v>35000</v>
      </c>
      <c r="X896" s="88">
        <v>37800</v>
      </c>
      <c r="Z896" s="88">
        <v>0</v>
      </c>
      <c r="AA896" s="85">
        <v>43592</v>
      </c>
      <c r="AB896" s="85">
        <v>43592</v>
      </c>
      <c r="AD896" s="84">
        <v>0</v>
      </c>
      <c r="AG896" s="84">
        <v>0</v>
      </c>
      <c r="AJ896" s="84">
        <v>0</v>
      </c>
      <c r="AR896" s="85">
        <v>43601</v>
      </c>
      <c r="AS896" s="84">
        <v>6001674549</v>
      </c>
      <c r="AT896" s="85">
        <v>43601</v>
      </c>
      <c r="AU896" s="84" t="s">
        <v>2496</v>
      </c>
      <c r="AV896" s="85">
        <v>43605</v>
      </c>
      <c r="AW896" s="123">
        <v>43616</v>
      </c>
      <c r="AX896" s="123">
        <v>43636</v>
      </c>
      <c r="AY896" s="132">
        <v>33600</v>
      </c>
      <c r="AZ896" s="132">
        <f>ROUNDDOWN(AY896+(AY896*MASTER!$A$2/100),0)</f>
        <v>36288</v>
      </c>
      <c r="BA896" s="84" t="s">
        <v>400</v>
      </c>
      <c r="BB896" s="88">
        <v>21000</v>
      </c>
      <c r="BC896" s="88">
        <v>22680</v>
      </c>
      <c r="BD896" s="84" t="s">
        <v>2197</v>
      </c>
      <c r="BG896" s="88">
        <v>0</v>
      </c>
      <c r="BK896" s="88">
        <v>0</v>
      </c>
      <c r="BS896" s="88">
        <v>0</v>
      </c>
      <c r="BV896" s="89">
        <v>37800</v>
      </c>
      <c r="BW896" s="89">
        <v>22680</v>
      </c>
      <c r="BX896" s="89">
        <v>43592</v>
      </c>
      <c r="BY896" s="89">
        <v>15120</v>
      </c>
      <c r="BZ896" s="112">
        <v>40</v>
      </c>
    </row>
    <row r="897" spans="1:89" x14ac:dyDescent="0.15">
      <c r="A897" s="84">
        <v>2</v>
      </c>
      <c r="B897" s="85">
        <v>43601</v>
      </c>
      <c r="C897" s="85">
        <v>43602</v>
      </c>
      <c r="D897" s="85">
        <v>43594</v>
      </c>
      <c r="E897" s="85">
        <v>43594</v>
      </c>
      <c r="F897" s="85" t="s">
        <v>338</v>
      </c>
      <c r="G897" s="85">
        <v>43594</v>
      </c>
      <c r="H897" s="85" t="s">
        <v>338</v>
      </c>
      <c r="I897" s="84" t="s">
        <v>380</v>
      </c>
      <c r="J897" s="84">
        <v>2</v>
      </c>
      <c r="L897" s="84">
        <v>0</v>
      </c>
      <c r="M897" s="85">
        <v>43592</v>
      </c>
      <c r="N897" s="85" t="s">
        <v>265</v>
      </c>
      <c r="O897" s="86" t="s">
        <v>340</v>
      </c>
      <c r="P897" s="84" t="s">
        <v>6</v>
      </c>
      <c r="Q897" s="86" t="s">
        <v>139</v>
      </c>
      <c r="R897" s="86" t="s">
        <v>2710</v>
      </c>
      <c r="S897" s="87" t="s">
        <v>1840</v>
      </c>
      <c r="T897" s="87" t="s">
        <v>342</v>
      </c>
      <c r="U897" s="88">
        <v>35000</v>
      </c>
      <c r="V897" s="88">
        <v>37800</v>
      </c>
      <c r="W897" s="88">
        <v>35000</v>
      </c>
      <c r="X897" s="88">
        <v>37800</v>
      </c>
      <c r="Z897" s="88">
        <v>0</v>
      </c>
      <c r="AA897" s="85">
        <v>43589</v>
      </c>
      <c r="AB897" s="85">
        <v>43589</v>
      </c>
      <c r="AD897" s="84">
        <v>0</v>
      </c>
      <c r="AG897" s="84">
        <v>0</v>
      </c>
      <c r="AJ897" s="84">
        <v>0</v>
      </c>
      <c r="AR897" s="85">
        <v>43600</v>
      </c>
      <c r="AS897" s="84">
        <v>6001674145</v>
      </c>
      <c r="AT897" s="85">
        <v>43600</v>
      </c>
      <c r="AU897" s="84" t="s">
        <v>2624</v>
      </c>
      <c r="AV897" s="85">
        <v>43602</v>
      </c>
      <c r="AW897" s="123">
        <v>43616</v>
      </c>
      <c r="AX897" s="123">
        <v>43636</v>
      </c>
      <c r="AY897" s="132">
        <v>33600</v>
      </c>
      <c r="AZ897" s="132">
        <f>ROUNDDOWN(AY897+(AY897*MASTER!$A$2/100),0)</f>
        <v>36288</v>
      </c>
      <c r="BA897" s="84" t="s">
        <v>14</v>
      </c>
      <c r="BB897" s="88">
        <v>32000</v>
      </c>
      <c r="BC897" s="88">
        <v>34560</v>
      </c>
      <c r="BD897" s="84" t="s">
        <v>2197</v>
      </c>
      <c r="BG897" s="88">
        <v>0</v>
      </c>
      <c r="BK897" s="88">
        <v>0</v>
      </c>
      <c r="BS897" s="88">
        <v>0</v>
      </c>
      <c r="BV897" s="89">
        <v>37800</v>
      </c>
      <c r="BW897" s="89">
        <v>34560</v>
      </c>
      <c r="BX897" s="89">
        <v>43592</v>
      </c>
      <c r="BY897" s="89">
        <v>3240</v>
      </c>
      <c r="BZ897" s="112">
        <v>8.5714285714285712</v>
      </c>
    </row>
    <row r="898" spans="1:89" x14ac:dyDescent="0.15">
      <c r="A898" s="84">
        <v>2</v>
      </c>
      <c r="B898" s="85">
        <v>43599</v>
      </c>
      <c r="C898" s="85">
        <v>43598</v>
      </c>
      <c r="D898" s="85" t="s">
        <v>374</v>
      </c>
      <c r="E898" s="85">
        <v>43599</v>
      </c>
      <c r="F898" s="85">
        <v>43605</v>
      </c>
      <c r="G898" s="85">
        <v>43599</v>
      </c>
      <c r="H898" s="85">
        <v>43601</v>
      </c>
      <c r="I898" s="84" t="s">
        <v>401</v>
      </c>
      <c r="J898" s="84">
        <v>1</v>
      </c>
      <c r="L898" s="84">
        <v>0</v>
      </c>
      <c r="M898" s="85">
        <v>43593</v>
      </c>
      <c r="N898" s="85" t="s">
        <v>265</v>
      </c>
      <c r="O898" s="86" t="s">
        <v>340</v>
      </c>
      <c r="P898" s="84" t="s">
        <v>26</v>
      </c>
      <c r="Q898" s="86" t="s">
        <v>139</v>
      </c>
      <c r="R898" s="86" t="s">
        <v>2711</v>
      </c>
      <c r="S898" s="87" t="s">
        <v>2528</v>
      </c>
      <c r="T898" s="87" t="s">
        <v>721</v>
      </c>
      <c r="U898" s="88">
        <v>23900</v>
      </c>
      <c r="V898" s="88">
        <v>25812</v>
      </c>
      <c r="W898" s="88">
        <v>14700</v>
      </c>
      <c r="X898" s="88">
        <v>15876</v>
      </c>
      <c r="Y898" s="88">
        <v>9200</v>
      </c>
      <c r="Z898" s="88">
        <v>9936</v>
      </c>
      <c r="AA898" s="85">
        <v>43597</v>
      </c>
      <c r="AB898" s="85">
        <v>43598</v>
      </c>
      <c r="AC898" s="85">
        <v>43598</v>
      </c>
      <c r="AD898" s="84">
        <v>0</v>
      </c>
      <c r="AG898" s="84">
        <v>0</v>
      </c>
      <c r="AJ898" s="84">
        <v>0</v>
      </c>
      <c r="AM898" s="84" t="s">
        <v>290</v>
      </c>
      <c r="AN898" s="84" t="s">
        <v>2712</v>
      </c>
      <c r="AR898" s="85">
        <v>43595</v>
      </c>
      <c r="AS898" s="84">
        <v>6001672552</v>
      </c>
      <c r="AT898" s="85">
        <v>43598</v>
      </c>
      <c r="AU898" s="84" t="s">
        <v>2632</v>
      </c>
      <c r="AV898" s="85">
        <v>43598</v>
      </c>
      <c r="AW898" s="123">
        <v>43616</v>
      </c>
      <c r="AX898" s="123">
        <v>43636</v>
      </c>
      <c r="AY898" s="132">
        <v>22944</v>
      </c>
      <c r="AZ898" s="132">
        <f>ROUNDDOWN(AY898+(AY898*MASTER!$A$2/100),0)</f>
        <v>24779</v>
      </c>
      <c r="BA898" s="84" t="s">
        <v>778</v>
      </c>
      <c r="BC898" s="88">
        <v>0</v>
      </c>
      <c r="BG898" s="88">
        <v>0</v>
      </c>
      <c r="BI898" s="84" t="s">
        <v>276</v>
      </c>
      <c r="BJ898" s="88">
        <v>5980</v>
      </c>
      <c r="BK898" s="88">
        <v>6458.4</v>
      </c>
      <c r="BL898" s="84" t="s">
        <v>1645</v>
      </c>
      <c r="BS898" s="88">
        <v>0</v>
      </c>
      <c r="BV898" s="89">
        <v>15876</v>
      </c>
      <c r="BW898" s="89">
        <v>6458.4</v>
      </c>
      <c r="BX898" s="89">
        <v>43593</v>
      </c>
      <c r="BY898" s="89">
        <v>9417.6</v>
      </c>
      <c r="BZ898" s="112">
        <v>59.319727891156461</v>
      </c>
      <c r="CK898" s="88">
        <v>0</v>
      </c>
    </row>
    <row r="899" spans="1:89" x14ac:dyDescent="0.15">
      <c r="A899" s="84">
        <v>2</v>
      </c>
      <c r="B899" s="85">
        <v>43602</v>
      </c>
      <c r="C899" s="85">
        <v>43608</v>
      </c>
      <c r="D899" s="85">
        <v>43644</v>
      </c>
      <c r="E899" s="85">
        <v>43610</v>
      </c>
      <c r="F899" s="85">
        <v>43615</v>
      </c>
      <c r="G899" s="85">
        <v>43608</v>
      </c>
      <c r="H899" s="85">
        <v>43611</v>
      </c>
      <c r="I899" s="84" t="s">
        <v>401</v>
      </c>
      <c r="J899" s="84">
        <v>1</v>
      </c>
      <c r="L899" s="84">
        <v>0</v>
      </c>
      <c r="M899" s="85">
        <v>43593</v>
      </c>
      <c r="N899" s="85" t="s">
        <v>265</v>
      </c>
      <c r="O899" s="86" t="s">
        <v>340</v>
      </c>
      <c r="P899" s="84" t="s">
        <v>26</v>
      </c>
      <c r="Q899" s="86" t="s">
        <v>139</v>
      </c>
      <c r="R899" s="86" t="s">
        <v>2713</v>
      </c>
      <c r="S899" s="87" t="s">
        <v>1819</v>
      </c>
      <c r="T899" s="87" t="s">
        <v>706</v>
      </c>
      <c r="U899" s="88">
        <v>172800</v>
      </c>
      <c r="V899" s="88">
        <v>186624</v>
      </c>
      <c r="W899" s="88">
        <v>84300</v>
      </c>
      <c r="X899" s="88">
        <v>91044</v>
      </c>
      <c r="Y899" s="88">
        <v>88500</v>
      </c>
      <c r="Z899" s="88">
        <v>95580</v>
      </c>
      <c r="AA899" s="85">
        <v>43607</v>
      </c>
      <c r="AB899" s="85">
        <v>43608</v>
      </c>
      <c r="AC899" s="85">
        <v>43608</v>
      </c>
      <c r="AD899" s="84">
        <v>0</v>
      </c>
      <c r="AG899" s="84">
        <v>0</v>
      </c>
      <c r="AJ899" s="84">
        <v>0</v>
      </c>
      <c r="AM899" s="84" t="s">
        <v>290</v>
      </c>
      <c r="AN899" s="84" t="s">
        <v>2714</v>
      </c>
      <c r="AR899" s="85">
        <v>43601</v>
      </c>
      <c r="AS899" s="84">
        <v>6001674549</v>
      </c>
      <c r="AT899" s="85">
        <v>43601</v>
      </c>
      <c r="AU899" s="84" t="s">
        <v>2496</v>
      </c>
      <c r="AV899" s="85">
        <v>43608</v>
      </c>
      <c r="AW899" s="123">
        <v>43616</v>
      </c>
      <c r="AX899" s="123">
        <v>43636</v>
      </c>
      <c r="AY899" s="132">
        <v>165888</v>
      </c>
      <c r="AZ899" s="132">
        <f>ROUNDDOWN(AY899+(AY899*MASTER!$A$2/100),0)</f>
        <v>179159</v>
      </c>
      <c r="BA899" s="84" t="s">
        <v>543</v>
      </c>
      <c r="BB899" s="88">
        <v>38000</v>
      </c>
      <c r="BC899" s="88">
        <v>41040</v>
      </c>
      <c r="BD899" s="84" t="s">
        <v>2466</v>
      </c>
      <c r="BG899" s="88">
        <v>0</v>
      </c>
      <c r="BI899" s="84" t="s">
        <v>434</v>
      </c>
      <c r="BJ899" s="88">
        <v>57525</v>
      </c>
      <c r="BK899" s="88">
        <v>62127</v>
      </c>
      <c r="BL899" s="84" t="s">
        <v>2466</v>
      </c>
      <c r="BS899" s="88">
        <v>0</v>
      </c>
      <c r="BV899" s="89">
        <v>91044</v>
      </c>
      <c r="BW899" s="89">
        <v>103167</v>
      </c>
      <c r="BX899" s="89">
        <v>43593</v>
      </c>
      <c r="BY899" s="89">
        <v>-12123</v>
      </c>
      <c r="BZ899" s="112">
        <v>-13.315539739027283</v>
      </c>
      <c r="CK899" s="88">
        <v>6300</v>
      </c>
    </row>
    <row r="900" spans="1:89" x14ac:dyDescent="0.15">
      <c r="A900" s="84">
        <v>1</v>
      </c>
      <c r="C900" s="85" t="s">
        <v>338</v>
      </c>
      <c r="F900" s="85" t="s">
        <v>338</v>
      </c>
      <c r="H900" s="85" t="s">
        <v>338</v>
      </c>
      <c r="J900" s="84">
        <v>4</v>
      </c>
      <c r="L900" s="84">
        <v>0</v>
      </c>
      <c r="M900" s="85">
        <v>43593</v>
      </c>
      <c r="N900" s="85" t="s">
        <v>265</v>
      </c>
      <c r="O900" s="86" t="s">
        <v>340</v>
      </c>
      <c r="P900" s="84" t="s">
        <v>26</v>
      </c>
      <c r="Q900" s="86" t="s">
        <v>139</v>
      </c>
      <c r="R900" s="86" t="s">
        <v>2715</v>
      </c>
      <c r="S900" s="87" t="s">
        <v>2192</v>
      </c>
      <c r="T900" s="87" t="s">
        <v>2716</v>
      </c>
      <c r="U900" s="88">
        <v>0</v>
      </c>
      <c r="V900" s="88">
        <v>0</v>
      </c>
      <c r="W900" s="88">
        <v>0</v>
      </c>
      <c r="X900" s="88">
        <v>0</v>
      </c>
      <c r="Y900" s="88">
        <v>0</v>
      </c>
      <c r="Z900" s="88">
        <v>0</v>
      </c>
      <c r="AA900" s="85">
        <v>43573</v>
      </c>
      <c r="AD900" s="84">
        <v>0</v>
      </c>
      <c r="AG900" s="84">
        <v>0</v>
      </c>
      <c r="AJ900" s="84">
        <v>0</v>
      </c>
      <c r="AY900" s="132">
        <f>ROUNDDOWN((0.96*U900),0)</f>
        <v>0</v>
      </c>
      <c r="AZ900" s="132">
        <f>ROUNDDOWN(AY900+(AY900*MASTER!$A$2/100),0)</f>
        <v>0</v>
      </c>
      <c r="BC900" s="88">
        <v>0</v>
      </c>
      <c r="BG900" s="88">
        <v>0</v>
      </c>
      <c r="BI900" s="84" t="s">
        <v>276</v>
      </c>
      <c r="BJ900" s="88">
        <v>3250</v>
      </c>
      <c r="BK900" s="88">
        <v>3510</v>
      </c>
      <c r="BL900" s="84" t="s">
        <v>1659</v>
      </c>
      <c r="BS900" s="88">
        <v>0</v>
      </c>
      <c r="BV900" s="89">
        <v>0</v>
      </c>
      <c r="BW900" s="89">
        <v>3510</v>
      </c>
      <c r="BX900" s="89">
        <v>43593</v>
      </c>
      <c r="BY900" s="89">
        <v>-3510</v>
      </c>
      <c r="BZ900" s="112" t="s">
        <v>338</v>
      </c>
    </row>
    <row r="901" spans="1:89" x14ac:dyDescent="0.15">
      <c r="A901" s="84">
        <v>2</v>
      </c>
      <c r="B901" s="85">
        <v>43613</v>
      </c>
      <c r="C901" s="85">
        <v>43613</v>
      </c>
      <c r="D901" s="85">
        <v>43606</v>
      </c>
      <c r="E901" s="85">
        <v>43606</v>
      </c>
      <c r="F901" s="85" t="s">
        <v>338</v>
      </c>
      <c r="G901" s="85">
        <v>43606</v>
      </c>
      <c r="H901" s="85" t="s">
        <v>338</v>
      </c>
      <c r="I901" s="84" t="s">
        <v>380</v>
      </c>
      <c r="J901" s="84">
        <v>2</v>
      </c>
      <c r="L901" s="84">
        <v>0</v>
      </c>
      <c r="M901" s="85">
        <v>43594</v>
      </c>
      <c r="N901" s="85" t="s">
        <v>265</v>
      </c>
      <c r="O901" s="86" t="s">
        <v>340</v>
      </c>
      <c r="P901" s="84" t="s">
        <v>6</v>
      </c>
      <c r="Q901" s="86" t="s">
        <v>139</v>
      </c>
      <c r="R901" s="86" t="s">
        <v>2717</v>
      </c>
      <c r="S901" s="87" t="s">
        <v>571</v>
      </c>
      <c r="T901" s="87" t="s">
        <v>2551</v>
      </c>
      <c r="U901" s="88">
        <v>35000</v>
      </c>
      <c r="V901" s="88">
        <v>37800</v>
      </c>
      <c r="W901" s="88">
        <v>35000</v>
      </c>
      <c r="X901" s="88">
        <v>37800</v>
      </c>
      <c r="Z901" s="88">
        <v>0</v>
      </c>
      <c r="AA901" s="85">
        <v>43605</v>
      </c>
      <c r="AB901" s="85">
        <v>43605</v>
      </c>
      <c r="AD901" s="84">
        <v>0</v>
      </c>
      <c r="AG901" s="84">
        <v>0</v>
      </c>
      <c r="AJ901" s="84">
        <v>0</v>
      </c>
      <c r="AN901" s="84" t="s">
        <v>338</v>
      </c>
      <c r="AR901" s="85">
        <v>43609</v>
      </c>
      <c r="AS901" s="84">
        <v>6001677551</v>
      </c>
      <c r="AT901" s="85">
        <v>43612</v>
      </c>
      <c r="AU901" s="84" t="s">
        <v>2669</v>
      </c>
      <c r="AV901" s="85">
        <v>43613</v>
      </c>
      <c r="AW901" s="123">
        <v>43616</v>
      </c>
      <c r="AX901" s="123">
        <v>43636</v>
      </c>
      <c r="AY901" s="132">
        <v>33600</v>
      </c>
      <c r="AZ901" s="132">
        <f>ROUNDDOWN(AY901+(AY901*MASTER!$A$2/100),0)</f>
        <v>36288</v>
      </c>
      <c r="BA901" s="84" t="s">
        <v>287</v>
      </c>
      <c r="BB901" s="88">
        <v>21000</v>
      </c>
      <c r="BC901" s="88">
        <v>22680</v>
      </c>
      <c r="BD901" s="84" t="s">
        <v>2197</v>
      </c>
      <c r="BG901" s="88">
        <v>0</v>
      </c>
      <c r="BK901" s="88">
        <v>0</v>
      </c>
      <c r="BS901" s="88">
        <v>0</v>
      </c>
      <c r="BV901" s="89">
        <v>37800</v>
      </c>
      <c r="BW901" s="89">
        <v>22680</v>
      </c>
      <c r="BX901" s="89">
        <v>43594</v>
      </c>
      <c r="BY901" s="89">
        <v>15120</v>
      </c>
      <c r="BZ901" s="112">
        <v>40</v>
      </c>
      <c r="CK901" s="88">
        <v>0</v>
      </c>
    </row>
    <row r="902" spans="1:89" x14ac:dyDescent="0.15">
      <c r="A902" s="84">
        <v>2</v>
      </c>
      <c r="B902" s="85">
        <v>43602</v>
      </c>
      <c r="C902" s="85">
        <v>43608</v>
      </c>
      <c r="D902" s="85" t="s">
        <v>374</v>
      </c>
      <c r="E902" s="85">
        <v>43610</v>
      </c>
      <c r="F902" s="85">
        <v>43615</v>
      </c>
      <c r="G902" s="85">
        <v>43609</v>
      </c>
      <c r="H902" s="85">
        <v>43611</v>
      </c>
      <c r="I902" s="84" t="s">
        <v>1191</v>
      </c>
      <c r="J902" s="84">
        <v>1</v>
      </c>
      <c r="L902" s="84">
        <v>0</v>
      </c>
      <c r="M902" s="85">
        <v>43594</v>
      </c>
      <c r="N902" s="85" t="s">
        <v>265</v>
      </c>
      <c r="O902" s="86" t="s">
        <v>340</v>
      </c>
      <c r="P902" s="84" t="s">
        <v>26</v>
      </c>
      <c r="Q902" s="86" t="s">
        <v>139</v>
      </c>
      <c r="R902" s="86" t="s">
        <v>2718</v>
      </c>
      <c r="S902" s="87" t="s">
        <v>2719</v>
      </c>
      <c r="T902" s="87" t="s">
        <v>2720</v>
      </c>
      <c r="U902" s="88">
        <v>23900</v>
      </c>
      <c r="V902" s="88">
        <v>25812</v>
      </c>
      <c r="W902" s="88">
        <v>14700</v>
      </c>
      <c r="X902" s="88">
        <v>15876</v>
      </c>
      <c r="Y902" s="88">
        <v>9200</v>
      </c>
      <c r="Z902" s="88">
        <v>9936</v>
      </c>
      <c r="AA902" s="85">
        <v>43607</v>
      </c>
      <c r="AB902" s="85">
        <v>43608</v>
      </c>
      <c r="AC902" s="85">
        <v>43608</v>
      </c>
      <c r="AD902" s="84">
        <v>0</v>
      </c>
      <c r="AG902" s="84">
        <v>0</v>
      </c>
      <c r="AJ902" s="84">
        <v>0</v>
      </c>
      <c r="AM902" s="84" t="s">
        <v>290</v>
      </c>
      <c r="AN902" s="84" t="s">
        <v>2721</v>
      </c>
      <c r="AR902" s="85">
        <v>43600</v>
      </c>
      <c r="AS902" s="84">
        <v>6001674145</v>
      </c>
      <c r="AT902" s="85">
        <v>43600</v>
      </c>
      <c r="AU902" s="84" t="s">
        <v>2624</v>
      </c>
      <c r="AV902" s="85">
        <v>43608</v>
      </c>
      <c r="AW902" s="123">
        <v>43616</v>
      </c>
      <c r="AX902" s="123">
        <v>43636</v>
      </c>
      <c r="AY902" s="132">
        <v>22944</v>
      </c>
      <c r="AZ902" s="132">
        <f>ROUNDDOWN(AY902+(AY902*MASTER!$A$2/100),0)</f>
        <v>24779</v>
      </c>
      <c r="BA902" s="84" t="s">
        <v>778</v>
      </c>
      <c r="BC902" s="88">
        <v>0</v>
      </c>
      <c r="BG902" s="88">
        <v>0</v>
      </c>
      <c r="BI902" s="84" t="s">
        <v>276</v>
      </c>
      <c r="BJ902" s="88">
        <v>5980</v>
      </c>
      <c r="BK902" s="88">
        <v>6458.4</v>
      </c>
      <c r="BL902" s="84" t="s">
        <v>2567</v>
      </c>
      <c r="BS902" s="88">
        <v>0</v>
      </c>
      <c r="BV902" s="89">
        <v>15876</v>
      </c>
      <c r="BW902" s="89">
        <v>6458.4</v>
      </c>
      <c r="BX902" s="89">
        <v>43594</v>
      </c>
      <c r="BY902" s="89">
        <v>9417.6</v>
      </c>
      <c r="BZ902" s="112">
        <v>59.319727891156461</v>
      </c>
      <c r="CK902" s="88">
        <v>0</v>
      </c>
    </row>
    <row r="903" spans="1:89" x14ac:dyDescent="0.15">
      <c r="A903" s="84">
        <v>2</v>
      </c>
      <c r="B903" s="85">
        <v>43608</v>
      </c>
      <c r="C903" s="85">
        <v>43616</v>
      </c>
      <c r="D903" s="85">
        <v>43684</v>
      </c>
      <c r="E903" s="85">
        <v>43622</v>
      </c>
      <c r="F903" s="85">
        <v>43623</v>
      </c>
      <c r="G903" s="85">
        <v>43615</v>
      </c>
      <c r="H903" s="85">
        <v>43619</v>
      </c>
      <c r="I903" s="84" t="s">
        <v>1191</v>
      </c>
      <c r="J903" s="84">
        <v>1</v>
      </c>
      <c r="L903" s="84">
        <v>0</v>
      </c>
      <c r="M903" s="85">
        <v>43594</v>
      </c>
      <c r="N903" s="85" t="s">
        <v>265</v>
      </c>
      <c r="O903" s="86" t="s">
        <v>340</v>
      </c>
      <c r="P903" s="84" t="s">
        <v>26</v>
      </c>
      <c r="Q903" s="86" t="s">
        <v>139</v>
      </c>
      <c r="R903" s="86" t="s">
        <v>2722</v>
      </c>
      <c r="S903" s="87" t="s">
        <v>1641</v>
      </c>
      <c r="T903" s="87" t="s">
        <v>1642</v>
      </c>
      <c r="U903" s="88">
        <v>84200</v>
      </c>
      <c r="V903" s="88">
        <v>90936</v>
      </c>
      <c r="W903" s="88">
        <v>63000</v>
      </c>
      <c r="X903" s="88">
        <v>68040</v>
      </c>
      <c r="Y903" s="88">
        <v>21200</v>
      </c>
      <c r="Z903" s="88">
        <v>22896</v>
      </c>
      <c r="AA903" s="85">
        <v>43614</v>
      </c>
      <c r="AB903" s="85">
        <v>43616</v>
      </c>
      <c r="AC903" s="85">
        <v>43616</v>
      </c>
      <c r="AD903" s="84">
        <v>0</v>
      </c>
      <c r="AG903" s="84">
        <v>0</v>
      </c>
      <c r="AJ903" s="84">
        <v>0</v>
      </c>
      <c r="AM903" s="84" t="s">
        <v>290</v>
      </c>
      <c r="AN903" s="84" t="s">
        <v>2723</v>
      </c>
      <c r="AR903" s="85">
        <v>43606</v>
      </c>
      <c r="AS903" s="84">
        <v>6001675996</v>
      </c>
      <c r="AT903" s="85">
        <v>43606</v>
      </c>
      <c r="AU903" s="84" t="s">
        <v>2724</v>
      </c>
      <c r="AV903" s="85">
        <v>43616</v>
      </c>
      <c r="AW903" s="123">
        <v>43616</v>
      </c>
      <c r="AX903" s="123">
        <v>43636</v>
      </c>
      <c r="AY903" s="132">
        <v>80832</v>
      </c>
      <c r="AZ903" s="132">
        <f>ROUNDDOWN(AY903+(AY903*MASTER!$A$2/100),0)</f>
        <v>87298</v>
      </c>
      <c r="BA903" s="84" t="s">
        <v>287</v>
      </c>
      <c r="BB903" s="88">
        <v>23000</v>
      </c>
      <c r="BC903" s="88">
        <v>24840</v>
      </c>
      <c r="BD903" s="84" t="s">
        <v>2466</v>
      </c>
      <c r="BG903" s="88">
        <v>0</v>
      </c>
      <c r="BI903" s="84" t="s">
        <v>434</v>
      </c>
      <c r="BJ903" s="88">
        <v>13780</v>
      </c>
      <c r="BK903" s="88">
        <v>14882.4</v>
      </c>
      <c r="BL903" s="84" t="s">
        <v>2466</v>
      </c>
      <c r="BS903" s="88">
        <v>0</v>
      </c>
      <c r="BV903" s="89">
        <v>68040</v>
      </c>
      <c r="BW903" s="89">
        <v>39722.400000000001</v>
      </c>
      <c r="BX903" s="89">
        <v>43594</v>
      </c>
      <c r="BY903" s="89">
        <v>28317.599999999999</v>
      </c>
      <c r="BZ903" s="112">
        <v>41.619047619047613</v>
      </c>
      <c r="CK903" s="88">
        <v>0</v>
      </c>
    </row>
    <row r="904" spans="1:89" x14ac:dyDescent="0.15">
      <c r="A904" s="84">
        <v>2</v>
      </c>
      <c r="B904" s="85">
        <v>43608</v>
      </c>
      <c r="C904" s="85">
        <v>43617</v>
      </c>
      <c r="D904" s="85" t="s">
        <v>374</v>
      </c>
      <c r="E904" s="85">
        <v>43622</v>
      </c>
      <c r="F904" s="85">
        <v>43624</v>
      </c>
      <c r="G904" s="85">
        <v>43619</v>
      </c>
      <c r="H904" s="85">
        <v>43620</v>
      </c>
      <c r="I904" s="84" t="s">
        <v>1191</v>
      </c>
      <c r="J904" s="84">
        <v>1</v>
      </c>
      <c r="L904" s="84">
        <v>0</v>
      </c>
      <c r="M904" s="85">
        <v>43594</v>
      </c>
      <c r="N904" s="85" t="s">
        <v>265</v>
      </c>
      <c r="O904" s="86" t="s">
        <v>340</v>
      </c>
      <c r="P904" s="84" t="s">
        <v>26</v>
      </c>
      <c r="Q904" s="86" t="s">
        <v>139</v>
      </c>
      <c r="R904" s="86" t="s">
        <v>2725</v>
      </c>
      <c r="S904" s="87" t="s">
        <v>593</v>
      </c>
      <c r="T904" s="87" t="s">
        <v>721</v>
      </c>
      <c r="U904" s="88">
        <v>23900</v>
      </c>
      <c r="V904" s="88">
        <v>25812</v>
      </c>
      <c r="W904" s="88">
        <v>14700</v>
      </c>
      <c r="X904" s="88">
        <v>15876</v>
      </c>
      <c r="Y904" s="88">
        <v>9200</v>
      </c>
      <c r="Z904" s="88">
        <v>9936</v>
      </c>
      <c r="AA904" s="85">
        <v>43616</v>
      </c>
      <c r="AB904" s="85">
        <v>43617</v>
      </c>
      <c r="AC904" s="85">
        <v>43617</v>
      </c>
      <c r="AD904" s="84">
        <v>0</v>
      </c>
      <c r="AG904" s="84">
        <v>0</v>
      </c>
      <c r="AJ904" s="84">
        <v>0</v>
      </c>
      <c r="AM904" s="84" t="s">
        <v>290</v>
      </c>
      <c r="AN904" s="84" t="s">
        <v>2726</v>
      </c>
      <c r="AR904" s="85">
        <v>43602</v>
      </c>
      <c r="AS904" s="84">
        <v>6001675091</v>
      </c>
      <c r="AT904" s="85">
        <v>43605</v>
      </c>
      <c r="AU904" s="84" t="s">
        <v>2690</v>
      </c>
      <c r="AV904" s="85">
        <v>43617</v>
      </c>
      <c r="AW904" s="123">
        <v>43646</v>
      </c>
      <c r="AX904" s="123">
        <v>43666</v>
      </c>
      <c r="AY904" s="132">
        <v>22944</v>
      </c>
      <c r="AZ904" s="132">
        <f>ROUNDDOWN(AY904+(AY904*MASTER!$A$2/100),0)</f>
        <v>24779</v>
      </c>
      <c r="BA904" s="84" t="s">
        <v>778</v>
      </c>
      <c r="BC904" s="88">
        <v>0</v>
      </c>
      <c r="BG904" s="88">
        <v>0</v>
      </c>
      <c r="BI904" s="84" t="s">
        <v>276</v>
      </c>
      <c r="BJ904" s="88">
        <v>5980</v>
      </c>
      <c r="BK904" s="88">
        <v>6458.4</v>
      </c>
      <c r="BL904" s="84" t="s">
        <v>2567</v>
      </c>
      <c r="BS904" s="88">
        <v>0</v>
      </c>
      <c r="BV904" s="89">
        <v>15876</v>
      </c>
      <c r="BW904" s="89">
        <v>6458.4</v>
      </c>
      <c r="BX904" s="89">
        <v>43594</v>
      </c>
      <c r="BY904" s="89">
        <v>9417.6</v>
      </c>
      <c r="BZ904" s="112">
        <v>59.319727891156461</v>
      </c>
      <c r="CK904" s="88">
        <v>0</v>
      </c>
    </row>
    <row r="905" spans="1:89" x14ac:dyDescent="0.15">
      <c r="A905" s="84">
        <v>2</v>
      </c>
      <c r="B905" s="85">
        <v>43609</v>
      </c>
      <c r="C905" s="85">
        <v>43617</v>
      </c>
      <c r="D905" s="85">
        <v>43644</v>
      </c>
      <c r="E905" s="85">
        <v>43619</v>
      </c>
      <c r="F905" s="85">
        <v>43624</v>
      </c>
      <c r="G905" s="85">
        <v>43619</v>
      </c>
      <c r="H905" s="85">
        <v>43620</v>
      </c>
      <c r="I905" s="84" t="s">
        <v>401</v>
      </c>
      <c r="J905" s="84">
        <v>1</v>
      </c>
      <c r="L905" s="84">
        <v>0</v>
      </c>
      <c r="M905" s="85">
        <v>43594</v>
      </c>
      <c r="N905" s="85" t="s">
        <v>265</v>
      </c>
      <c r="O905" s="86" t="s">
        <v>340</v>
      </c>
      <c r="P905" s="84" t="s">
        <v>26</v>
      </c>
      <c r="Q905" s="86" t="s">
        <v>139</v>
      </c>
      <c r="R905" s="86" t="s">
        <v>2727</v>
      </c>
      <c r="S905" s="87" t="s">
        <v>760</v>
      </c>
      <c r="T905" s="87" t="s">
        <v>797</v>
      </c>
      <c r="U905" s="88">
        <v>50000</v>
      </c>
      <c r="V905" s="88">
        <v>54000</v>
      </c>
      <c r="W905" s="88">
        <v>47000</v>
      </c>
      <c r="X905" s="88">
        <v>50760</v>
      </c>
      <c r="Y905" s="88">
        <v>3000</v>
      </c>
      <c r="Z905" s="88">
        <v>3240</v>
      </c>
      <c r="AA905" s="85">
        <v>43616</v>
      </c>
      <c r="AB905" s="85">
        <v>43617</v>
      </c>
      <c r="AC905" s="85">
        <v>43617</v>
      </c>
      <c r="AD905" s="84">
        <v>0</v>
      </c>
      <c r="AG905" s="84">
        <v>0</v>
      </c>
      <c r="AJ905" s="84">
        <v>0</v>
      </c>
      <c r="AM905" s="84" t="s">
        <v>290</v>
      </c>
      <c r="AN905" s="84" t="s">
        <v>2728</v>
      </c>
      <c r="AR905" s="85">
        <v>43608</v>
      </c>
      <c r="AS905" s="84">
        <v>6001677069</v>
      </c>
      <c r="AT905" s="85">
        <v>43608</v>
      </c>
      <c r="AU905" s="84" t="s">
        <v>2659</v>
      </c>
      <c r="AV905" s="85">
        <v>43617</v>
      </c>
      <c r="AW905" s="123">
        <v>43646</v>
      </c>
      <c r="AX905" s="123">
        <v>43666</v>
      </c>
      <c r="AY905" s="132">
        <v>48000</v>
      </c>
      <c r="AZ905" s="132">
        <f>ROUNDDOWN(AY905+(AY905*MASTER!$A$2/100),0)</f>
        <v>51840</v>
      </c>
      <c r="BA905" s="84" t="s">
        <v>543</v>
      </c>
      <c r="BB905" s="88">
        <v>26000</v>
      </c>
      <c r="BC905" s="88">
        <v>28080</v>
      </c>
      <c r="BD905" s="84" t="s">
        <v>2466</v>
      </c>
      <c r="BG905" s="88">
        <v>0</v>
      </c>
      <c r="BI905" s="84" t="s">
        <v>434</v>
      </c>
      <c r="BJ905" s="88">
        <v>1950</v>
      </c>
      <c r="BK905" s="88">
        <v>2106</v>
      </c>
      <c r="BL905" s="84" t="s">
        <v>2466</v>
      </c>
      <c r="BS905" s="88">
        <v>0</v>
      </c>
      <c r="BV905" s="89">
        <v>50760</v>
      </c>
      <c r="BW905" s="89">
        <v>30186</v>
      </c>
      <c r="BX905" s="89">
        <v>43594</v>
      </c>
      <c r="BY905" s="89">
        <v>20574</v>
      </c>
      <c r="BZ905" s="112">
        <v>40.531914893617021</v>
      </c>
      <c r="CK905" s="88">
        <v>0</v>
      </c>
    </row>
    <row r="906" spans="1:89" x14ac:dyDescent="0.15">
      <c r="A906" s="84">
        <v>1</v>
      </c>
      <c r="B906" s="85">
        <v>43608</v>
      </c>
      <c r="C906" s="85">
        <v>43616</v>
      </c>
      <c r="F906" s="85" t="s">
        <v>338</v>
      </c>
      <c r="H906" s="85" t="s">
        <v>338</v>
      </c>
      <c r="J906" s="84">
        <v>3</v>
      </c>
      <c r="L906" s="84">
        <v>0</v>
      </c>
      <c r="M906" s="85">
        <v>43594</v>
      </c>
      <c r="N906" s="85" t="s">
        <v>265</v>
      </c>
      <c r="O906" s="86" t="s">
        <v>340</v>
      </c>
      <c r="P906" s="84" t="s">
        <v>6</v>
      </c>
      <c r="Q906" s="86" t="s">
        <v>139</v>
      </c>
      <c r="R906" s="86" t="s">
        <v>2729</v>
      </c>
      <c r="S906" s="87" t="s">
        <v>1641</v>
      </c>
      <c r="T906" s="87" t="s">
        <v>2599</v>
      </c>
      <c r="U906" s="88">
        <v>9000</v>
      </c>
      <c r="V906" s="88">
        <v>9720</v>
      </c>
      <c r="X906" s="88">
        <v>0</v>
      </c>
      <c r="Y906" s="88">
        <v>9000</v>
      </c>
      <c r="Z906" s="88">
        <v>9720</v>
      </c>
      <c r="AD906" s="84">
        <v>0</v>
      </c>
      <c r="AG906" s="84">
        <v>0</v>
      </c>
      <c r="AJ906" s="84">
        <v>0</v>
      </c>
      <c r="AR906" s="85">
        <v>43600</v>
      </c>
      <c r="AS906" s="84">
        <v>6001674145</v>
      </c>
      <c r="AT906" s="85">
        <v>43600</v>
      </c>
      <c r="AU906" s="84" t="s">
        <v>2624</v>
      </c>
      <c r="AV906" s="85">
        <v>43616</v>
      </c>
      <c r="AW906" s="123">
        <v>43616</v>
      </c>
      <c r="AX906" s="123">
        <v>43636</v>
      </c>
      <c r="AY906" s="132">
        <v>8640</v>
      </c>
      <c r="AZ906" s="132">
        <f>ROUNDDOWN(AY906+(AY906*MASTER!$A$2/100),0)</f>
        <v>9331</v>
      </c>
      <c r="BC906" s="88">
        <v>0</v>
      </c>
      <c r="BG906" s="88">
        <v>0</v>
      </c>
      <c r="BK906" s="88">
        <v>0</v>
      </c>
      <c r="BS906" s="88">
        <v>0</v>
      </c>
      <c r="BV906" s="89">
        <v>0</v>
      </c>
      <c r="BW906" s="89">
        <v>0</v>
      </c>
      <c r="BX906" s="89">
        <v>43594</v>
      </c>
      <c r="BY906" s="89">
        <v>0</v>
      </c>
      <c r="BZ906" s="112" t="s">
        <v>338</v>
      </c>
    </row>
    <row r="907" spans="1:89" x14ac:dyDescent="0.15">
      <c r="A907" s="84">
        <v>2</v>
      </c>
      <c r="B907" s="85">
        <v>43608</v>
      </c>
      <c r="C907" s="85">
        <v>43608</v>
      </c>
      <c r="D907" s="85">
        <v>43610</v>
      </c>
      <c r="F907" s="85" t="s">
        <v>338</v>
      </c>
      <c r="H907" s="85" t="s">
        <v>338</v>
      </c>
      <c r="I907" s="84" t="s">
        <v>569</v>
      </c>
      <c r="J907" s="84">
        <v>2</v>
      </c>
      <c r="L907" s="84">
        <v>0</v>
      </c>
      <c r="M907" s="85">
        <v>43594</v>
      </c>
      <c r="N907" s="85" t="s">
        <v>265</v>
      </c>
      <c r="O907" s="86" t="s">
        <v>340</v>
      </c>
      <c r="P907" s="84" t="s">
        <v>78</v>
      </c>
      <c r="Q907" s="86" t="s">
        <v>139</v>
      </c>
      <c r="R907" s="86" t="s">
        <v>2730</v>
      </c>
      <c r="S907" s="87" t="s">
        <v>643</v>
      </c>
      <c r="T907" s="87" t="s">
        <v>1064</v>
      </c>
      <c r="U907" s="88">
        <v>65000</v>
      </c>
      <c r="V907" s="88">
        <v>70200</v>
      </c>
      <c r="W907" s="88">
        <v>65000</v>
      </c>
      <c r="X907" s="88">
        <v>70200</v>
      </c>
      <c r="Z907" s="88">
        <v>0</v>
      </c>
      <c r="AA907" s="85">
        <v>43600</v>
      </c>
      <c r="AB907" s="85">
        <v>43601</v>
      </c>
      <c r="AD907" s="84">
        <v>0</v>
      </c>
      <c r="AG907" s="84">
        <v>0</v>
      </c>
      <c r="AJ907" s="84">
        <v>0</v>
      </c>
      <c r="AN907" s="84" t="s">
        <v>338</v>
      </c>
      <c r="AR907" s="85">
        <v>43606</v>
      </c>
      <c r="AS907" s="84">
        <v>6001675996</v>
      </c>
      <c r="AT907" s="85">
        <v>43606</v>
      </c>
      <c r="AU907" s="84" t="s">
        <v>2724</v>
      </c>
      <c r="AV907" s="85">
        <v>43608</v>
      </c>
      <c r="AW907" s="123">
        <v>43616</v>
      </c>
      <c r="AX907" s="123">
        <v>43636</v>
      </c>
      <c r="AY907" s="132">
        <v>62400</v>
      </c>
      <c r="AZ907" s="132">
        <f>ROUNDDOWN(AY907+(AY907*MASTER!$A$2/100),0)</f>
        <v>67392</v>
      </c>
      <c r="BA907" s="84" t="s">
        <v>778</v>
      </c>
      <c r="BC907" s="88">
        <v>0</v>
      </c>
      <c r="BG907" s="88">
        <v>0</v>
      </c>
      <c r="BK907" s="88">
        <v>0</v>
      </c>
      <c r="BS907" s="88">
        <v>0</v>
      </c>
      <c r="BV907" s="89">
        <v>70200</v>
      </c>
      <c r="BW907" s="89">
        <v>0</v>
      </c>
      <c r="BX907" s="89">
        <v>43594</v>
      </c>
      <c r="BY907" s="89">
        <v>70200</v>
      </c>
      <c r="BZ907" s="112">
        <v>100</v>
      </c>
      <c r="CK907" s="88">
        <v>0</v>
      </c>
    </row>
    <row r="908" spans="1:89" x14ac:dyDescent="0.15">
      <c r="A908" s="84">
        <v>2</v>
      </c>
      <c r="B908" s="85">
        <v>43608</v>
      </c>
      <c r="C908" s="85">
        <v>43608</v>
      </c>
      <c r="D908" s="85">
        <v>43610</v>
      </c>
      <c r="F908" s="85" t="s">
        <v>338</v>
      </c>
      <c r="H908" s="85" t="s">
        <v>338</v>
      </c>
      <c r="I908" s="84" t="s">
        <v>2642</v>
      </c>
      <c r="J908" s="84">
        <v>2</v>
      </c>
      <c r="L908" s="84">
        <v>0</v>
      </c>
      <c r="M908" s="85">
        <v>43594</v>
      </c>
      <c r="N908" s="85" t="s">
        <v>265</v>
      </c>
      <c r="O908" s="86" t="s">
        <v>340</v>
      </c>
      <c r="P908" s="84" t="s">
        <v>78</v>
      </c>
      <c r="Q908" s="86" t="s">
        <v>139</v>
      </c>
      <c r="R908" s="86" t="s">
        <v>2731</v>
      </c>
      <c r="S908" s="87" t="s">
        <v>2732</v>
      </c>
      <c r="T908" s="87" t="s">
        <v>1064</v>
      </c>
      <c r="U908" s="88">
        <v>65000</v>
      </c>
      <c r="V908" s="88">
        <v>70200</v>
      </c>
      <c r="W908" s="88">
        <v>65000</v>
      </c>
      <c r="X908" s="88">
        <v>70200</v>
      </c>
      <c r="Z908" s="88">
        <v>0</v>
      </c>
      <c r="AA908" s="85">
        <v>43601</v>
      </c>
      <c r="AB908" s="85">
        <v>43602</v>
      </c>
      <c r="AD908" s="84">
        <v>0</v>
      </c>
      <c r="AG908" s="84">
        <v>0</v>
      </c>
      <c r="AJ908" s="84">
        <v>0</v>
      </c>
      <c r="AN908" s="84" t="s">
        <v>338</v>
      </c>
      <c r="AR908" s="85">
        <v>43606</v>
      </c>
      <c r="AS908" s="84">
        <v>6001675996</v>
      </c>
      <c r="AT908" s="85">
        <v>43606</v>
      </c>
      <c r="AU908" s="84" t="s">
        <v>2724</v>
      </c>
      <c r="AV908" s="85">
        <v>43608</v>
      </c>
      <c r="AW908" s="123">
        <v>43616</v>
      </c>
      <c r="AX908" s="123">
        <v>43636</v>
      </c>
      <c r="AY908" s="132">
        <v>62400</v>
      </c>
      <c r="AZ908" s="132">
        <f>ROUNDDOWN(AY908+(AY908*MASTER!$A$2/100),0)</f>
        <v>67392</v>
      </c>
      <c r="BA908" s="84" t="s">
        <v>109</v>
      </c>
      <c r="BC908" s="88">
        <v>0</v>
      </c>
      <c r="BG908" s="88">
        <v>0</v>
      </c>
      <c r="BK908" s="88">
        <v>0</v>
      </c>
      <c r="BS908" s="88">
        <v>0</v>
      </c>
      <c r="BV908" s="89">
        <v>70200</v>
      </c>
      <c r="BW908" s="89">
        <v>0</v>
      </c>
      <c r="BX908" s="89">
        <v>43594</v>
      </c>
      <c r="BY908" s="89">
        <v>70200</v>
      </c>
      <c r="BZ908" s="112">
        <v>100</v>
      </c>
      <c r="CK908" s="88">
        <v>0</v>
      </c>
    </row>
    <row r="909" spans="1:89" x14ac:dyDescent="0.15">
      <c r="A909" s="84">
        <v>1</v>
      </c>
      <c r="B909" s="85">
        <v>43606</v>
      </c>
      <c r="C909" s="85">
        <v>43608</v>
      </c>
      <c r="F909" s="85" t="s">
        <v>338</v>
      </c>
      <c r="H909" s="85" t="s">
        <v>338</v>
      </c>
      <c r="J909" s="84">
        <v>2</v>
      </c>
      <c r="L909" s="84">
        <v>0</v>
      </c>
      <c r="M909" s="85">
        <v>43594</v>
      </c>
      <c r="N909" s="85" t="s">
        <v>265</v>
      </c>
      <c r="O909" s="86" t="s">
        <v>340</v>
      </c>
      <c r="P909" s="84" t="s">
        <v>78</v>
      </c>
      <c r="Q909" s="86" t="s">
        <v>139</v>
      </c>
      <c r="R909" s="86" t="s">
        <v>2733</v>
      </c>
      <c r="S909" s="87" t="s">
        <v>2734</v>
      </c>
      <c r="T909" s="87" t="s">
        <v>726</v>
      </c>
      <c r="U909" s="88">
        <v>65000</v>
      </c>
      <c r="V909" s="88">
        <v>70200</v>
      </c>
      <c r="W909" s="88">
        <v>65000</v>
      </c>
      <c r="X909" s="88">
        <v>70200</v>
      </c>
      <c r="Z909" s="88">
        <v>0</v>
      </c>
      <c r="AA909" s="85">
        <v>43607</v>
      </c>
      <c r="AB909" s="85">
        <v>43608</v>
      </c>
      <c r="AD909" s="84">
        <v>0</v>
      </c>
      <c r="AG909" s="84">
        <v>0</v>
      </c>
      <c r="AJ909" s="84">
        <v>0</v>
      </c>
      <c r="AN909" s="84" t="s">
        <v>338</v>
      </c>
      <c r="AR909" s="85">
        <v>43605</v>
      </c>
      <c r="AS909" s="84">
        <v>6001675535</v>
      </c>
      <c r="AT909" s="85">
        <v>43605</v>
      </c>
      <c r="AU909" s="84" t="s">
        <v>2735</v>
      </c>
      <c r="AV909" s="85">
        <v>43608</v>
      </c>
      <c r="AW909" s="123">
        <v>43616</v>
      </c>
      <c r="AX909" s="123">
        <v>43636</v>
      </c>
      <c r="AY909" s="132">
        <v>62400</v>
      </c>
      <c r="AZ909" s="132">
        <f>ROUNDDOWN(AY909+(AY909*MASTER!$A$2/100),0)</f>
        <v>67392</v>
      </c>
      <c r="BC909" s="88">
        <v>0</v>
      </c>
      <c r="BG909" s="88">
        <v>0</v>
      </c>
      <c r="BK909" s="88">
        <v>0</v>
      </c>
      <c r="BS909" s="88">
        <v>0</v>
      </c>
      <c r="BV909" s="89">
        <v>70200</v>
      </c>
      <c r="BW909" s="89">
        <v>0</v>
      </c>
      <c r="BX909" s="89">
        <v>43594</v>
      </c>
      <c r="BY909" s="89">
        <v>70200</v>
      </c>
      <c r="BZ909" s="112">
        <v>100</v>
      </c>
      <c r="CK909" s="88">
        <v>0</v>
      </c>
    </row>
    <row r="910" spans="1:89" x14ac:dyDescent="0.15">
      <c r="A910" s="84">
        <v>1</v>
      </c>
      <c r="B910" s="85">
        <v>43606</v>
      </c>
      <c r="C910" s="85">
        <v>43609</v>
      </c>
      <c r="F910" s="85" t="s">
        <v>338</v>
      </c>
      <c r="H910" s="85" t="s">
        <v>338</v>
      </c>
      <c r="J910" s="84">
        <v>2</v>
      </c>
      <c r="L910" s="84">
        <v>0</v>
      </c>
      <c r="M910" s="85">
        <v>43594</v>
      </c>
      <c r="N910" s="85" t="s">
        <v>265</v>
      </c>
      <c r="O910" s="86" t="s">
        <v>340</v>
      </c>
      <c r="P910" s="84" t="s">
        <v>78</v>
      </c>
      <c r="Q910" s="86" t="s">
        <v>139</v>
      </c>
      <c r="R910" s="86" t="s">
        <v>2736</v>
      </c>
      <c r="S910" s="87" t="s">
        <v>1411</v>
      </c>
      <c r="T910" s="87" t="s">
        <v>726</v>
      </c>
      <c r="U910" s="88">
        <v>65000</v>
      </c>
      <c r="V910" s="88">
        <v>70200</v>
      </c>
      <c r="W910" s="88">
        <v>65000</v>
      </c>
      <c r="X910" s="88">
        <v>70200</v>
      </c>
      <c r="Z910" s="88">
        <v>0</v>
      </c>
      <c r="AA910" s="85">
        <v>43608</v>
      </c>
      <c r="AB910" s="85">
        <v>43609</v>
      </c>
      <c r="AD910" s="84">
        <v>0</v>
      </c>
      <c r="AG910" s="84">
        <v>0</v>
      </c>
      <c r="AJ910" s="84">
        <v>0</v>
      </c>
      <c r="AN910" s="84" t="s">
        <v>338</v>
      </c>
      <c r="AR910" s="85">
        <v>43605</v>
      </c>
      <c r="AS910" s="84">
        <v>6001675535</v>
      </c>
      <c r="AT910" s="85">
        <v>43605</v>
      </c>
      <c r="AU910" s="84" t="s">
        <v>2735</v>
      </c>
      <c r="AV910" s="85">
        <v>43609</v>
      </c>
      <c r="AW910" s="123">
        <v>43616</v>
      </c>
      <c r="AX910" s="123">
        <v>43636</v>
      </c>
      <c r="AY910" s="132">
        <v>62400</v>
      </c>
      <c r="AZ910" s="132">
        <f>ROUNDDOWN(AY910+(AY910*MASTER!$A$2/100),0)</f>
        <v>67392</v>
      </c>
      <c r="BC910" s="88">
        <v>0</v>
      </c>
      <c r="BG910" s="88">
        <v>0</v>
      </c>
      <c r="BK910" s="88">
        <v>0</v>
      </c>
      <c r="BS910" s="88">
        <v>0</v>
      </c>
      <c r="BV910" s="89">
        <v>70200</v>
      </c>
      <c r="BW910" s="89">
        <v>0</v>
      </c>
      <c r="BX910" s="89">
        <v>43594</v>
      </c>
      <c r="BY910" s="89">
        <v>70200</v>
      </c>
      <c r="BZ910" s="112">
        <v>100</v>
      </c>
      <c r="CK910" s="88">
        <v>0</v>
      </c>
    </row>
    <row r="911" spans="1:89" x14ac:dyDescent="0.15">
      <c r="A911" s="84">
        <v>1</v>
      </c>
      <c r="B911" s="85">
        <v>43606</v>
      </c>
      <c r="C911" s="85">
        <v>43614</v>
      </c>
      <c r="F911" s="85" t="s">
        <v>338</v>
      </c>
      <c r="H911" s="85" t="s">
        <v>338</v>
      </c>
      <c r="J911" s="84">
        <v>2</v>
      </c>
      <c r="L911" s="84">
        <v>0</v>
      </c>
      <c r="M911" s="85">
        <v>43594</v>
      </c>
      <c r="N911" s="85" t="s">
        <v>265</v>
      </c>
      <c r="O911" s="86" t="s">
        <v>340</v>
      </c>
      <c r="P911" s="84" t="s">
        <v>78</v>
      </c>
      <c r="Q911" s="86" t="s">
        <v>139</v>
      </c>
      <c r="R911" s="86" t="s">
        <v>2737</v>
      </c>
      <c r="S911" s="87" t="s">
        <v>1111</v>
      </c>
      <c r="T911" s="87" t="s">
        <v>726</v>
      </c>
      <c r="U911" s="88">
        <v>65000</v>
      </c>
      <c r="V911" s="88">
        <v>70200</v>
      </c>
      <c r="W911" s="88">
        <v>65000</v>
      </c>
      <c r="X911" s="88">
        <v>70200</v>
      </c>
      <c r="Z911" s="88">
        <v>0</v>
      </c>
      <c r="AA911" s="85">
        <v>43613</v>
      </c>
      <c r="AB911" s="85">
        <v>43614</v>
      </c>
      <c r="AD911" s="84">
        <v>0</v>
      </c>
      <c r="AG911" s="84">
        <v>0</v>
      </c>
      <c r="AJ911" s="84">
        <v>0</v>
      </c>
      <c r="AN911" s="84" t="s">
        <v>338</v>
      </c>
      <c r="AR911" s="85">
        <v>43605</v>
      </c>
      <c r="AS911" s="84">
        <v>6001675535</v>
      </c>
      <c r="AT911" s="85">
        <v>43605</v>
      </c>
      <c r="AU911" s="84" t="s">
        <v>2735</v>
      </c>
      <c r="AV911" s="85">
        <v>43614</v>
      </c>
      <c r="AW911" s="123">
        <v>43616</v>
      </c>
      <c r="AX911" s="123">
        <v>43636</v>
      </c>
      <c r="AY911" s="132">
        <v>62400</v>
      </c>
      <c r="AZ911" s="132">
        <f>ROUNDDOWN(AY911+(AY911*MASTER!$A$2/100),0)</f>
        <v>67392</v>
      </c>
      <c r="BC911" s="88">
        <v>0</v>
      </c>
      <c r="BG911" s="88">
        <v>0</v>
      </c>
      <c r="BK911" s="88">
        <v>0</v>
      </c>
      <c r="BS911" s="88">
        <v>0</v>
      </c>
      <c r="BV911" s="89">
        <v>70200</v>
      </c>
      <c r="BW911" s="89">
        <v>0</v>
      </c>
      <c r="BX911" s="89">
        <v>43594</v>
      </c>
      <c r="BY911" s="89">
        <v>70200</v>
      </c>
      <c r="BZ911" s="112">
        <v>100</v>
      </c>
      <c r="CK911" s="88">
        <v>0</v>
      </c>
    </row>
    <row r="912" spans="1:89" x14ac:dyDescent="0.15">
      <c r="A912" s="84">
        <v>1</v>
      </c>
      <c r="B912" s="85">
        <v>43606</v>
      </c>
      <c r="C912" s="85">
        <v>43615</v>
      </c>
      <c r="F912" s="85" t="s">
        <v>338</v>
      </c>
      <c r="H912" s="85" t="s">
        <v>338</v>
      </c>
      <c r="J912" s="84">
        <v>2</v>
      </c>
      <c r="L912" s="84">
        <v>0</v>
      </c>
      <c r="M912" s="85">
        <v>43594</v>
      </c>
      <c r="N912" s="85" t="s">
        <v>265</v>
      </c>
      <c r="O912" s="86" t="s">
        <v>340</v>
      </c>
      <c r="P912" s="84" t="s">
        <v>78</v>
      </c>
      <c r="Q912" s="86" t="s">
        <v>139</v>
      </c>
      <c r="R912" s="86" t="s">
        <v>2738</v>
      </c>
      <c r="S912" s="87" t="s">
        <v>1151</v>
      </c>
      <c r="T912" s="87" t="s">
        <v>726</v>
      </c>
      <c r="U912" s="88">
        <v>65000</v>
      </c>
      <c r="V912" s="88">
        <v>70200</v>
      </c>
      <c r="W912" s="88">
        <v>65000</v>
      </c>
      <c r="X912" s="88">
        <v>70200</v>
      </c>
      <c r="Z912" s="88">
        <v>0</v>
      </c>
      <c r="AA912" s="85">
        <v>43614</v>
      </c>
      <c r="AB912" s="85">
        <v>43615</v>
      </c>
      <c r="AD912" s="84">
        <v>0</v>
      </c>
      <c r="AG912" s="84">
        <v>0</v>
      </c>
      <c r="AJ912" s="84">
        <v>0</v>
      </c>
      <c r="AN912" s="84" t="s">
        <v>338</v>
      </c>
      <c r="AR912" s="85">
        <v>43605</v>
      </c>
      <c r="AS912" s="84">
        <v>6001675535</v>
      </c>
      <c r="AT912" s="85">
        <v>43605</v>
      </c>
      <c r="AU912" s="84" t="s">
        <v>2735</v>
      </c>
      <c r="AV912" s="85">
        <v>43615</v>
      </c>
      <c r="AW912" s="123">
        <v>43616</v>
      </c>
      <c r="AX912" s="123">
        <v>43636</v>
      </c>
      <c r="AY912" s="132">
        <v>62400</v>
      </c>
      <c r="AZ912" s="132">
        <f>ROUNDDOWN(AY912+(AY912*MASTER!$A$2/100),0)</f>
        <v>67392</v>
      </c>
      <c r="BC912" s="88">
        <v>0</v>
      </c>
      <c r="BG912" s="88">
        <v>0</v>
      </c>
      <c r="BK912" s="88">
        <v>0</v>
      </c>
      <c r="BS912" s="88">
        <v>0</v>
      </c>
      <c r="BV912" s="89">
        <v>70200</v>
      </c>
      <c r="BW912" s="89">
        <v>0</v>
      </c>
      <c r="BX912" s="89">
        <v>43594</v>
      </c>
      <c r="BY912" s="89">
        <v>70200</v>
      </c>
      <c r="BZ912" s="112">
        <v>100</v>
      </c>
      <c r="CK912" s="88">
        <v>0</v>
      </c>
    </row>
    <row r="913" spans="1:89" x14ac:dyDescent="0.15">
      <c r="A913" s="84">
        <v>1</v>
      </c>
      <c r="B913" s="85">
        <v>43606</v>
      </c>
      <c r="C913" s="85">
        <v>43616</v>
      </c>
      <c r="F913" s="85" t="s">
        <v>338</v>
      </c>
      <c r="H913" s="85" t="s">
        <v>338</v>
      </c>
      <c r="J913" s="84">
        <v>2</v>
      </c>
      <c r="L913" s="84">
        <v>0</v>
      </c>
      <c r="M913" s="85">
        <v>43594</v>
      </c>
      <c r="N913" s="85" t="s">
        <v>265</v>
      </c>
      <c r="O913" s="86" t="s">
        <v>340</v>
      </c>
      <c r="P913" s="84" t="s">
        <v>78</v>
      </c>
      <c r="Q913" s="86" t="s">
        <v>139</v>
      </c>
      <c r="R913" s="86" t="s">
        <v>2739</v>
      </c>
      <c r="S913" s="87" t="s">
        <v>2629</v>
      </c>
      <c r="T913" s="87" t="s">
        <v>726</v>
      </c>
      <c r="U913" s="88">
        <v>65000</v>
      </c>
      <c r="V913" s="88">
        <v>70200</v>
      </c>
      <c r="W913" s="88">
        <v>65000</v>
      </c>
      <c r="X913" s="88">
        <v>70200</v>
      </c>
      <c r="Z913" s="88">
        <v>0</v>
      </c>
      <c r="AA913" s="85">
        <v>43615</v>
      </c>
      <c r="AB913" s="85">
        <v>43616</v>
      </c>
      <c r="AD913" s="84">
        <v>0</v>
      </c>
      <c r="AG913" s="84">
        <v>0</v>
      </c>
      <c r="AJ913" s="84">
        <v>0</v>
      </c>
      <c r="AN913" s="84" t="s">
        <v>338</v>
      </c>
      <c r="AR913" s="85">
        <v>43605</v>
      </c>
      <c r="AS913" s="84">
        <v>6001675535</v>
      </c>
      <c r="AT913" s="85">
        <v>43605</v>
      </c>
      <c r="AU913" s="84" t="s">
        <v>2735</v>
      </c>
      <c r="AV913" s="85">
        <v>43616</v>
      </c>
      <c r="AW913" s="123">
        <v>43616</v>
      </c>
      <c r="AX913" s="123">
        <v>43636</v>
      </c>
      <c r="AY913" s="132">
        <v>62400</v>
      </c>
      <c r="AZ913" s="132">
        <f>ROUNDDOWN(AY913+(AY913*MASTER!$A$2/100),0)</f>
        <v>67392</v>
      </c>
      <c r="BC913" s="88">
        <v>0</v>
      </c>
      <c r="BG913" s="88">
        <v>0</v>
      </c>
      <c r="BK913" s="88">
        <v>0</v>
      </c>
      <c r="BS913" s="88">
        <v>0</v>
      </c>
      <c r="BV913" s="89">
        <v>70200</v>
      </c>
      <c r="BW913" s="89">
        <v>0</v>
      </c>
      <c r="BX913" s="89">
        <v>43594</v>
      </c>
      <c r="BY913" s="89">
        <v>70200</v>
      </c>
      <c r="BZ913" s="112">
        <v>100</v>
      </c>
      <c r="CK913" s="88">
        <v>0</v>
      </c>
    </row>
    <row r="914" spans="1:89" x14ac:dyDescent="0.15">
      <c r="A914" s="84">
        <v>1</v>
      </c>
      <c r="B914" s="85">
        <v>43601</v>
      </c>
      <c r="C914" s="85">
        <v>43605</v>
      </c>
      <c r="F914" s="85" t="s">
        <v>338</v>
      </c>
      <c r="H914" s="85" t="s">
        <v>338</v>
      </c>
      <c r="J914" s="84">
        <v>2</v>
      </c>
      <c r="L914" s="84" t="s">
        <v>584</v>
      </c>
      <c r="M914" s="85">
        <v>43595</v>
      </c>
      <c r="N914" s="85" t="s">
        <v>265</v>
      </c>
      <c r="O914" s="86" t="s">
        <v>340</v>
      </c>
      <c r="P914" s="84" t="s">
        <v>269</v>
      </c>
      <c r="Q914" s="86" t="s">
        <v>139</v>
      </c>
      <c r="R914" s="86" t="s">
        <v>2740</v>
      </c>
      <c r="S914" s="87" t="s">
        <v>377</v>
      </c>
      <c r="T914" s="87" t="s">
        <v>2741</v>
      </c>
      <c r="U914" s="88">
        <v>66000</v>
      </c>
      <c r="V914" s="88">
        <v>71280</v>
      </c>
      <c r="W914" s="88">
        <v>66000</v>
      </c>
      <c r="X914" s="88">
        <v>71280</v>
      </c>
      <c r="Z914" s="88">
        <v>0</v>
      </c>
      <c r="AD914" s="84">
        <v>0</v>
      </c>
      <c r="AG914" s="84">
        <v>0</v>
      </c>
      <c r="AJ914" s="84">
        <v>0</v>
      </c>
      <c r="AR914" s="85">
        <v>43600</v>
      </c>
      <c r="AS914" s="84">
        <v>6001674142</v>
      </c>
      <c r="AT914" s="85">
        <v>43600</v>
      </c>
      <c r="AU914" s="84" t="s">
        <v>2742</v>
      </c>
      <c r="AV914" s="85">
        <v>43605</v>
      </c>
      <c r="AW914" s="123">
        <v>43616</v>
      </c>
      <c r="AX914" s="123">
        <v>43636</v>
      </c>
      <c r="AY914" s="132">
        <v>63360</v>
      </c>
      <c r="AZ914" s="132">
        <f>ROUNDDOWN(AY914+(AY914*MASTER!$A$2/100),0)</f>
        <v>68428</v>
      </c>
      <c r="BC914" s="88">
        <v>0</v>
      </c>
      <c r="BG914" s="88">
        <v>0</v>
      </c>
      <c r="BK914" s="88">
        <v>0</v>
      </c>
      <c r="BS914" s="88">
        <v>0</v>
      </c>
      <c r="BV914" s="89">
        <v>71280</v>
      </c>
      <c r="BW914" s="89">
        <v>0</v>
      </c>
      <c r="BX914" s="89">
        <v>43595</v>
      </c>
      <c r="BY914" s="89">
        <v>71280</v>
      </c>
      <c r="BZ914" s="112">
        <v>100</v>
      </c>
      <c r="CK914" s="88">
        <v>0</v>
      </c>
    </row>
    <row r="915" spans="1:89" x14ac:dyDescent="0.15">
      <c r="A915" s="84">
        <v>2</v>
      </c>
      <c r="B915" s="85">
        <v>43602</v>
      </c>
      <c r="C915" s="85">
        <v>43607</v>
      </c>
      <c r="E915" s="85">
        <v>43622</v>
      </c>
      <c r="F915" s="85">
        <v>43614</v>
      </c>
      <c r="G915" s="85">
        <v>43607</v>
      </c>
      <c r="H915" s="85">
        <v>43610</v>
      </c>
      <c r="I915" s="84" t="s">
        <v>1191</v>
      </c>
      <c r="J915" s="84">
        <v>2</v>
      </c>
      <c r="L915" s="84">
        <v>0</v>
      </c>
      <c r="M915" s="85">
        <v>43595</v>
      </c>
      <c r="N915" s="85" t="s">
        <v>265</v>
      </c>
      <c r="O915" s="86" t="s">
        <v>340</v>
      </c>
      <c r="P915" s="84" t="s">
        <v>26</v>
      </c>
      <c r="Q915" s="86" t="s">
        <v>139</v>
      </c>
      <c r="R915" s="86" t="s">
        <v>2743</v>
      </c>
      <c r="S915" s="87" t="s">
        <v>2588</v>
      </c>
      <c r="T915" s="87" t="s">
        <v>2589</v>
      </c>
      <c r="U915" s="88">
        <v>40300</v>
      </c>
      <c r="V915" s="88">
        <v>43524</v>
      </c>
      <c r="W915" s="88">
        <v>40300</v>
      </c>
      <c r="X915" s="88">
        <v>43524</v>
      </c>
      <c r="Z915" s="88">
        <v>0</v>
      </c>
      <c r="AA915" s="85">
        <v>43605</v>
      </c>
      <c r="AB915" s="85">
        <v>43607</v>
      </c>
      <c r="AC915" s="85">
        <v>43607</v>
      </c>
      <c r="AD915" s="84">
        <v>0</v>
      </c>
      <c r="AG915" s="84">
        <v>0</v>
      </c>
      <c r="AJ915" s="84">
        <v>0</v>
      </c>
      <c r="AM915" s="84" t="s">
        <v>290</v>
      </c>
      <c r="AN915" s="84" t="s">
        <v>2744</v>
      </c>
      <c r="AR915" s="85">
        <v>43600</v>
      </c>
      <c r="AS915" s="84">
        <v>6001674145</v>
      </c>
      <c r="AT915" s="85">
        <v>43600</v>
      </c>
      <c r="AU915" s="84" t="s">
        <v>2624</v>
      </c>
      <c r="AV915" s="85">
        <v>43607</v>
      </c>
      <c r="AW915" s="123">
        <v>43616</v>
      </c>
      <c r="AX915" s="123">
        <v>43636</v>
      </c>
      <c r="AY915" s="132">
        <v>38688</v>
      </c>
      <c r="AZ915" s="132">
        <f>ROUNDDOWN(AY915+(AY915*MASTER!$A$2/100),0)</f>
        <v>41783</v>
      </c>
      <c r="BA915" s="84" t="s">
        <v>14</v>
      </c>
      <c r="BB915" s="88">
        <v>35000</v>
      </c>
      <c r="BC915" s="88">
        <v>37800</v>
      </c>
      <c r="BD915" s="84" t="s">
        <v>2466</v>
      </c>
      <c r="BG915" s="88">
        <v>0</v>
      </c>
      <c r="BK915" s="88">
        <v>0</v>
      </c>
      <c r="BS915" s="88">
        <v>0</v>
      </c>
      <c r="BV915" s="89">
        <v>43524</v>
      </c>
      <c r="BW915" s="89">
        <v>37800</v>
      </c>
      <c r="BX915" s="89">
        <v>43595</v>
      </c>
      <c r="BY915" s="89">
        <v>5724</v>
      </c>
      <c r="BZ915" s="112">
        <v>13.151364764267989</v>
      </c>
      <c r="CK915" s="88">
        <v>0</v>
      </c>
    </row>
    <row r="916" spans="1:89" x14ac:dyDescent="0.15">
      <c r="A916" s="84">
        <v>1</v>
      </c>
      <c r="C916" s="85" t="s">
        <v>338</v>
      </c>
      <c r="F916" s="85" t="s">
        <v>338</v>
      </c>
      <c r="H916" s="85" t="s">
        <v>338</v>
      </c>
      <c r="J916" s="84">
        <v>3</v>
      </c>
      <c r="K916" s="85">
        <v>43634</v>
      </c>
      <c r="L916" s="84" t="s">
        <v>457</v>
      </c>
      <c r="M916" s="85">
        <v>43595</v>
      </c>
      <c r="N916" s="85" t="s">
        <v>265</v>
      </c>
      <c r="O916" s="86" t="s">
        <v>340</v>
      </c>
      <c r="P916" s="84" t="s">
        <v>26</v>
      </c>
      <c r="Q916" s="86" t="s">
        <v>139</v>
      </c>
      <c r="R916" s="86" t="s">
        <v>2745</v>
      </c>
      <c r="S916" s="87" t="s">
        <v>351</v>
      </c>
      <c r="T916" s="87" t="s">
        <v>2746</v>
      </c>
      <c r="U916" s="88">
        <v>175000</v>
      </c>
      <c r="V916" s="88">
        <v>189000</v>
      </c>
      <c r="X916" s="88">
        <v>0</v>
      </c>
      <c r="Y916" s="88">
        <v>175000</v>
      </c>
      <c r="Z916" s="88">
        <v>189000</v>
      </c>
      <c r="AA916" s="85">
        <v>43558</v>
      </c>
      <c r="AB916" s="85">
        <v>43564</v>
      </c>
      <c r="AD916" s="84">
        <v>0</v>
      </c>
      <c r="AG916" s="84">
        <v>0</v>
      </c>
      <c r="AJ916" s="84">
        <v>0</v>
      </c>
      <c r="AN916" s="84" t="s">
        <v>338</v>
      </c>
      <c r="AY916" s="132">
        <v>168000</v>
      </c>
      <c r="AZ916" s="132">
        <f>ROUNDDOWN(AY916+(AY916*MASTER!$A$2/100),0)</f>
        <v>181440</v>
      </c>
      <c r="BC916" s="88">
        <v>0</v>
      </c>
      <c r="BG916" s="88">
        <v>0</v>
      </c>
      <c r="BK916" s="88">
        <v>0</v>
      </c>
      <c r="BS916" s="88">
        <v>0</v>
      </c>
      <c r="BV916" s="89">
        <v>0</v>
      </c>
      <c r="BW916" s="89">
        <v>0</v>
      </c>
      <c r="BX916" s="89">
        <v>0</v>
      </c>
      <c r="BY916" s="89">
        <v>43634</v>
      </c>
      <c r="BZ916" s="112" t="s">
        <v>338</v>
      </c>
      <c r="CD916" s="87" t="s">
        <v>2747</v>
      </c>
    </row>
    <row r="917" spans="1:89" x14ac:dyDescent="0.15">
      <c r="A917" s="84">
        <v>2</v>
      </c>
      <c r="C917" s="85" t="s">
        <v>338</v>
      </c>
      <c r="F917" s="85" t="s">
        <v>338</v>
      </c>
      <c r="H917" s="85" t="s">
        <v>338</v>
      </c>
      <c r="I917" s="84" t="s">
        <v>569</v>
      </c>
      <c r="J917" s="84">
        <v>4</v>
      </c>
      <c r="L917" s="84">
        <v>0</v>
      </c>
      <c r="M917" s="85">
        <v>43595</v>
      </c>
      <c r="N917" s="85" t="s">
        <v>265</v>
      </c>
      <c r="O917" s="86" t="s">
        <v>340</v>
      </c>
      <c r="P917" s="84" t="s">
        <v>272</v>
      </c>
      <c r="Q917" s="86" t="s">
        <v>139</v>
      </c>
      <c r="R917" s="86" t="s">
        <v>2748</v>
      </c>
      <c r="S917" s="87" t="s">
        <v>1840</v>
      </c>
      <c r="T917" s="87" t="s">
        <v>2749</v>
      </c>
      <c r="U917" s="88">
        <v>0</v>
      </c>
      <c r="V917" s="88">
        <v>0</v>
      </c>
      <c r="W917" s="88">
        <v>0</v>
      </c>
      <c r="X917" s="88">
        <v>0</v>
      </c>
      <c r="Y917" s="88">
        <v>0</v>
      </c>
      <c r="Z917" s="88">
        <v>0</v>
      </c>
      <c r="AA917" s="85">
        <v>43559</v>
      </c>
      <c r="AB917" s="85">
        <v>43559</v>
      </c>
      <c r="AD917" s="84">
        <v>0</v>
      </c>
      <c r="AG917" s="84">
        <v>0</v>
      </c>
      <c r="AJ917" s="84">
        <v>0</v>
      </c>
      <c r="AN917" s="84" t="s">
        <v>338</v>
      </c>
      <c r="AY917" s="132">
        <f>ROUNDDOWN((0.96*U917),0)</f>
        <v>0</v>
      </c>
      <c r="AZ917" s="132">
        <f>ROUNDDOWN(AY917+(AY917*MASTER!$A$2/100),0)</f>
        <v>0</v>
      </c>
      <c r="BA917" s="84" t="s">
        <v>2750</v>
      </c>
      <c r="BB917" s="88">
        <v>79000</v>
      </c>
      <c r="BC917" s="88">
        <v>85320</v>
      </c>
      <c r="BD917" s="84" t="s">
        <v>1579</v>
      </c>
      <c r="BG917" s="88">
        <v>0</v>
      </c>
      <c r="BK917" s="88">
        <v>0</v>
      </c>
      <c r="BS917" s="88">
        <v>0</v>
      </c>
      <c r="BV917" s="89">
        <v>0</v>
      </c>
      <c r="BW917" s="89">
        <v>85320</v>
      </c>
      <c r="BX917" s="89">
        <v>43595</v>
      </c>
      <c r="BY917" s="89">
        <v>-85320</v>
      </c>
      <c r="BZ917" s="112" t="s">
        <v>338</v>
      </c>
    </row>
    <row r="918" spans="1:89" x14ac:dyDescent="0.15">
      <c r="A918" s="84">
        <v>2</v>
      </c>
      <c r="C918" s="85" t="s">
        <v>338</v>
      </c>
      <c r="F918" s="85">
        <v>43588</v>
      </c>
      <c r="H918" s="85">
        <v>43584</v>
      </c>
      <c r="I918" s="84" t="s">
        <v>2642</v>
      </c>
      <c r="J918" s="84">
        <v>4</v>
      </c>
      <c r="L918" s="84">
        <v>0</v>
      </c>
      <c r="M918" s="85">
        <v>43595</v>
      </c>
      <c r="N918" s="85" t="s">
        <v>345</v>
      </c>
      <c r="O918" s="86" t="s">
        <v>343</v>
      </c>
      <c r="P918" s="84" t="s">
        <v>482</v>
      </c>
      <c r="Q918" s="86" t="s">
        <v>2751</v>
      </c>
      <c r="R918" s="86" t="s">
        <v>2752</v>
      </c>
      <c r="S918" s="87" t="s">
        <v>1549</v>
      </c>
      <c r="T918" s="87" t="s">
        <v>2753</v>
      </c>
      <c r="U918" s="88">
        <v>0</v>
      </c>
      <c r="V918" s="88">
        <v>0</v>
      </c>
      <c r="W918" s="88">
        <v>0</v>
      </c>
      <c r="X918" s="88">
        <v>0</v>
      </c>
      <c r="Y918" s="88">
        <v>0</v>
      </c>
      <c r="Z918" s="88">
        <v>0</v>
      </c>
      <c r="AA918" s="85">
        <v>43576</v>
      </c>
      <c r="AB918" s="85">
        <v>43581</v>
      </c>
      <c r="AC918" s="85">
        <v>43581</v>
      </c>
      <c r="AD918" s="84">
        <v>0</v>
      </c>
      <c r="AG918" s="84">
        <v>0</v>
      </c>
      <c r="AJ918" s="84">
        <v>0</v>
      </c>
      <c r="AN918" s="84" t="s">
        <v>338</v>
      </c>
      <c r="AY918" s="132">
        <f>ROUNDDOWN((0.96*U918),0)</f>
        <v>0</v>
      </c>
      <c r="AZ918" s="132">
        <f>ROUNDDOWN(AY918+(AY918*MASTER!$A$2/100),0)</f>
        <v>0</v>
      </c>
      <c r="BA918" s="84" t="s">
        <v>2219</v>
      </c>
      <c r="BB918" s="88">
        <v>246400</v>
      </c>
      <c r="BC918" s="88">
        <v>266112</v>
      </c>
      <c r="BD918" s="84" t="s">
        <v>1645</v>
      </c>
      <c r="BG918" s="88">
        <v>0</v>
      </c>
      <c r="BK918" s="88">
        <v>0</v>
      </c>
      <c r="BS918" s="88">
        <v>0</v>
      </c>
      <c r="BV918" s="89">
        <v>0</v>
      </c>
      <c r="BW918" s="89">
        <v>266112</v>
      </c>
      <c r="BX918" s="89">
        <v>43595</v>
      </c>
      <c r="BY918" s="89">
        <v>-266112</v>
      </c>
      <c r="BZ918" s="112" t="s">
        <v>338</v>
      </c>
    </row>
    <row r="919" spans="1:89" s="151" customFormat="1" x14ac:dyDescent="0.15">
      <c r="A919" s="141">
        <v>3</v>
      </c>
      <c r="B919" s="142"/>
      <c r="C919" s="142" t="s">
        <v>338</v>
      </c>
      <c r="D919" s="142"/>
      <c r="E919" s="142"/>
      <c r="F919" s="142" t="s">
        <v>338</v>
      </c>
      <c r="G919" s="142"/>
      <c r="H919" s="142" t="s">
        <v>338</v>
      </c>
      <c r="I919" s="141"/>
      <c r="J919" s="141">
        <v>2</v>
      </c>
      <c r="K919" s="142"/>
      <c r="L919" s="141">
        <v>0</v>
      </c>
      <c r="M919" s="142">
        <v>43598</v>
      </c>
      <c r="N919" s="142" t="s">
        <v>265</v>
      </c>
      <c r="O919" s="143" t="s">
        <v>340</v>
      </c>
      <c r="P919" s="141" t="s">
        <v>272</v>
      </c>
      <c r="Q919" s="143" t="s">
        <v>139</v>
      </c>
      <c r="R919" s="143" t="s">
        <v>2754</v>
      </c>
      <c r="S919" s="144" t="s">
        <v>351</v>
      </c>
      <c r="T919" s="144" t="s">
        <v>2755</v>
      </c>
      <c r="U919" s="145">
        <v>630</v>
      </c>
      <c r="V919" s="145">
        <v>680.4</v>
      </c>
      <c r="W919" s="145">
        <v>630</v>
      </c>
      <c r="X919" s="145">
        <v>680.4</v>
      </c>
      <c r="Y919" s="145"/>
      <c r="Z919" s="145">
        <v>0</v>
      </c>
      <c r="AA919" s="142"/>
      <c r="AB919" s="142"/>
      <c r="AC919" s="142"/>
      <c r="AD919" s="141">
        <v>0</v>
      </c>
      <c r="AE919" s="141"/>
      <c r="AF919" s="141"/>
      <c r="AG919" s="141">
        <v>0</v>
      </c>
      <c r="AH919" s="141"/>
      <c r="AI919" s="141"/>
      <c r="AJ919" s="141">
        <v>0</v>
      </c>
      <c r="AK919" s="141"/>
      <c r="AL919" s="141"/>
      <c r="AM919" s="141"/>
      <c r="AN919" s="141"/>
      <c r="AO919" s="142"/>
      <c r="AP919" s="141"/>
      <c r="AQ919" s="141"/>
      <c r="AR919" s="142"/>
      <c r="AS919" s="141"/>
      <c r="AT919" s="142"/>
      <c r="AU919" s="141"/>
      <c r="AV919" s="142"/>
      <c r="AW919" s="146"/>
      <c r="AX919" s="146"/>
      <c r="AY919" s="147">
        <v>604</v>
      </c>
      <c r="AZ919" s="132">
        <f>ROUNDDOWN(AY919+(AY919*MASTER!$A$2/100),0)</f>
        <v>652</v>
      </c>
      <c r="BA919" s="141"/>
      <c r="BB919" s="145"/>
      <c r="BC919" s="145">
        <v>0</v>
      </c>
      <c r="BD919" s="141"/>
      <c r="BE919" s="141"/>
      <c r="BF919" s="145"/>
      <c r="BG919" s="145">
        <v>0</v>
      </c>
      <c r="BH919" s="141"/>
      <c r="BI919" s="141"/>
      <c r="BJ919" s="145"/>
      <c r="BK919" s="145">
        <v>0</v>
      </c>
      <c r="BL919" s="141"/>
      <c r="BM919" s="145"/>
      <c r="BN919" s="145"/>
      <c r="BO919" s="145"/>
      <c r="BP919" s="145"/>
      <c r="BQ919" s="145"/>
      <c r="BR919" s="145"/>
      <c r="BS919" s="145">
        <v>0</v>
      </c>
      <c r="BT919" s="148"/>
      <c r="BU919" s="148"/>
      <c r="BV919" s="149">
        <v>680.4</v>
      </c>
      <c r="BW919" s="149">
        <v>0</v>
      </c>
      <c r="BX919" s="149">
        <v>43598</v>
      </c>
      <c r="BY919" s="149">
        <v>680.4</v>
      </c>
      <c r="BZ919" s="150">
        <v>100</v>
      </c>
      <c r="CA919" s="141"/>
      <c r="CB919" s="141"/>
      <c r="CC919" s="141"/>
      <c r="CD919" s="144" t="s">
        <v>2756</v>
      </c>
      <c r="CE919" s="142"/>
      <c r="CF919" s="142"/>
      <c r="CG919" s="142"/>
      <c r="CH919" s="142"/>
      <c r="CI919" s="142"/>
      <c r="CJ919" s="142"/>
      <c r="CK919" s="145"/>
    </row>
    <row r="920" spans="1:89" s="151" customFormat="1" x14ac:dyDescent="0.15">
      <c r="A920" s="141">
        <v>3</v>
      </c>
      <c r="B920" s="142"/>
      <c r="C920" s="142" t="s">
        <v>338</v>
      </c>
      <c r="D920" s="142"/>
      <c r="E920" s="142"/>
      <c r="F920" s="142" t="s">
        <v>338</v>
      </c>
      <c r="G920" s="142"/>
      <c r="H920" s="142" t="s">
        <v>338</v>
      </c>
      <c r="I920" s="141"/>
      <c r="J920" s="141">
        <v>2</v>
      </c>
      <c r="K920" s="142"/>
      <c r="L920" s="141">
        <v>0</v>
      </c>
      <c r="M920" s="142">
        <v>43598</v>
      </c>
      <c r="N920" s="142" t="s">
        <v>265</v>
      </c>
      <c r="O920" s="143" t="s">
        <v>340</v>
      </c>
      <c r="P920" s="141" t="s">
        <v>272</v>
      </c>
      <c r="Q920" s="143" t="s">
        <v>139</v>
      </c>
      <c r="R920" s="143" t="s">
        <v>2757</v>
      </c>
      <c r="S920" s="144" t="s">
        <v>351</v>
      </c>
      <c r="T920" s="144" t="s">
        <v>2758</v>
      </c>
      <c r="U920" s="145">
        <v>700</v>
      </c>
      <c r="V920" s="145">
        <v>756</v>
      </c>
      <c r="W920" s="145">
        <v>700</v>
      </c>
      <c r="X920" s="145">
        <v>756</v>
      </c>
      <c r="Y920" s="145"/>
      <c r="Z920" s="145">
        <v>0</v>
      </c>
      <c r="AA920" s="142"/>
      <c r="AB920" s="142"/>
      <c r="AC920" s="142"/>
      <c r="AD920" s="141">
        <v>0</v>
      </c>
      <c r="AE920" s="141"/>
      <c r="AF920" s="141"/>
      <c r="AG920" s="141">
        <v>0</v>
      </c>
      <c r="AH920" s="141"/>
      <c r="AI920" s="141"/>
      <c r="AJ920" s="141">
        <v>0</v>
      </c>
      <c r="AK920" s="141"/>
      <c r="AL920" s="141"/>
      <c r="AM920" s="141"/>
      <c r="AN920" s="141"/>
      <c r="AO920" s="142"/>
      <c r="AP920" s="141"/>
      <c r="AQ920" s="141"/>
      <c r="AR920" s="142"/>
      <c r="AS920" s="141"/>
      <c r="AT920" s="142"/>
      <c r="AU920" s="141"/>
      <c r="AV920" s="142"/>
      <c r="AW920" s="146"/>
      <c r="AX920" s="146"/>
      <c r="AY920" s="147">
        <v>672</v>
      </c>
      <c r="AZ920" s="132">
        <f>ROUNDDOWN(AY920+(AY920*MASTER!$A$2/100),0)</f>
        <v>725</v>
      </c>
      <c r="BA920" s="141"/>
      <c r="BB920" s="145"/>
      <c r="BC920" s="145">
        <v>0</v>
      </c>
      <c r="BD920" s="141"/>
      <c r="BE920" s="141"/>
      <c r="BF920" s="145"/>
      <c r="BG920" s="145">
        <v>0</v>
      </c>
      <c r="BH920" s="141"/>
      <c r="BI920" s="141"/>
      <c r="BJ920" s="145"/>
      <c r="BK920" s="145">
        <v>0</v>
      </c>
      <c r="BL920" s="141"/>
      <c r="BM920" s="145"/>
      <c r="BN920" s="145"/>
      <c r="BO920" s="145"/>
      <c r="BP920" s="145"/>
      <c r="BQ920" s="145"/>
      <c r="BR920" s="145"/>
      <c r="BS920" s="145">
        <v>0</v>
      </c>
      <c r="BT920" s="148"/>
      <c r="BU920" s="148"/>
      <c r="BV920" s="149">
        <v>756</v>
      </c>
      <c r="BW920" s="149">
        <v>0</v>
      </c>
      <c r="BX920" s="149">
        <v>43598</v>
      </c>
      <c r="BY920" s="149">
        <v>756</v>
      </c>
      <c r="BZ920" s="150">
        <v>100</v>
      </c>
      <c r="CA920" s="141"/>
      <c r="CB920" s="141"/>
      <c r="CC920" s="141"/>
      <c r="CD920" s="144" t="s">
        <v>2759</v>
      </c>
      <c r="CE920" s="142"/>
      <c r="CF920" s="142"/>
      <c r="CG920" s="142"/>
      <c r="CH920" s="142"/>
      <c r="CI920" s="142"/>
      <c r="CJ920" s="142"/>
      <c r="CK920" s="145"/>
    </row>
    <row r="921" spans="1:89" x14ac:dyDescent="0.15">
      <c r="A921" s="84">
        <v>2</v>
      </c>
      <c r="B921" s="85">
        <v>43626</v>
      </c>
      <c r="C921" s="85">
        <v>43633</v>
      </c>
      <c r="E921" s="85">
        <v>43640</v>
      </c>
      <c r="F921" s="85">
        <v>43640</v>
      </c>
      <c r="G921" s="85">
        <v>43637</v>
      </c>
      <c r="H921" s="85">
        <v>43636</v>
      </c>
      <c r="I921" s="84" t="s">
        <v>401</v>
      </c>
      <c r="J921" s="84">
        <v>1</v>
      </c>
      <c r="L921" s="84">
        <v>0</v>
      </c>
      <c r="M921" s="85">
        <v>43598</v>
      </c>
      <c r="N921" s="85" t="s">
        <v>265</v>
      </c>
      <c r="O921" s="86" t="s">
        <v>340</v>
      </c>
      <c r="P921" s="84" t="s">
        <v>26</v>
      </c>
      <c r="Q921" s="86" t="s">
        <v>139</v>
      </c>
      <c r="R921" s="86" t="s">
        <v>2760</v>
      </c>
      <c r="S921" s="87" t="s">
        <v>2585</v>
      </c>
      <c r="T921" s="87" t="s">
        <v>2761</v>
      </c>
      <c r="U921" s="88">
        <v>23900</v>
      </c>
      <c r="V921" s="88">
        <v>25812</v>
      </c>
      <c r="W921" s="88">
        <v>14700</v>
      </c>
      <c r="X921" s="88">
        <v>15876</v>
      </c>
      <c r="Y921" s="88">
        <v>9200</v>
      </c>
      <c r="Z921" s="88">
        <v>9936</v>
      </c>
      <c r="AA921" s="85">
        <v>43632</v>
      </c>
      <c r="AB921" s="85">
        <v>43633</v>
      </c>
      <c r="AC921" s="85">
        <v>43633</v>
      </c>
      <c r="AD921" s="84">
        <v>0</v>
      </c>
      <c r="AG921" s="84">
        <v>0</v>
      </c>
      <c r="AJ921" s="84">
        <v>0</v>
      </c>
      <c r="AM921" s="84" t="s">
        <v>2762</v>
      </c>
      <c r="AN921" s="84" t="s">
        <v>2763</v>
      </c>
      <c r="AR921" s="85">
        <v>43608</v>
      </c>
      <c r="AS921" s="84">
        <v>6001677069</v>
      </c>
      <c r="AT921" s="85">
        <v>43608</v>
      </c>
      <c r="AU921" s="84" t="s">
        <v>2659</v>
      </c>
      <c r="AV921" s="85">
        <v>43633</v>
      </c>
      <c r="AW921" s="123">
        <v>43646</v>
      </c>
      <c r="AX921" s="123">
        <v>43666</v>
      </c>
      <c r="AY921" s="132">
        <v>22944</v>
      </c>
      <c r="AZ921" s="132">
        <f>ROUNDDOWN(AY921+(AY921*MASTER!$A$2/100),0)</f>
        <v>24779</v>
      </c>
      <c r="BA921" s="84" t="s">
        <v>778</v>
      </c>
      <c r="BC921" s="88">
        <v>0</v>
      </c>
      <c r="BG921" s="88">
        <v>0</v>
      </c>
      <c r="BI921" s="84" t="s">
        <v>434</v>
      </c>
      <c r="BJ921" s="88">
        <v>5980</v>
      </c>
      <c r="BK921" s="88">
        <v>6458.4</v>
      </c>
      <c r="BL921" s="84" t="s">
        <v>2466</v>
      </c>
      <c r="BS921" s="88">
        <v>0</v>
      </c>
      <c r="BV921" s="89">
        <v>15876</v>
      </c>
      <c r="BW921" s="89">
        <v>6458.4</v>
      </c>
      <c r="BX921" s="89">
        <v>43598</v>
      </c>
      <c r="BY921" s="89">
        <v>9417.6</v>
      </c>
      <c r="BZ921" s="112">
        <v>59.319727891156461</v>
      </c>
    </row>
    <row r="922" spans="1:89" s="151" customFormat="1" x14ac:dyDescent="0.15">
      <c r="A922" s="141">
        <v>3</v>
      </c>
      <c r="B922" s="142"/>
      <c r="C922" s="142" t="s">
        <v>338</v>
      </c>
      <c r="D922" s="142"/>
      <c r="E922" s="142"/>
      <c r="F922" s="142" t="s">
        <v>338</v>
      </c>
      <c r="G922" s="142"/>
      <c r="H922" s="142" t="s">
        <v>338</v>
      </c>
      <c r="I922" s="141"/>
      <c r="J922" s="141">
        <v>2</v>
      </c>
      <c r="K922" s="142"/>
      <c r="L922" s="141">
        <v>0</v>
      </c>
      <c r="M922" s="142">
        <v>43598</v>
      </c>
      <c r="N922" s="142" t="s">
        <v>265</v>
      </c>
      <c r="O922" s="143" t="s">
        <v>340</v>
      </c>
      <c r="P922" s="141" t="s">
        <v>6</v>
      </c>
      <c r="Q922" s="143" t="s">
        <v>139</v>
      </c>
      <c r="R922" s="143" t="s">
        <v>2764</v>
      </c>
      <c r="S922" s="144" t="s">
        <v>2765</v>
      </c>
      <c r="T922" s="144" t="s">
        <v>2766</v>
      </c>
      <c r="U922" s="145">
        <v>39200</v>
      </c>
      <c r="V922" s="145">
        <v>42336</v>
      </c>
      <c r="W922" s="145">
        <v>39200</v>
      </c>
      <c r="X922" s="145">
        <v>42336</v>
      </c>
      <c r="Y922" s="145"/>
      <c r="Z922" s="145">
        <v>0</v>
      </c>
      <c r="AA922" s="142"/>
      <c r="AB922" s="142"/>
      <c r="AC922" s="142"/>
      <c r="AD922" s="141">
        <v>0</v>
      </c>
      <c r="AE922" s="141"/>
      <c r="AF922" s="141"/>
      <c r="AG922" s="141">
        <v>0</v>
      </c>
      <c r="AH922" s="141"/>
      <c r="AI922" s="141"/>
      <c r="AJ922" s="141">
        <v>0</v>
      </c>
      <c r="AK922" s="141"/>
      <c r="AL922" s="141"/>
      <c r="AM922" s="141"/>
      <c r="AN922" s="141"/>
      <c r="AO922" s="142"/>
      <c r="AP922" s="141"/>
      <c r="AQ922" s="141"/>
      <c r="AR922" s="142"/>
      <c r="AS922" s="141"/>
      <c r="AT922" s="142"/>
      <c r="AU922" s="141"/>
      <c r="AV922" s="142"/>
      <c r="AW922" s="146"/>
      <c r="AX922" s="146"/>
      <c r="AY922" s="147">
        <v>37632</v>
      </c>
      <c r="AZ922" s="132">
        <f>ROUNDDOWN(AY922+(AY922*MASTER!$A$2/100),0)</f>
        <v>40642</v>
      </c>
      <c r="BA922" s="141"/>
      <c r="BB922" s="145"/>
      <c r="BC922" s="145">
        <v>0</v>
      </c>
      <c r="BD922" s="141"/>
      <c r="BE922" s="141"/>
      <c r="BF922" s="145"/>
      <c r="BG922" s="145">
        <v>0</v>
      </c>
      <c r="BH922" s="141"/>
      <c r="BI922" s="141"/>
      <c r="BJ922" s="145"/>
      <c r="BK922" s="145">
        <v>0</v>
      </c>
      <c r="BL922" s="141"/>
      <c r="BM922" s="145"/>
      <c r="BN922" s="145"/>
      <c r="BO922" s="145"/>
      <c r="BP922" s="145"/>
      <c r="BQ922" s="145"/>
      <c r="BR922" s="145"/>
      <c r="BS922" s="145">
        <v>0</v>
      </c>
      <c r="BT922" s="148"/>
      <c r="BU922" s="148"/>
      <c r="BV922" s="149">
        <v>42336</v>
      </c>
      <c r="BW922" s="149">
        <v>0</v>
      </c>
      <c r="BX922" s="149">
        <v>43598</v>
      </c>
      <c r="BY922" s="149">
        <v>42336</v>
      </c>
      <c r="BZ922" s="150">
        <v>100</v>
      </c>
      <c r="CA922" s="141"/>
      <c r="CB922" s="141"/>
      <c r="CC922" s="141"/>
      <c r="CD922" s="144" t="s">
        <v>2767</v>
      </c>
      <c r="CE922" s="142"/>
      <c r="CF922" s="142"/>
      <c r="CG922" s="142"/>
      <c r="CH922" s="142"/>
      <c r="CI922" s="142"/>
      <c r="CJ922" s="142"/>
      <c r="CK922" s="145"/>
    </row>
    <row r="923" spans="1:89" x14ac:dyDescent="0.15">
      <c r="A923" s="84">
        <v>2</v>
      </c>
      <c r="B923" s="85">
        <v>43606</v>
      </c>
      <c r="C923" s="85">
        <v>43607</v>
      </c>
      <c r="D923" s="85">
        <v>43599</v>
      </c>
      <c r="E923" s="85">
        <v>43599</v>
      </c>
      <c r="F923" s="85" t="s">
        <v>338</v>
      </c>
      <c r="G923" s="85">
        <v>43599</v>
      </c>
      <c r="H923" s="85" t="s">
        <v>338</v>
      </c>
      <c r="I923" s="84" t="s">
        <v>380</v>
      </c>
      <c r="J923" s="84">
        <v>2</v>
      </c>
      <c r="L923" s="84">
        <v>0</v>
      </c>
      <c r="M923" s="85">
        <v>43598</v>
      </c>
      <c r="N923" s="85" t="s">
        <v>265</v>
      </c>
      <c r="O923" s="86" t="s">
        <v>340</v>
      </c>
      <c r="P923" s="84" t="s">
        <v>6</v>
      </c>
      <c r="Q923" s="86" t="s">
        <v>139</v>
      </c>
      <c r="R923" s="86" t="s">
        <v>2768</v>
      </c>
      <c r="S923" s="87" t="s">
        <v>740</v>
      </c>
      <c r="T923" s="87" t="s">
        <v>342</v>
      </c>
      <c r="U923" s="88">
        <v>35000</v>
      </c>
      <c r="V923" s="88">
        <v>37800</v>
      </c>
      <c r="W923" s="88">
        <v>35000</v>
      </c>
      <c r="X923" s="88">
        <v>37800</v>
      </c>
      <c r="Z923" s="88">
        <v>0</v>
      </c>
      <c r="AA923" s="85">
        <v>43598</v>
      </c>
      <c r="AB923" s="85">
        <v>43598</v>
      </c>
      <c r="AD923" s="84">
        <v>0</v>
      </c>
      <c r="AG923" s="84">
        <v>0</v>
      </c>
      <c r="AJ923" s="84">
        <v>0</v>
      </c>
      <c r="AR923" s="85">
        <v>43605</v>
      </c>
      <c r="AS923" s="84">
        <v>6001675535</v>
      </c>
      <c r="AT923" s="85">
        <v>43605</v>
      </c>
      <c r="AU923" s="84" t="s">
        <v>2735</v>
      </c>
      <c r="AV923" s="85">
        <v>43607</v>
      </c>
      <c r="AW923" s="123">
        <v>43616</v>
      </c>
      <c r="AX923" s="123">
        <v>43636</v>
      </c>
      <c r="AY923" s="132">
        <v>33600</v>
      </c>
      <c r="AZ923" s="132">
        <f>ROUNDDOWN(AY923+(AY923*MASTER!$A$2/100),0)</f>
        <v>36288</v>
      </c>
      <c r="BA923" s="84" t="s">
        <v>287</v>
      </c>
      <c r="BB923" s="88">
        <v>21000</v>
      </c>
      <c r="BC923" s="88">
        <v>22680</v>
      </c>
      <c r="BD923" s="84" t="s">
        <v>2197</v>
      </c>
      <c r="BG923" s="88">
        <v>0</v>
      </c>
      <c r="BK923" s="88">
        <v>0</v>
      </c>
      <c r="BS923" s="88">
        <v>0</v>
      </c>
      <c r="BV923" s="89">
        <v>37800</v>
      </c>
      <c r="BW923" s="89">
        <v>22680</v>
      </c>
      <c r="BX923" s="89">
        <v>43598</v>
      </c>
      <c r="BY923" s="89">
        <v>15120</v>
      </c>
      <c r="BZ923" s="112">
        <v>40</v>
      </c>
    </row>
    <row r="924" spans="1:89" x14ac:dyDescent="0.15">
      <c r="A924" s="84">
        <v>2</v>
      </c>
      <c r="B924" s="85">
        <v>43620</v>
      </c>
      <c r="C924" s="85">
        <v>43622</v>
      </c>
      <c r="D924" s="85">
        <v>43684</v>
      </c>
      <c r="E924" s="85">
        <v>43628</v>
      </c>
      <c r="F924" s="85">
        <v>43629</v>
      </c>
      <c r="G924" s="85">
        <v>43621</v>
      </c>
      <c r="H924" s="85">
        <v>43625</v>
      </c>
      <c r="I924" s="84" t="s">
        <v>1191</v>
      </c>
      <c r="J924" s="84">
        <v>1</v>
      </c>
      <c r="K924" s="85">
        <v>43609</v>
      </c>
      <c r="L924" s="84" t="s">
        <v>818</v>
      </c>
      <c r="M924" s="85">
        <v>43600</v>
      </c>
      <c r="N924" s="85" t="s">
        <v>265</v>
      </c>
      <c r="O924" s="86" t="s">
        <v>340</v>
      </c>
      <c r="P924" s="84" t="s">
        <v>26</v>
      </c>
      <c r="Q924" s="86" t="s">
        <v>139</v>
      </c>
      <c r="R924" s="86" t="s">
        <v>2769</v>
      </c>
      <c r="S924" s="87" t="s">
        <v>928</v>
      </c>
      <c r="T924" s="87" t="s">
        <v>1932</v>
      </c>
      <c r="U924" s="88">
        <v>67000</v>
      </c>
      <c r="V924" s="88">
        <v>72360</v>
      </c>
      <c r="W924" s="88">
        <v>47000</v>
      </c>
      <c r="X924" s="88">
        <v>50760</v>
      </c>
      <c r="Y924" s="88">
        <v>20000</v>
      </c>
      <c r="Z924" s="88">
        <v>21600</v>
      </c>
      <c r="AA924" s="85">
        <v>43620</v>
      </c>
      <c r="AB924" s="85">
        <v>43622</v>
      </c>
      <c r="AC924" s="85">
        <v>43622</v>
      </c>
      <c r="AD924" s="84">
        <v>0</v>
      </c>
      <c r="AG924" s="84">
        <v>0</v>
      </c>
      <c r="AJ924" s="84">
        <v>0</v>
      </c>
      <c r="AM924" s="84" t="s">
        <v>290</v>
      </c>
      <c r="AN924" s="84" t="s">
        <v>2770</v>
      </c>
      <c r="AR924" s="85">
        <v>43619</v>
      </c>
      <c r="AS924" s="84">
        <v>6001679454</v>
      </c>
      <c r="AT924" s="85">
        <v>43619</v>
      </c>
      <c r="AU924" s="84" t="s">
        <v>2771</v>
      </c>
      <c r="AV924" s="85">
        <v>43622</v>
      </c>
      <c r="AW924" s="123">
        <v>43646</v>
      </c>
      <c r="AX924" s="123">
        <v>43666</v>
      </c>
      <c r="AY924" s="132">
        <v>64320</v>
      </c>
      <c r="AZ924" s="132">
        <f>ROUNDDOWN(AY924+(AY924*MASTER!$A$2/100),0)</f>
        <v>69465</v>
      </c>
      <c r="BA924" s="84" t="s">
        <v>287</v>
      </c>
      <c r="BB924" s="88">
        <v>21000</v>
      </c>
      <c r="BC924" s="88">
        <v>22680</v>
      </c>
      <c r="BD924" s="84" t="s">
        <v>2466</v>
      </c>
      <c r="BG924" s="88">
        <v>0</v>
      </c>
      <c r="BI924" s="84" t="s">
        <v>434</v>
      </c>
      <c r="BJ924" s="88">
        <v>13000</v>
      </c>
      <c r="BK924" s="88">
        <v>14040</v>
      </c>
      <c r="BL924" s="84" t="s">
        <v>2466</v>
      </c>
      <c r="BS924" s="88">
        <v>0</v>
      </c>
      <c r="BV924" s="89">
        <v>50760</v>
      </c>
      <c r="BW924" s="89">
        <v>36720</v>
      </c>
      <c r="BX924" s="89">
        <v>0</v>
      </c>
      <c r="BY924" s="89">
        <v>43609</v>
      </c>
      <c r="BZ924" s="112">
        <v>27.659574468085108</v>
      </c>
      <c r="CK924" s="88">
        <v>0</v>
      </c>
    </row>
    <row r="925" spans="1:89" x14ac:dyDescent="0.15">
      <c r="A925" s="84">
        <v>2</v>
      </c>
      <c r="B925" s="85">
        <v>43647</v>
      </c>
      <c r="C925" s="85">
        <v>43656</v>
      </c>
      <c r="D925" s="85" t="s">
        <v>374</v>
      </c>
      <c r="E925" s="85">
        <v>43657</v>
      </c>
      <c r="F925" s="85">
        <v>43663</v>
      </c>
      <c r="G925" s="85">
        <v>43657</v>
      </c>
      <c r="H925" s="85">
        <v>43659</v>
      </c>
      <c r="I925" s="84" t="s">
        <v>401</v>
      </c>
      <c r="J925" s="84">
        <v>1</v>
      </c>
      <c r="L925" s="84">
        <v>0</v>
      </c>
      <c r="M925" s="85">
        <v>43600</v>
      </c>
      <c r="N925" s="85" t="s">
        <v>265</v>
      </c>
      <c r="O925" s="86" t="s">
        <v>340</v>
      </c>
      <c r="P925" s="84" t="s">
        <v>26</v>
      </c>
      <c r="Q925" s="86" t="s">
        <v>139</v>
      </c>
      <c r="R925" s="86" t="s">
        <v>2772</v>
      </c>
      <c r="S925" s="87" t="s">
        <v>747</v>
      </c>
      <c r="T925" s="87" t="s">
        <v>794</v>
      </c>
      <c r="U925" s="88">
        <v>23900</v>
      </c>
      <c r="V925" s="88">
        <v>25812</v>
      </c>
      <c r="W925" s="88">
        <v>14700</v>
      </c>
      <c r="X925" s="88">
        <v>15876</v>
      </c>
      <c r="Y925" s="88">
        <v>9200</v>
      </c>
      <c r="Z925" s="88">
        <v>9936</v>
      </c>
      <c r="AA925" s="85">
        <v>43653</v>
      </c>
      <c r="AB925" s="85">
        <v>43656</v>
      </c>
      <c r="AC925" s="85">
        <v>43656</v>
      </c>
      <c r="AD925" s="84">
        <v>0</v>
      </c>
      <c r="AG925" s="84">
        <v>0</v>
      </c>
      <c r="AJ925" s="84">
        <v>0</v>
      </c>
      <c r="AM925" s="84" t="s">
        <v>290</v>
      </c>
      <c r="AN925" s="84" t="s">
        <v>2773</v>
      </c>
      <c r="AR925" s="85">
        <v>43613</v>
      </c>
      <c r="AS925" s="84">
        <v>6001678279</v>
      </c>
      <c r="AT925" s="85">
        <v>43614</v>
      </c>
      <c r="AU925" s="84" t="s">
        <v>2774</v>
      </c>
      <c r="AV925" s="85">
        <v>43656</v>
      </c>
      <c r="AW925" s="123">
        <v>43677</v>
      </c>
      <c r="AX925" s="123">
        <v>43697</v>
      </c>
      <c r="AY925" s="132">
        <v>22944</v>
      </c>
      <c r="AZ925" s="132">
        <v>24780</v>
      </c>
      <c r="BA925" s="84" t="s">
        <v>778</v>
      </c>
      <c r="BC925" s="88">
        <v>0</v>
      </c>
      <c r="BG925" s="88">
        <v>0</v>
      </c>
      <c r="BI925" s="84" t="s">
        <v>276</v>
      </c>
      <c r="BJ925" s="88">
        <v>5980</v>
      </c>
      <c r="BK925" s="88">
        <v>6458.4</v>
      </c>
      <c r="BL925" s="84" t="s">
        <v>2660</v>
      </c>
      <c r="BS925" s="88">
        <v>0</v>
      </c>
      <c r="BV925" s="89">
        <v>15876</v>
      </c>
      <c r="BW925" s="89">
        <v>6458.4</v>
      </c>
      <c r="BX925" s="89">
        <v>43600</v>
      </c>
      <c r="BY925" s="89">
        <v>9417.6</v>
      </c>
      <c r="BZ925" s="112">
        <v>59.319727891156461</v>
      </c>
      <c r="CK925" s="88">
        <v>0</v>
      </c>
    </row>
    <row r="926" spans="1:89" x14ac:dyDescent="0.15">
      <c r="A926" s="84">
        <v>2</v>
      </c>
      <c r="B926" s="85">
        <v>43608</v>
      </c>
      <c r="C926" s="85">
        <v>43608</v>
      </c>
      <c r="D926" s="85">
        <v>43602</v>
      </c>
      <c r="E926" s="85">
        <v>43602</v>
      </c>
      <c r="F926" s="85" t="s">
        <v>338</v>
      </c>
      <c r="G926" s="85">
        <v>43602</v>
      </c>
      <c r="H926" s="85" t="s">
        <v>338</v>
      </c>
      <c r="I926" s="84" t="s">
        <v>547</v>
      </c>
      <c r="J926" s="84">
        <v>2</v>
      </c>
      <c r="L926" s="84">
        <v>0</v>
      </c>
      <c r="M926" s="85">
        <v>43600</v>
      </c>
      <c r="N926" s="85" t="s">
        <v>265</v>
      </c>
      <c r="O926" s="86" t="s">
        <v>340</v>
      </c>
      <c r="P926" s="84" t="s">
        <v>6</v>
      </c>
      <c r="Q926" s="86" t="s">
        <v>139</v>
      </c>
      <c r="R926" s="86" t="s">
        <v>2775</v>
      </c>
      <c r="S926" s="87" t="s">
        <v>442</v>
      </c>
      <c r="T926" s="87" t="s">
        <v>342</v>
      </c>
      <c r="U926" s="88">
        <v>35000</v>
      </c>
      <c r="V926" s="88">
        <v>37800</v>
      </c>
      <c r="W926" s="88">
        <v>35000</v>
      </c>
      <c r="X926" s="88">
        <v>37800</v>
      </c>
      <c r="Z926" s="88">
        <v>0</v>
      </c>
      <c r="AA926" s="85">
        <v>43600</v>
      </c>
      <c r="AB926" s="85">
        <v>43601</v>
      </c>
      <c r="AD926" s="84">
        <v>0</v>
      </c>
      <c r="AG926" s="84">
        <v>0</v>
      </c>
      <c r="AJ926" s="84">
        <v>0</v>
      </c>
      <c r="AN926" s="84" t="s">
        <v>338</v>
      </c>
      <c r="AR926" s="85">
        <v>43606</v>
      </c>
      <c r="AS926" s="84">
        <v>6001675996</v>
      </c>
      <c r="AT926" s="85">
        <v>43606</v>
      </c>
      <c r="AU926" s="84" t="s">
        <v>2724</v>
      </c>
      <c r="AV926" s="85">
        <v>43608</v>
      </c>
      <c r="AW926" s="123">
        <v>43616</v>
      </c>
      <c r="AX926" s="123">
        <v>43636</v>
      </c>
      <c r="AY926" s="132">
        <v>33600</v>
      </c>
      <c r="AZ926" s="132">
        <f>ROUNDDOWN(AY926+(AY926*MASTER!$A$2/100),0)</f>
        <v>36288</v>
      </c>
      <c r="BA926" s="84" t="s">
        <v>1689</v>
      </c>
      <c r="BB926" s="88">
        <v>30000</v>
      </c>
      <c r="BC926" s="88">
        <v>32400</v>
      </c>
      <c r="BD926" s="84" t="s">
        <v>1645</v>
      </c>
      <c r="BG926" s="88">
        <v>0</v>
      </c>
      <c r="BK926" s="88">
        <v>0</v>
      </c>
      <c r="BS926" s="88">
        <v>0</v>
      </c>
      <c r="BV926" s="89">
        <v>37800</v>
      </c>
      <c r="BW926" s="89">
        <v>32400</v>
      </c>
      <c r="BX926" s="89">
        <v>43600</v>
      </c>
      <c r="BY926" s="89">
        <v>5400</v>
      </c>
      <c r="BZ926" s="112">
        <v>14.285714285714285</v>
      </c>
      <c r="CK926" s="88">
        <v>0</v>
      </c>
    </row>
    <row r="927" spans="1:89" x14ac:dyDescent="0.15">
      <c r="A927" s="84">
        <v>2</v>
      </c>
      <c r="B927" s="85">
        <v>43616</v>
      </c>
      <c r="C927" s="85">
        <v>43620</v>
      </c>
      <c r="D927" s="85">
        <v>43615</v>
      </c>
      <c r="E927" s="85">
        <v>43615</v>
      </c>
      <c r="F927" s="85" t="s">
        <v>338</v>
      </c>
      <c r="G927" s="85">
        <v>43615</v>
      </c>
      <c r="H927" s="85" t="s">
        <v>338</v>
      </c>
      <c r="I927" s="84" t="s">
        <v>547</v>
      </c>
      <c r="J927" s="84">
        <v>2</v>
      </c>
      <c r="L927" s="84">
        <v>0</v>
      </c>
      <c r="M927" s="85">
        <v>43600</v>
      </c>
      <c r="N927" s="85" t="s">
        <v>265</v>
      </c>
      <c r="O927" s="86" t="s">
        <v>340</v>
      </c>
      <c r="P927" s="84" t="s">
        <v>6</v>
      </c>
      <c r="Q927" s="86" t="s">
        <v>139</v>
      </c>
      <c r="R927" s="86" t="s">
        <v>2776</v>
      </c>
      <c r="S927" s="87" t="s">
        <v>2765</v>
      </c>
      <c r="T927" s="87" t="s">
        <v>2777</v>
      </c>
      <c r="U927" s="88">
        <v>35000</v>
      </c>
      <c r="V927" s="88">
        <v>37800</v>
      </c>
      <c r="W927" s="88">
        <v>35000</v>
      </c>
      <c r="X927" s="88">
        <v>37800</v>
      </c>
      <c r="Z927" s="88">
        <v>0</v>
      </c>
      <c r="AA927" s="85">
        <v>43614</v>
      </c>
      <c r="AB927" s="85">
        <v>43614</v>
      </c>
      <c r="AD927" s="84">
        <v>0</v>
      </c>
      <c r="AG927" s="84">
        <v>0</v>
      </c>
      <c r="AJ927" s="84">
        <v>0</v>
      </c>
      <c r="AN927" s="84" t="s">
        <v>338</v>
      </c>
      <c r="AR927" s="85">
        <v>43615</v>
      </c>
      <c r="AS927" s="84">
        <v>6001678888</v>
      </c>
      <c r="AT927" s="85">
        <v>43615</v>
      </c>
      <c r="AU927" s="84" t="s">
        <v>2778</v>
      </c>
      <c r="AV927" s="85">
        <v>43620</v>
      </c>
      <c r="AW927" s="123">
        <v>43646</v>
      </c>
      <c r="AX927" s="123">
        <v>43666</v>
      </c>
      <c r="AY927" s="132">
        <v>33600</v>
      </c>
      <c r="AZ927" s="132">
        <f>ROUNDDOWN(AY927+(AY927*MASTER!$A$2/100),0)</f>
        <v>36288</v>
      </c>
      <c r="BA927" s="84" t="s">
        <v>540</v>
      </c>
      <c r="BB927" s="88">
        <v>21000</v>
      </c>
      <c r="BC927" s="88">
        <v>22680</v>
      </c>
      <c r="BD927" s="84" t="s">
        <v>2567</v>
      </c>
      <c r="BG927" s="88">
        <v>0</v>
      </c>
      <c r="BK927" s="88">
        <v>0</v>
      </c>
      <c r="BS927" s="88">
        <v>0</v>
      </c>
      <c r="BV927" s="89">
        <v>37800</v>
      </c>
      <c r="BW927" s="89">
        <v>22680</v>
      </c>
      <c r="BX927" s="89">
        <v>43600</v>
      </c>
      <c r="BY927" s="89">
        <v>15120</v>
      </c>
      <c r="BZ927" s="112">
        <v>40</v>
      </c>
      <c r="CK927" s="88">
        <v>0</v>
      </c>
    </row>
    <row r="928" spans="1:89" x14ac:dyDescent="0.15">
      <c r="A928" s="84">
        <v>2</v>
      </c>
      <c r="B928" s="85">
        <v>43609</v>
      </c>
      <c r="C928" s="85">
        <v>43612</v>
      </c>
      <c r="D928" s="85">
        <v>43602</v>
      </c>
      <c r="E928" s="85">
        <v>43602</v>
      </c>
      <c r="F928" s="85" t="s">
        <v>338</v>
      </c>
      <c r="G928" s="85">
        <v>43602</v>
      </c>
      <c r="H928" s="85" t="s">
        <v>338</v>
      </c>
      <c r="I928" s="84" t="s">
        <v>380</v>
      </c>
      <c r="J928" s="84">
        <v>2</v>
      </c>
      <c r="L928" s="84">
        <v>0</v>
      </c>
      <c r="M928" s="85">
        <v>43601</v>
      </c>
      <c r="N928" s="85" t="s">
        <v>265</v>
      </c>
      <c r="O928" s="86" t="s">
        <v>340</v>
      </c>
      <c r="P928" s="84" t="s">
        <v>6</v>
      </c>
      <c r="Q928" s="86" t="s">
        <v>139</v>
      </c>
      <c r="R928" s="86" t="s">
        <v>2779</v>
      </c>
      <c r="S928" s="87" t="s">
        <v>2416</v>
      </c>
      <c r="T928" s="87" t="s">
        <v>342</v>
      </c>
      <c r="U928" s="88">
        <v>35000</v>
      </c>
      <c r="V928" s="88">
        <v>37800</v>
      </c>
      <c r="W928" s="88">
        <v>35000</v>
      </c>
      <c r="X928" s="88">
        <v>37800</v>
      </c>
      <c r="Z928" s="88">
        <v>0</v>
      </c>
      <c r="AA928" s="85">
        <v>43601</v>
      </c>
      <c r="AB928" s="85">
        <v>43601</v>
      </c>
      <c r="AD928" s="84">
        <v>0</v>
      </c>
      <c r="AG928" s="84">
        <v>0</v>
      </c>
      <c r="AJ928" s="84">
        <v>0</v>
      </c>
      <c r="AN928" s="84" t="s">
        <v>338</v>
      </c>
      <c r="AR928" s="85">
        <v>43608</v>
      </c>
      <c r="AS928" s="84">
        <v>6001677070</v>
      </c>
      <c r="AT928" s="85">
        <v>43608</v>
      </c>
      <c r="AU928" s="84" t="s">
        <v>2780</v>
      </c>
      <c r="AV928" s="85">
        <v>43612</v>
      </c>
      <c r="AW928" s="123">
        <v>43616</v>
      </c>
      <c r="AX928" s="123">
        <v>43636</v>
      </c>
      <c r="AY928" s="132">
        <v>33600</v>
      </c>
      <c r="AZ928" s="132">
        <f>ROUNDDOWN(AY928+(AY928*MASTER!$A$2/100),0)</f>
        <v>36288</v>
      </c>
      <c r="BA928" s="84" t="s">
        <v>543</v>
      </c>
      <c r="BB928" s="88">
        <v>21000</v>
      </c>
      <c r="BC928" s="88">
        <v>22680</v>
      </c>
      <c r="BD928" s="84" t="s">
        <v>2197</v>
      </c>
      <c r="BG928" s="88">
        <v>0</v>
      </c>
      <c r="BK928" s="88">
        <v>0</v>
      </c>
      <c r="BS928" s="88">
        <v>0</v>
      </c>
      <c r="BV928" s="89">
        <v>37800</v>
      </c>
      <c r="BW928" s="89">
        <v>22680</v>
      </c>
      <c r="BX928" s="89">
        <v>43601</v>
      </c>
      <c r="BY928" s="89">
        <v>15120</v>
      </c>
      <c r="BZ928" s="112">
        <v>40</v>
      </c>
      <c r="CK928" s="88">
        <v>0</v>
      </c>
    </row>
    <row r="929" spans="1:89" x14ac:dyDescent="0.15">
      <c r="A929" s="84">
        <v>1</v>
      </c>
      <c r="B929" s="85">
        <v>43606</v>
      </c>
      <c r="C929" s="85">
        <v>43605</v>
      </c>
      <c r="F929" s="85" t="s">
        <v>338</v>
      </c>
      <c r="H929" s="85" t="s">
        <v>338</v>
      </c>
      <c r="J929" s="84">
        <v>2</v>
      </c>
      <c r="L929" s="84">
        <v>0</v>
      </c>
      <c r="M929" s="85">
        <v>43601</v>
      </c>
      <c r="N929" s="85" t="s">
        <v>265</v>
      </c>
      <c r="O929" s="86" t="s">
        <v>340</v>
      </c>
      <c r="P929" s="84" t="s">
        <v>272</v>
      </c>
      <c r="Q929" s="86" t="s">
        <v>139</v>
      </c>
      <c r="R929" s="86" t="s">
        <v>2781</v>
      </c>
      <c r="S929" s="87" t="s">
        <v>908</v>
      </c>
      <c r="T929" s="87" t="s">
        <v>2782</v>
      </c>
      <c r="U929" s="88">
        <v>3500</v>
      </c>
      <c r="V929" s="88">
        <v>3780</v>
      </c>
      <c r="W929" s="88">
        <v>3500</v>
      </c>
      <c r="X929" s="88">
        <v>3780</v>
      </c>
      <c r="Z929" s="88">
        <v>0</v>
      </c>
      <c r="AD929" s="84">
        <v>0</v>
      </c>
      <c r="AG929" s="84">
        <v>0</v>
      </c>
      <c r="AJ929" s="84">
        <v>0</v>
      </c>
      <c r="AR929" s="85">
        <v>43601</v>
      </c>
      <c r="AS929" s="84">
        <v>6001674876</v>
      </c>
      <c r="AT929" s="85">
        <v>43605</v>
      </c>
      <c r="AU929" s="84" t="s">
        <v>2783</v>
      </c>
      <c r="AV929" s="85">
        <v>43605</v>
      </c>
      <c r="AW929" s="123">
        <v>43616</v>
      </c>
      <c r="AX929" s="123">
        <v>43636</v>
      </c>
      <c r="AY929" s="132">
        <v>3360</v>
      </c>
      <c r="AZ929" s="132">
        <f>ROUNDDOWN(AY929+(AY929*MASTER!$A$2/100),0)</f>
        <v>3628</v>
      </c>
      <c r="BC929" s="88">
        <v>0</v>
      </c>
      <c r="BG929" s="88">
        <v>0</v>
      </c>
      <c r="BK929" s="88">
        <v>0</v>
      </c>
      <c r="BS929" s="88">
        <v>0</v>
      </c>
      <c r="BV929" s="89">
        <v>3780</v>
      </c>
      <c r="BW929" s="89">
        <v>0</v>
      </c>
      <c r="BX929" s="89">
        <v>43601</v>
      </c>
      <c r="BY929" s="89">
        <v>3780</v>
      </c>
      <c r="BZ929" s="112">
        <v>100</v>
      </c>
      <c r="CD929" s="87" t="s">
        <v>2784</v>
      </c>
    </row>
    <row r="930" spans="1:89" x14ac:dyDescent="0.15">
      <c r="A930" s="84">
        <v>1</v>
      </c>
      <c r="B930" s="85">
        <v>43627</v>
      </c>
      <c r="C930" s="85">
        <v>43628</v>
      </c>
      <c r="F930" s="85" t="s">
        <v>338</v>
      </c>
      <c r="H930" s="85" t="s">
        <v>338</v>
      </c>
      <c r="J930" s="84">
        <v>2</v>
      </c>
      <c r="K930" s="85">
        <v>43619</v>
      </c>
      <c r="L930" s="84" t="s">
        <v>1210</v>
      </c>
      <c r="M930" s="85">
        <v>43602</v>
      </c>
      <c r="N930" s="85" t="s">
        <v>265</v>
      </c>
      <c r="O930" s="86" t="s">
        <v>340</v>
      </c>
      <c r="P930" s="84" t="s">
        <v>26</v>
      </c>
      <c r="Q930" s="86" t="s">
        <v>139</v>
      </c>
      <c r="R930" s="86" t="s">
        <v>2785</v>
      </c>
      <c r="S930" s="87" t="s">
        <v>351</v>
      </c>
      <c r="T930" s="87" t="s">
        <v>2786</v>
      </c>
      <c r="U930" s="88">
        <v>62500</v>
      </c>
      <c r="V930" s="88">
        <v>67500</v>
      </c>
      <c r="W930" s="88">
        <v>62500</v>
      </c>
      <c r="X930" s="88">
        <v>67500</v>
      </c>
      <c r="Z930" s="88">
        <v>0</v>
      </c>
      <c r="AD930" s="84">
        <v>0</v>
      </c>
      <c r="AG930" s="84">
        <v>0</v>
      </c>
      <c r="AJ930" s="84">
        <v>0</v>
      </c>
      <c r="AR930" s="85">
        <v>43626</v>
      </c>
      <c r="AS930" s="84">
        <v>6001682218</v>
      </c>
      <c r="AT930" s="85">
        <v>43626</v>
      </c>
      <c r="AU930" s="84" t="s">
        <v>2787</v>
      </c>
      <c r="AV930" s="85">
        <v>43628</v>
      </c>
      <c r="AW930" s="123">
        <v>43646</v>
      </c>
      <c r="AX930" s="123">
        <v>43666</v>
      </c>
      <c r="AY930" s="132">
        <v>60000</v>
      </c>
      <c r="AZ930" s="132">
        <f>ROUNDDOWN(AY930+(AY930*MASTER!$A$2/100),0)</f>
        <v>64800</v>
      </c>
      <c r="BC930" s="88">
        <v>0</v>
      </c>
      <c r="BG930" s="88">
        <v>0</v>
      </c>
      <c r="BK930" s="88">
        <v>0</v>
      </c>
      <c r="BS930" s="88">
        <v>0</v>
      </c>
      <c r="BV930" s="89">
        <v>67500</v>
      </c>
      <c r="BW930" s="89">
        <v>0</v>
      </c>
      <c r="BX930" s="89">
        <v>0</v>
      </c>
      <c r="BY930" s="89">
        <v>43619</v>
      </c>
      <c r="BZ930" s="112">
        <v>100</v>
      </c>
      <c r="CD930" s="87" t="s">
        <v>2788</v>
      </c>
    </row>
    <row r="931" spans="1:89" x14ac:dyDescent="0.15">
      <c r="A931" s="84">
        <v>2</v>
      </c>
      <c r="B931" s="85">
        <v>43609</v>
      </c>
      <c r="C931" s="85">
        <v>43617</v>
      </c>
      <c r="D931" s="85">
        <v>43644</v>
      </c>
      <c r="E931" s="85">
        <v>43619</v>
      </c>
      <c r="F931" s="85">
        <v>43624</v>
      </c>
      <c r="G931" s="85">
        <v>43619</v>
      </c>
      <c r="H931" s="85">
        <v>43620</v>
      </c>
      <c r="I931" s="84" t="s">
        <v>401</v>
      </c>
      <c r="J931" s="84">
        <v>1</v>
      </c>
      <c r="L931" s="84">
        <v>0</v>
      </c>
      <c r="M931" s="85">
        <v>43602</v>
      </c>
      <c r="N931" s="85" t="s">
        <v>265</v>
      </c>
      <c r="O931" s="86" t="s">
        <v>340</v>
      </c>
      <c r="P931" s="84" t="s">
        <v>26</v>
      </c>
      <c r="Q931" s="86" t="s">
        <v>139</v>
      </c>
      <c r="R931" s="86" t="s">
        <v>2789</v>
      </c>
      <c r="S931" s="87" t="s">
        <v>1986</v>
      </c>
      <c r="T931" s="87" t="s">
        <v>1635</v>
      </c>
      <c r="U931" s="88">
        <v>50000</v>
      </c>
      <c r="V931" s="88">
        <v>54000</v>
      </c>
      <c r="W931" s="88">
        <v>47000</v>
      </c>
      <c r="X931" s="88">
        <v>50760</v>
      </c>
      <c r="Y931" s="88">
        <v>3000</v>
      </c>
      <c r="Z931" s="88">
        <v>3240</v>
      </c>
      <c r="AA931" s="85">
        <v>43616</v>
      </c>
      <c r="AB931" s="85">
        <v>43617</v>
      </c>
      <c r="AC931" s="85">
        <v>43617</v>
      </c>
      <c r="AD931" s="84">
        <v>0</v>
      </c>
      <c r="AG931" s="84">
        <v>0</v>
      </c>
      <c r="AJ931" s="84">
        <v>0</v>
      </c>
      <c r="AM931" s="84" t="s">
        <v>290</v>
      </c>
      <c r="AN931" s="84" t="s">
        <v>2790</v>
      </c>
      <c r="AR931" s="85">
        <v>43608</v>
      </c>
      <c r="AS931" s="84">
        <v>6001677069</v>
      </c>
      <c r="AT931" s="85">
        <v>43608</v>
      </c>
      <c r="AU931" s="84" t="s">
        <v>2659</v>
      </c>
      <c r="AV931" s="85">
        <v>43617</v>
      </c>
      <c r="AW931" s="123">
        <v>43646</v>
      </c>
      <c r="AX931" s="123">
        <v>43666</v>
      </c>
      <c r="AY931" s="132">
        <v>48000</v>
      </c>
      <c r="AZ931" s="132">
        <f>ROUNDDOWN(AY931+(AY931*MASTER!$A$2/100),0)</f>
        <v>51840</v>
      </c>
      <c r="BA931" s="84" t="s">
        <v>543</v>
      </c>
      <c r="BB931" s="88">
        <v>23000</v>
      </c>
      <c r="BC931" s="88">
        <v>24840</v>
      </c>
      <c r="BD931" s="84" t="s">
        <v>2466</v>
      </c>
      <c r="BG931" s="88">
        <v>0</v>
      </c>
      <c r="BI931" s="84" t="s">
        <v>434</v>
      </c>
      <c r="BJ931" s="88">
        <v>1950</v>
      </c>
      <c r="BK931" s="88">
        <v>2106</v>
      </c>
      <c r="BL931" s="84" t="s">
        <v>2466</v>
      </c>
      <c r="BS931" s="88">
        <v>0</v>
      </c>
      <c r="BV931" s="89">
        <v>50760</v>
      </c>
      <c r="BW931" s="89">
        <v>26946</v>
      </c>
      <c r="BX931" s="89">
        <v>43602</v>
      </c>
      <c r="BY931" s="89">
        <v>23814</v>
      </c>
      <c r="BZ931" s="112">
        <v>46.914893617021278</v>
      </c>
    </row>
    <row r="932" spans="1:89" x14ac:dyDescent="0.15">
      <c r="A932" s="84">
        <v>2</v>
      </c>
      <c r="B932" s="85">
        <v>43633</v>
      </c>
      <c r="C932" s="85">
        <v>43641</v>
      </c>
      <c r="E932" s="85">
        <v>43643</v>
      </c>
      <c r="F932" s="85">
        <v>43648</v>
      </c>
      <c r="G932" s="85">
        <v>43641</v>
      </c>
      <c r="H932" s="85">
        <v>43644</v>
      </c>
      <c r="I932" s="84" t="s">
        <v>401</v>
      </c>
      <c r="J932" s="84">
        <v>2</v>
      </c>
      <c r="L932" s="84">
        <v>0</v>
      </c>
      <c r="M932" s="85">
        <v>43602</v>
      </c>
      <c r="N932" s="85" t="s">
        <v>265</v>
      </c>
      <c r="O932" s="86" t="s">
        <v>340</v>
      </c>
      <c r="P932" s="84" t="s">
        <v>26</v>
      </c>
      <c r="Q932" s="86" t="s">
        <v>139</v>
      </c>
      <c r="R932" s="86" t="s">
        <v>2791</v>
      </c>
      <c r="S932" s="87" t="s">
        <v>1928</v>
      </c>
      <c r="T932" s="87" t="s">
        <v>2792</v>
      </c>
      <c r="U932" s="88">
        <v>302460</v>
      </c>
      <c r="V932" s="88">
        <v>326656.8</v>
      </c>
      <c r="W932" s="88">
        <v>302460</v>
      </c>
      <c r="X932" s="88">
        <v>326656.8</v>
      </c>
      <c r="Z932" s="88">
        <v>0</v>
      </c>
      <c r="AA932" s="85">
        <v>43639</v>
      </c>
      <c r="AB932" s="85">
        <v>43641</v>
      </c>
      <c r="AC932" s="85">
        <v>43641</v>
      </c>
      <c r="AD932" s="84">
        <v>0</v>
      </c>
      <c r="AG932" s="84">
        <v>0</v>
      </c>
      <c r="AJ932" s="84">
        <v>0</v>
      </c>
      <c r="AM932" s="84" t="s">
        <v>290</v>
      </c>
      <c r="AN932" s="84" t="s">
        <v>2793</v>
      </c>
      <c r="AR932" s="85">
        <v>43619</v>
      </c>
      <c r="AS932" s="84">
        <v>6001679454</v>
      </c>
      <c r="AT932" s="85">
        <v>43619</v>
      </c>
      <c r="AU932" s="84" t="s">
        <v>2771</v>
      </c>
      <c r="AV932" s="85">
        <v>43641</v>
      </c>
      <c r="AW932" s="123">
        <v>43646</v>
      </c>
      <c r="AX932" s="123">
        <v>43666</v>
      </c>
      <c r="AY932" s="132">
        <v>290361</v>
      </c>
      <c r="AZ932" s="132">
        <f>ROUNDDOWN(AY932+(AY932*MASTER!$A$2/100),0)</f>
        <v>313589</v>
      </c>
      <c r="BA932" s="84" t="s">
        <v>286</v>
      </c>
      <c r="BB932" s="88">
        <v>77200</v>
      </c>
      <c r="BC932" s="88">
        <v>83376</v>
      </c>
      <c r="BD932" s="84" t="s">
        <v>2637</v>
      </c>
      <c r="BG932" s="88">
        <v>0</v>
      </c>
      <c r="BK932" s="88">
        <v>0</v>
      </c>
      <c r="BS932" s="88">
        <v>0</v>
      </c>
      <c r="BV932" s="89">
        <v>326656.8</v>
      </c>
      <c r="BW932" s="89">
        <v>83376</v>
      </c>
      <c r="BX932" s="89">
        <v>43602</v>
      </c>
      <c r="BY932" s="89">
        <v>243280.8</v>
      </c>
      <c r="BZ932" s="112">
        <v>74.475963763803477</v>
      </c>
    </row>
    <row r="933" spans="1:89" x14ac:dyDescent="0.15">
      <c r="A933" s="84">
        <v>2</v>
      </c>
      <c r="C933" s="85" t="s">
        <v>338</v>
      </c>
      <c r="F933" s="85" t="s">
        <v>338</v>
      </c>
      <c r="H933" s="85" t="s">
        <v>338</v>
      </c>
      <c r="J933" s="84">
        <v>4</v>
      </c>
      <c r="L933" s="84">
        <v>0</v>
      </c>
      <c r="M933" s="85">
        <v>43602</v>
      </c>
      <c r="N933" s="85" t="s">
        <v>265</v>
      </c>
      <c r="O933" s="86" t="s">
        <v>340</v>
      </c>
      <c r="P933" s="84" t="s">
        <v>6</v>
      </c>
      <c r="Q933" s="86" t="s">
        <v>139</v>
      </c>
      <c r="R933" s="86" t="s">
        <v>2794</v>
      </c>
      <c r="S933" s="87" t="s">
        <v>2795</v>
      </c>
      <c r="T933" s="87" t="s">
        <v>2796</v>
      </c>
      <c r="U933" s="88">
        <v>0</v>
      </c>
      <c r="V933" s="88">
        <v>0</v>
      </c>
      <c r="W933" s="88">
        <v>0</v>
      </c>
      <c r="X933" s="88">
        <v>0</v>
      </c>
      <c r="Y933" s="88">
        <v>0</v>
      </c>
      <c r="Z933" s="88">
        <v>0</v>
      </c>
      <c r="AA933" s="85">
        <v>43598</v>
      </c>
      <c r="AB933" s="85">
        <v>43598</v>
      </c>
      <c r="AD933" s="84">
        <v>0</v>
      </c>
      <c r="AG933" s="84">
        <v>0</v>
      </c>
      <c r="AJ933" s="84">
        <v>0</v>
      </c>
      <c r="AN933" s="84" t="s">
        <v>338</v>
      </c>
      <c r="AY933" s="132">
        <f>ROUNDDOWN((0.96*U933),0)</f>
        <v>0</v>
      </c>
      <c r="AZ933" s="132">
        <f>ROUNDDOWN(AY933+(AY933*MASTER!$A$2/100),0)</f>
        <v>0</v>
      </c>
      <c r="BA933" s="84" t="s">
        <v>477</v>
      </c>
      <c r="BB933" s="88">
        <v>24000</v>
      </c>
      <c r="BC933" s="88">
        <v>25920</v>
      </c>
      <c r="BD933" s="84" t="s">
        <v>1645</v>
      </c>
      <c r="BG933" s="88">
        <v>0</v>
      </c>
      <c r="BK933" s="88">
        <v>0</v>
      </c>
      <c r="BS933" s="88">
        <v>0</v>
      </c>
      <c r="BV933" s="89">
        <v>0</v>
      </c>
      <c r="BW933" s="89">
        <v>25920</v>
      </c>
      <c r="BX933" s="89">
        <v>43602</v>
      </c>
      <c r="BY933" s="89">
        <v>-25920</v>
      </c>
      <c r="BZ933" s="112" t="s">
        <v>338</v>
      </c>
    </row>
    <row r="934" spans="1:89" x14ac:dyDescent="0.15">
      <c r="A934" s="84">
        <v>1</v>
      </c>
      <c r="B934" s="85">
        <v>43608</v>
      </c>
      <c r="C934" s="85">
        <v>43610</v>
      </c>
      <c r="F934" s="85" t="s">
        <v>338</v>
      </c>
      <c r="H934" s="85" t="s">
        <v>338</v>
      </c>
      <c r="J934" s="84">
        <v>2</v>
      </c>
      <c r="L934" s="84">
        <v>0</v>
      </c>
      <c r="M934" s="85">
        <v>43605</v>
      </c>
      <c r="N934" s="85" t="s">
        <v>265</v>
      </c>
      <c r="O934" s="86" t="s">
        <v>340</v>
      </c>
      <c r="P934" s="84" t="s">
        <v>271</v>
      </c>
      <c r="Q934" s="86" t="s">
        <v>139</v>
      </c>
      <c r="R934" s="86" t="s">
        <v>2797</v>
      </c>
      <c r="S934" s="87" t="s">
        <v>351</v>
      </c>
      <c r="T934" s="87" t="s">
        <v>2798</v>
      </c>
      <c r="U934" s="88">
        <v>1200000</v>
      </c>
      <c r="V934" s="88">
        <v>1296000</v>
      </c>
      <c r="W934" s="88">
        <v>1200000</v>
      </c>
      <c r="X934" s="88">
        <v>1296000</v>
      </c>
      <c r="Z934" s="88">
        <v>0</v>
      </c>
      <c r="AD934" s="84">
        <v>0</v>
      </c>
      <c r="AG934" s="84">
        <v>0</v>
      </c>
      <c r="AJ934" s="84">
        <v>0</v>
      </c>
      <c r="AR934" s="85">
        <v>43606</v>
      </c>
      <c r="AS934" s="84">
        <v>6001675996</v>
      </c>
      <c r="AT934" s="85">
        <v>43606</v>
      </c>
      <c r="AU934" s="84" t="s">
        <v>2724</v>
      </c>
      <c r="AV934" s="85">
        <v>43610</v>
      </c>
      <c r="AW934" s="123">
        <v>43616</v>
      </c>
      <c r="AX934" s="123">
        <v>43636</v>
      </c>
      <c r="AY934" s="140">
        <v>1200000</v>
      </c>
      <c r="AZ934" s="132">
        <f>ROUNDDOWN(AY934+(AY934*MASTER!$A$2/100),0)</f>
        <v>1296000</v>
      </c>
      <c r="BC934" s="88">
        <v>0</v>
      </c>
      <c r="BG934" s="88">
        <v>0</v>
      </c>
      <c r="BK934" s="88">
        <v>0</v>
      </c>
      <c r="BS934" s="88">
        <v>0</v>
      </c>
      <c r="BV934" s="89">
        <v>1296000</v>
      </c>
      <c r="BW934" s="89">
        <v>0</v>
      </c>
      <c r="BX934" s="89">
        <v>43605</v>
      </c>
      <c r="BY934" s="89">
        <v>1296000</v>
      </c>
      <c r="BZ934" s="112">
        <v>100</v>
      </c>
      <c r="CK934" s="88">
        <v>0</v>
      </c>
    </row>
    <row r="935" spans="1:89" x14ac:dyDescent="0.15">
      <c r="A935" s="84">
        <v>2</v>
      </c>
      <c r="B935" s="85">
        <v>43718</v>
      </c>
      <c r="C935" s="85">
        <v>43637</v>
      </c>
      <c r="D935" s="85">
        <v>43650</v>
      </c>
      <c r="E935" s="85">
        <v>43640</v>
      </c>
      <c r="F935" s="85">
        <v>43644</v>
      </c>
      <c r="G935" s="85">
        <v>43637</v>
      </c>
      <c r="H935" s="85">
        <v>43640</v>
      </c>
      <c r="I935" s="84" t="s">
        <v>401</v>
      </c>
      <c r="J935" s="84">
        <v>1</v>
      </c>
      <c r="L935" s="84">
        <v>0</v>
      </c>
      <c r="M935" s="85">
        <v>43606</v>
      </c>
      <c r="N935" s="85" t="s">
        <v>265</v>
      </c>
      <c r="O935" s="86" t="s">
        <v>340</v>
      </c>
      <c r="P935" s="84" t="s">
        <v>26</v>
      </c>
      <c r="Q935" s="86" t="s">
        <v>139</v>
      </c>
      <c r="R935" s="86" t="s">
        <v>2799</v>
      </c>
      <c r="S935" s="87" t="s">
        <v>1448</v>
      </c>
      <c r="T935" s="87" t="s">
        <v>2800</v>
      </c>
      <c r="U935" s="88">
        <v>59000</v>
      </c>
      <c r="V935" s="88">
        <v>63720</v>
      </c>
      <c r="W935" s="88">
        <v>47000</v>
      </c>
      <c r="X935" s="88">
        <v>50760</v>
      </c>
      <c r="Y935" s="88">
        <v>12000</v>
      </c>
      <c r="Z935" s="88">
        <v>12960</v>
      </c>
      <c r="AA935" s="85">
        <v>43636</v>
      </c>
      <c r="AB935" s="85">
        <v>43637</v>
      </c>
      <c r="AC935" s="85">
        <v>43637</v>
      </c>
      <c r="AD935" s="84">
        <v>0</v>
      </c>
      <c r="AG935" s="84">
        <v>0</v>
      </c>
      <c r="AJ935" s="84">
        <v>0</v>
      </c>
      <c r="AM935" s="84" t="s">
        <v>290</v>
      </c>
      <c r="AN935" s="84" t="s">
        <v>2801</v>
      </c>
      <c r="AR935" s="85">
        <v>43619</v>
      </c>
      <c r="AS935" s="84">
        <v>6001679454</v>
      </c>
      <c r="AT935" s="85">
        <v>43619</v>
      </c>
      <c r="AU935" s="84" t="s">
        <v>2771</v>
      </c>
      <c r="AV935" s="85">
        <v>43637</v>
      </c>
      <c r="AW935" s="123">
        <v>43646</v>
      </c>
      <c r="AX935" s="123">
        <v>43666</v>
      </c>
      <c r="AY935" s="132">
        <v>56640</v>
      </c>
      <c r="AZ935" s="132">
        <f>ROUNDDOWN(AY935+(AY935*MASTER!$A$2/100),0)</f>
        <v>61171</v>
      </c>
      <c r="BA935" s="84" t="s">
        <v>666</v>
      </c>
      <c r="BB935" s="88">
        <v>28000</v>
      </c>
      <c r="BC935" s="88">
        <v>30240</v>
      </c>
      <c r="BD935" s="84" t="s">
        <v>2660</v>
      </c>
      <c r="BG935" s="88">
        <v>0</v>
      </c>
      <c r="BI935" s="84" t="s">
        <v>434</v>
      </c>
      <c r="BJ935" s="88">
        <v>7800</v>
      </c>
      <c r="BK935" s="88">
        <v>8424</v>
      </c>
      <c r="BL935" s="84" t="s">
        <v>2637</v>
      </c>
      <c r="BS935" s="88">
        <v>0</v>
      </c>
      <c r="BV935" s="89">
        <v>50760</v>
      </c>
      <c r="BW935" s="89">
        <v>38664</v>
      </c>
      <c r="BX935" s="89">
        <v>43606</v>
      </c>
      <c r="BY935" s="89">
        <v>12096</v>
      </c>
      <c r="BZ935" s="112">
        <v>23.829787234042556</v>
      </c>
      <c r="CK935" s="88">
        <v>0</v>
      </c>
    </row>
    <row r="936" spans="1:89" x14ac:dyDescent="0.15">
      <c r="A936" s="84">
        <v>2</v>
      </c>
      <c r="B936" s="85">
        <v>43633</v>
      </c>
      <c r="C936" s="85">
        <v>43642</v>
      </c>
      <c r="D936" s="85">
        <v>43684</v>
      </c>
      <c r="E936" s="85">
        <v>43643</v>
      </c>
      <c r="F936" s="85">
        <v>43649</v>
      </c>
      <c r="G936" s="85">
        <v>43642</v>
      </c>
      <c r="H936" s="85">
        <v>43645</v>
      </c>
      <c r="I936" s="84" t="s">
        <v>1191</v>
      </c>
      <c r="J936" s="84">
        <v>1</v>
      </c>
      <c r="L936" s="84">
        <v>0</v>
      </c>
      <c r="M936" s="85">
        <v>43606</v>
      </c>
      <c r="N936" s="85" t="s">
        <v>265</v>
      </c>
      <c r="O936" s="86" t="s">
        <v>340</v>
      </c>
      <c r="P936" s="84" t="s">
        <v>26</v>
      </c>
      <c r="Q936" s="86" t="s">
        <v>139</v>
      </c>
      <c r="R936" s="86" t="s">
        <v>2802</v>
      </c>
      <c r="S936" s="87" t="s">
        <v>1024</v>
      </c>
      <c r="T936" s="87" t="s">
        <v>2803</v>
      </c>
      <c r="U936" s="88">
        <v>67000</v>
      </c>
      <c r="V936" s="88">
        <v>72360</v>
      </c>
      <c r="W936" s="88">
        <v>47000</v>
      </c>
      <c r="X936" s="88">
        <v>50760</v>
      </c>
      <c r="Y936" s="88">
        <v>20000</v>
      </c>
      <c r="Z936" s="88">
        <v>21600</v>
      </c>
      <c r="AA936" s="85">
        <v>43640</v>
      </c>
      <c r="AB936" s="85">
        <v>43642</v>
      </c>
      <c r="AC936" s="85">
        <v>43642</v>
      </c>
      <c r="AD936" s="84">
        <v>0</v>
      </c>
      <c r="AG936" s="84">
        <v>0</v>
      </c>
      <c r="AJ936" s="84">
        <v>0</v>
      </c>
      <c r="AM936" s="84" t="s">
        <v>290</v>
      </c>
      <c r="AN936" s="84" t="s">
        <v>2804</v>
      </c>
      <c r="AR936" s="85">
        <v>43623</v>
      </c>
      <c r="AS936" s="84">
        <v>6001681636</v>
      </c>
      <c r="AT936" s="85">
        <v>43623</v>
      </c>
      <c r="AU936" s="84" t="s">
        <v>2805</v>
      </c>
      <c r="AV936" s="85">
        <v>43642</v>
      </c>
      <c r="AW936" s="123">
        <v>43646</v>
      </c>
      <c r="AX936" s="123">
        <v>43666</v>
      </c>
      <c r="AY936" s="132">
        <v>64320</v>
      </c>
      <c r="AZ936" s="132">
        <f>ROUNDDOWN(AY936+(AY936*MASTER!$A$2/100),0)</f>
        <v>69465</v>
      </c>
      <c r="BA936" s="84" t="s">
        <v>287</v>
      </c>
      <c r="BB936" s="88">
        <v>21000</v>
      </c>
      <c r="BC936" s="88">
        <v>22680</v>
      </c>
      <c r="BD936" s="84" t="s">
        <v>2637</v>
      </c>
      <c r="BG936" s="88">
        <v>0</v>
      </c>
      <c r="BI936" s="84" t="s">
        <v>434</v>
      </c>
      <c r="BJ936" s="88">
        <v>13000</v>
      </c>
      <c r="BK936" s="88">
        <v>14040</v>
      </c>
      <c r="BL936" s="84" t="s">
        <v>2637</v>
      </c>
      <c r="BS936" s="88">
        <v>0</v>
      </c>
      <c r="BV936" s="89">
        <v>50760</v>
      </c>
      <c r="BW936" s="89">
        <v>36720</v>
      </c>
      <c r="BX936" s="89">
        <v>43606</v>
      </c>
      <c r="BY936" s="89">
        <v>14040</v>
      </c>
      <c r="BZ936" s="112">
        <v>27.659574468085108</v>
      </c>
      <c r="CK936" s="88">
        <v>0</v>
      </c>
    </row>
    <row r="937" spans="1:89" x14ac:dyDescent="0.15">
      <c r="A937" s="84">
        <v>2</v>
      </c>
      <c r="B937" s="85">
        <v>43616</v>
      </c>
      <c r="C937" s="85">
        <v>43621</v>
      </c>
      <c r="D937" s="85">
        <v>43684</v>
      </c>
      <c r="E937" s="85">
        <v>43622</v>
      </c>
      <c r="F937" s="85">
        <v>43628</v>
      </c>
      <c r="G937" s="85">
        <v>43621</v>
      </c>
      <c r="H937" s="85">
        <v>43624</v>
      </c>
      <c r="I937" s="84" t="s">
        <v>1191</v>
      </c>
      <c r="J937" s="84">
        <v>1</v>
      </c>
      <c r="L937" s="84">
        <v>0</v>
      </c>
      <c r="M937" s="85">
        <v>43606</v>
      </c>
      <c r="N937" s="85" t="s">
        <v>265</v>
      </c>
      <c r="O937" s="86" t="s">
        <v>340</v>
      </c>
      <c r="P937" s="84" t="s">
        <v>26</v>
      </c>
      <c r="Q937" s="86" t="s">
        <v>139</v>
      </c>
      <c r="R937" s="86" t="s">
        <v>2806</v>
      </c>
      <c r="S937" s="87" t="s">
        <v>691</v>
      </c>
      <c r="T937" s="87" t="s">
        <v>2807</v>
      </c>
      <c r="U937" s="88">
        <v>50000</v>
      </c>
      <c r="V937" s="88">
        <v>54000</v>
      </c>
      <c r="W937" s="88">
        <v>47000</v>
      </c>
      <c r="X937" s="88">
        <v>50760</v>
      </c>
      <c r="Y937" s="88">
        <v>3000</v>
      </c>
      <c r="Z937" s="88">
        <v>3240</v>
      </c>
      <c r="AA937" s="85">
        <v>43619</v>
      </c>
      <c r="AB937" s="85">
        <v>43621</v>
      </c>
      <c r="AC937" s="85">
        <v>43621</v>
      </c>
      <c r="AD937" s="84">
        <v>0</v>
      </c>
      <c r="AG937" s="84">
        <v>0</v>
      </c>
      <c r="AJ937" s="84">
        <v>0</v>
      </c>
      <c r="AM937" s="84" t="s">
        <v>290</v>
      </c>
      <c r="AN937" s="84" t="s">
        <v>2808</v>
      </c>
      <c r="AR937" s="85">
        <v>43615</v>
      </c>
      <c r="AS937" s="84">
        <v>6001678888</v>
      </c>
      <c r="AT937" s="85">
        <v>43615</v>
      </c>
      <c r="AU937" s="84" t="s">
        <v>2778</v>
      </c>
      <c r="AV937" s="85">
        <v>43621</v>
      </c>
      <c r="AW937" s="123">
        <v>43646</v>
      </c>
      <c r="AX937" s="123">
        <v>43666</v>
      </c>
      <c r="AY937" s="132">
        <v>48000</v>
      </c>
      <c r="AZ937" s="132">
        <f>ROUNDDOWN(AY937+(AY937*MASTER!$A$2/100),0)</f>
        <v>51840</v>
      </c>
      <c r="BA937" s="84" t="s">
        <v>287</v>
      </c>
      <c r="BB937" s="88">
        <v>26000</v>
      </c>
      <c r="BC937" s="88">
        <v>28080</v>
      </c>
      <c r="BD937" s="84" t="s">
        <v>2466</v>
      </c>
      <c r="BG937" s="88">
        <v>0</v>
      </c>
      <c r="BI937" s="84" t="s">
        <v>434</v>
      </c>
      <c r="BJ937" s="88">
        <v>1950</v>
      </c>
      <c r="BK937" s="88">
        <v>2106</v>
      </c>
      <c r="BL937" s="84" t="s">
        <v>2466</v>
      </c>
      <c r="BS937" s="88">
        <v>0</v>
      </c>
      <c r="BV937" s="89">
        <v>50760</v>
      </c>
      <c r="BW937" s="89">
        <v>30186</v>
      </c>
      <c r="BX937" s="89">
        <v>43606</v>
      </c>
      <c r="BY937" s="89">
        <v>20574</v>
      </c>
      <c r="BZ937" s="112">
        <v>40.531914893617021</v>
      </c>
      <c r="CK937" s="88">
        <v>0</v>
      </c>
    </row>
    <row r="938" spans="1:89" s="151" customFormat="1" x14ac:dyDescent="0.15">
      <c r="A938" s="141">
        <v>3</v>
      </c>
      <c r="B938" s="142"/>
      <c r="C938" s="142" t="s">
        <v>338</v>
      </c>
      <c r="D938" s="142"/>
      <c r="E938" s="142"/>
      <c r="F938" s="142" t="s">
        <v>338</v>
      </c>
      <c r="G938" s="142"/>
      <c r="H938" s="142" t="s">
        <v>338</v>
      </c>
      <c r="I938" s="141"/>
      <c r="J938" s="141">
        <v>2</v>
      </c>
      <c r="K938" s="142"/>
      <c r="L938" s="141">
        <v>0</v>
      </c>
      <c r="M938" s="142">
        <v>43606</v>
      </c>
      <c r="N938" s="142" t="s">
        <v>265</v>
      </c>
      <c r="O938" s="143" t="s">
        <v>340</v>
      </c>
      <c r="P938" s="141" t="s">
        <v>26</v>
      </c>
      <c r="Q938" s="143" t="s">
        <v>139</v>
      </c>
      <c r="R938" s="143" t="s">
        <v>2809</v>
      </c>
      <c r="S938" s="144" t="s">
        <v>562</v>
      </c>
      <c r="T938" s="144" t="s">
        <v>2810</v>
      </c>
      <c r="U938" s="145">
        <v>270000</v>
      </c>
      <c r="V938" s="145">
        <v>291600</v>
      </c>
      <c r="W938" s="145">
        <v>270000</v>
      </c>
      <c r="X938" s="145">
        <v>291600</v>
      </c>
      <c r="Y938" s="145"/>
      <c r="Z938" s="145">
        <v>0</v>
      </c>
      <c r="AA938" s="142">
        <v>43586</v>
      </c>
      <c r="AB938" s="142">
        <v>43616</v>
      </c>
      <c r="AC938" s="142"/>
      <c r="AD938" s="141">
        <v>0</v>
      </c>
      <c r="AE938" s="141"/>
      <c r="AF938" s="141"/>
      <c r="AG938" s="141">
        <v>0</v>
      </c>
      <c r="AH938" s="141"/>
      <c r="AI938" s="141"/>
      <c r="AJ938" s="141">
        <v>0</v>
      </c>
      <c r="AK938" s="141"/>
      <c r="AL938" s="141"/>
      <c r="AM938" s="141"/>
      <c r="AN938" s="141" t="s">
        <v>338</v>
      </c>
      <c r="AO938" s="142"/>
      <c r="AP938" s="141"/>
      <c r="AQ938" s="141"/>
      <c r="AR938" s="142"/>
      <c r="AS938" s="141"/>
      <c r="AT938" s="142"/>
      <c r="AU938" s="141"/>
      <c r="AV938" s="142"/>
      <c r="AW938" s="146"/>
      <c r="AX938" s="146"/>
      <c r="AY938" s="147">
        <v>259200</v>
      </c>
      <c r="AZ938" s="132">
        <f>ROUNDDOWN(AY938+(AY938*MASTER!$A$2/100),0)</f>
        <v>279936</v>
      </c>
      <c r="BA938" s="141"/>
      <c r="BB938" s="145"/>
      <c r="BC938" s="145">
        <v>0</v>
      </c>
      <c r="BD938" s="141"/>
      <c r="BE938" s="141"/>
      <c r="BF938" s="145"/>
      <c r="BG938" s="145">
        <v>0</v>
      </c>
      <c r="BH938" s="141"/>
      <c r="BI938" s="141"/>
      <c r="BJ938" s="145"/>
      <c r="BK938" s="145">
        <v>0</v>
      </c>
      <c r="BL938" s="141"/>
      <c r="BM938" s="145"/>
      <c r="BN938" s="145"/>
      <c r="BO938" s="145"/>
      <c r="BP938" s="145"/>
      <c r="BQ938" s="145"/>
      <c r="BR938" s="145"/>
      <c r="BS938" s="145">
        <v>0</v>
      </c>
      <c r="BT938" s="148"/>
      <c r="BU938" s="148"/>
      <c r="BV938" s="149">
        <v>291600</v>
      </c>
      <c r="BW938" s="149">
        <v>0</v>
      </c>
      <c r="BX938" s="149">
        <v>43606</v>
      </c>
      <c r="BY938" s="149">
        <v>291600</v>
      </c>
      <c r="BZ938" s="150">
        <v>100</v>
      </c>
      <c r="CA938" s="141"/>
      <c r="CB938" s="141"/>
      <c r="CC938" s="141"/>
      <c r="CD938" s="144"/>
      <c r="CE938" s="142"/>
      <c r="CF938" s="142"/>
      <c r="CG938" s="142"/>
      <c r="CH938" s="142"/>
      <c r="CI938" s="142"/>
      <c r="CJ938" s="142"/>
      <c r="CK938" s="145">
        <v>0</v>
      </c>
    </row>
    <row r="939" spans="1:89" x14ac:dyDescent="0.15">
      <c r="A939" s="84">
        <v>1</v>
      </c>
      <c r="C939" s="85" t="s">
        <v>338</v>
      </c>
      <c r="F939" s="85" t="s">
        <v>338</v>
      </c>
      <c r="H939" s="85" t="s">
        <v>338</v>
      </c>
      <c r="J939" s="84">
        <v>4</v>
      </c>
      <c r="L939" s="84">
        <v>0</v>
      </c>
      <c r="M939" s="85">
        <v>43606</v>
      </c>
      <c r="N939" s="85" t="s">
        <v>265</v>
      </c>
      <c r="O939" s="86" t="s">
        <v>340</v>
      </c>
      <c r="P939" s="84" t="s">
        <v>272</v>
      </c>
      <c r="Q939" s="86" t="s">
        <v>139</v>
      </c>
      <c r="R939" s="86" t="s">
        <v>2811</v>
      </c>
      <c r="S939" s="87" t="s">
        <v>351</v>
      </c>
      <c r="T939" s="87" t="s">
        <v>2812</v>
      </c>
      <c r="U939" s="88">
        <v>0</v>
      </c>
      <c r="V939" s="88">
        <v>0</v>
      </c>
      <c r="X939" s="88">
        <v>0</v>
      </c>
      <c r="Z939" s="88">
        <v>0</v>
      </c>
      <c r="AA939" s="85">
        <v>43598</v>
      </c>
      <c r="AD939" s="84">
        <v>0</v>
      </c>
      <c r="AG939" s="84">
        <v>0</v>
      </c>
      <c r="AJ939" s="84">
        <v>0</v>
      </c>
      <c r="AY939" s="132">
        <v>0</v>
      </c>
      <c r="AZ939" s="132">
        <f>ROUNDDOWN(AY939+(AY939*MASTER!$A$2/100),0)</f>
        <v>0</v>
      </c>
      <c r="BC939" s="88">
        <v>0</v>
      </c>
      <c r="BG939" s="88">
        <v>0</v>
      </c>
      <c r="BI939" s="84" t="s">
        <v>434</v>
      </c>
      <c r="BJ939" s="88">
        <v>22750</v>
      </c>
      <c r="BK939" s="88">
        <v>24570</v>
      </c>
      <c r="BL939" s="84" t="s">
        <v>2197</v>
      </c>
      <c r="BS939" s="88">
        <v>0</v>
      </c>
      <c r="BV939" s="89">
        <v>0</v>
      </c>
      <c r="BW939" s="89">
        <v>24570</v>
      </c>
      <c r="BX939" s="89">
        <v>43606</v>
      </c>
      <c r="BY939" s="89">
        <v>-24570</v>
      </c>
      <c r="BZ939" s="112" t="s">
        <v>338</v>
      </c>
      <c r="CD939" s="87" t="s">
        <v>2813</v>
      </c>
    </row>
    <row r="940" spans="1:89" x14ac:dyDescent="0.15">
      <c r="A940" s="84">
        <v>2</v>
      </c>
      <c r="B940" s="85">
        <v>43642</v>
      </c>
      <c r="C940" s="85">
        <v>43645</v>
      </c>
      <c r="E940" s="85">
        <v>43654</v>
      </c>
      <c r="F940" s="85">
        <v>43652</v>
      </c>
      <c r="G940" s="85">
        <v>43650</v>
      </c>
      <c r="H940" s="85">
        <v>43648</v>
      </c>
      <c r="I940" s="84" t="s">
        <v>401</v>
      </c>
      <c r="J940" s="84">
        <v>1</v>
      </c>
      <c r="L940" s="84">
        <v>0</v>
      </c>
      <c r="M940" s="85">
        <v>43606</v>
      </c>
      <c r="N940" s="85" t="s">
        <v>265</v>
      </c>
      <c r="O940" s="86" t="s">
        <v>340</v>
      </c>
      <c r="P940" s="84" t="s">
        <v>26</v>
      </c>
      <c r="Q940" s="86" t="s">
        <v>139</v>
      </c>
      <c r="R940" s="86" t="s">
        <v>2814</v>
      </c>
      <c r="S940" s="87" t="s">
        <v>1148</v>
      </c>
      <c r="T940" s="87" t="s">
        <v>1241</v>
      </c>
      <c r="U940" s="88">
        <v>56000</v>
      </c>
      <c r="V940" s="88">
        <v>60480</v>
      </c>
      <c r="W940" s="88">
        <v>47000</v>
      </c>
      <c r="X940" s="88">
        <v>50760</v>
      </c>
      <c r="Y940" s="88">
        <v>9000</v>
      </c>
      <c r="Z940" s="88">
        <v>9720</v>
      </c>
      <c r="AA940" s="85">
        <v>43644</v>
      </c>
      <c r="AB940" s="85">
        <v>43645</v>
      </c>
      <c r="AC940" s="85">
        <v>43645</v>
      </c>
      <c r="AD940" s="84">
        <v>0</v>
      </c>
      <c r="AG940" s="84">
        <v>0</v>
      </c>
      <c r="AJ940" s="84">
        <v>0</v>
      </c>
      <c r="AM940" s="84" t="s">
        <v>290</v>
      </c>
      <c r="AN940" s="84" t="s">
        <v>2815</v>
      </c>
      <c r="AR940" s="85">
        <v>43641</v>
      </c>
      <c r="AS940" s="84">
        <v>6001687682</v>
      </c>
      <c r="AT940" s="85">
        <v>43641</v>
      </c>
      <c r="AU940" s="84" t="s">
        <v>2816</v>
      </c>
      <c r="AV940" s="85">
        <v>43645</v>
      </c>
      <c r="AW940" s="123">
        <v>43646</v>
      </c>
      <c r="AX940" s="123">
        <v>43666</v>
      </c>
      <c r="AY940" s="132">
        <v>53760</v>
      </c>
      <c r="AZ940" s="132">
        <f>ROUNDDOWN(AY940+(AY940*MASTER!$A$2/100),0)</f>
        <v>58060</v>
      </c>
      <c r="BA940" s="84" t="s">
        <v>286</v>
      </c>
      <c r="BB940" s="88">
        <v>26000</v>
      </c>
      <c r="BC940" s="88">
        <v>28080</v>
      </c>
      <c r="BD940" s="84" t="s">
        <v>2637</v>
      </c>
      <c r="BG940" s="88">
        <v>0</v>
      </c>
      <c r="BK940" s="88">
        <v>0</v>
      </c>
      <c r="BS940" s="88">
        <v>0</v>
      </c>
      <c r="BV940" s="89">
        <v>50760</v>
      </c>
      <c r="BW940" s="89">
        <v>28080</v>
      </c>
      <c r="BX940" s="89">
        <v>43606</v>
      </c>
      <c r="BY940" s="89">
        <v>22680</v>
      </c>
      <c r="BZ940" s="112">
        <v>44.680851063829785</v>
      </c>
      <c r="CK940" s="88">
        <v>0</v>
      </c>
    </row>
    <row r="941" spans="1:89" x14ac:dyDescent="0.15">
      <c r="A941" s="84">
        <v>2</v>
      </c>
      <c r="B941" s="85">
        <v>43616</v>
      </c>
      <c r="C941" s="85">
        <v>43622</v>
      </c>
      <c r="D941" s="85" t="s">
        <v>374</v>
      </c>
      <c r="E941" s="85">
        <v>43628</v>
      </c>
      <c r="F941" s="85">
        <v>43629</v>
      </c>
      <c r="G941" s="85">
        <v>43626</v>
      </c>
      <c r="H941" s="85">
        <v>43625</v>
      </c>
      <c r="I941" s="84" t="s">
        <v>1191</v>
      </c>
      <c r="J941" s="84">
        <v>1</v>
      </c>
      <c r="L941" s="84">
        <v>0</v>
      </c>
      <c r="M941" s="85">
        <v>43606</v>
      </c>
      <c r="N941" s="85" t="s">
        <v>265</v>
      </c>
      <c r="O941" s="86" t="s">
        <v>340</v>
      </c>
      <c r="P941" s="84" t="s">
        <v>26</v>
      </c>
      <c r="Q941" s="86" t="s">
        <v>139</v>
      </c>
      <c r="R941" s="86" t="s">
        <v>2817</v>
      </c>
      <c r="S941" s="87" t="s">
        <v>913</v>
      </c>
      <c r="T941" s="87" t="s">
        <v>2565</v>
      </c>
      <c r="U941" s="88">
        <v>23900</v>
      </c>
      <c r="V941" s="88">
        <v>25812</v>
      </c>
      <c r="W941" s="88">
        <v>14700</v>
      </c>
      <c r="X941" s="88">
        <v>15876</v>
      </c>
      <c r="Y941" s="88">
        <v>9200</v>
      </c>
      <c r="Z941" s="88">
        <v>9936</v>
      </c>
      <c r="AA941" s="85">
        <v>43621</v>
      </c>
      <c r="AB941" s="85">
        <v>43622</v>
      </c>
      <c r="AC941" s="85">
        <v>43622</v>
      </c>
      <c r="AD941" s="84">
        <v>0</v>
      </c>
      <c r="AG941" s="84">
        <v>0</v>
      </c>
      <c r="AJ941" s="84">
        <v>0</v>
      </c>
      <c r="AM941" s="84" t="s">
        <v>290</v>
      </c>
      <c r="AN941" s="84" t="s">
        <v>2818</v>
      </c>
      <c r="AR941" s="85">
        <v>43615</v>
      </c>
      <c r="AS941" s="84">
        <v>6001678888</v>
      </c>
      <c r="AT941" s="85">
        <v>43615</v>
      </c>
      <c r="AU941" s="84" t="s">
        <v>2778</v>
      </c>
      <c r="AV941" s="85">
        <v>43622</v>
      </c>
      <c r="AW941" s="123">
        <v>43646</v>
      </c>
      <c r="AX941" s="123">
        <v>43666</v>
      </c>
      <c r="AY941" s="132">
        <v>22944</v>
      </c>
      <c r="AZ941" s="132">
        <f>ROUNDDOWN(AY941+(AY941*MASTER!$A$2/100),0)</f>
        <v>24779</v>
      </c>
      <c r="BA941" s="84" t="s">
        <v>778</v>
      </c>
      <c r="BC941" s="88">
        <v>0</v>
      </c>
      <c r="BG941" s="88">
        <v>0</v>
      </c>
      <c r="BI941" s="84" t="s">
        <v>276</v>
      </c>
      <c r="BJ941" s="88">
        <v>5980</v>
      </c>
      <c r="BK941" s="88">
        <v>6458.4</v>
      </c>
      <c r="BL941" s="84" t="s">
        <v>2567</v>
      </c>
      <c r="BS941" s="88">
        <v>0</v>
      </c>
      <c r="BV941" s="89">
        <v>15876</v>
      </c>
      <c r="BW941" s="89">
        <v>6458.4</v>
      </c>
      <c r="BX941" s="89">
        <v>43606</v>
      </c>
      <c r="BY941" s="89">
        <v>9417.6</v>
      </c>
      <c r="BZ941" s="112">
        <v>59.319727891156461</v>
      </c>
      <c r="CK941" s="88">
        <v>0</v>
      </c>
    </row>
    <row r="942" spans="1:89" x14ac:dyDescent="0.15">
      <c r="A942" s="84">
        <v>2</v>
      </c>
      <c r="B942" s="85">
        <v>43640</v>
      </c>
      <c r="C942" s="85">
        <v>43647</v>
      </c>
      <c r="D942" s="85" t="s">
        <v>374</v>
      </c>
      <c r="E942" s="85">
        <v>43654</v>
      </c>
      <c r="F942" s="85">
        <v>43654</v>
      </c>
      <c r="G942" s="85">
        <v>43655</v>
      </c>
      <c r="H942" s="85">
        <v>43650</v>
      </c>
      <c r="I942" s="84" t="s">
        <v>401</v>
      </c>
      <c r="J942" s="84">
        <v>1</v>
      </c>
      <c r="L942" s="84">
        <v>0</v>
      </c>
      <c r="M942" s="85">
        <v>43606</v>
      </c>
      <c r="N942" s="85" t="s">
        <v>265</v>
      </c>
      <c r="O942" s="86" t="s">
        <v>340</v>
      </c>
      <c r="P942" s="84" t="s">
        <v>26</v>
      </c>
      <c r="Q942" s="86" t="s">
        <v>139</v>
      </c>
      <c r="R942" s="86" t="s">
        <v>2819</v>
      </c>
      <c r="S942" s="87" t="s">
        <v>449</v>
      </c>
      <c r="T942" s="87" t="s">
        <v>1143</v>
      </c>
      <c r="U942" s="88">
        <v>23900</v>
      </c>
      <c r="V942" s="88">
        <v>25812</v>
      </c>
      <c r="W942" s="88">
        <v>14700</v>
      </c>
      <c r="X942" s="88">
        <v>15876</v>
      </c>
      <c r="Y942" s="88">
        <v>9200</v>
      </c>
      <c r="Z942" s="88">
        <v>9936</v>
      </c>
      <c r="AA942" s="85">
        <v>43646</v>
      </c>
      <c r="AB942" s="85">
        <v>43647</v>
      </c>
      <c r="AC942" s="85">
        <v>43647</v>
      </c>
      <c r="AD942" s="84">
        <v>0</v>
      </c>
      <c r="AG942" s="84">
        <v>0</v>
      </c>
      <c r="AJ942" s="84">
        <v>0</v>
      </c>
      <c r="AM942" s="84" t="s">
        <v>290</v>
      </c>
      <c r="AN942" s="84" t="s">
        <v>2820</v>
      </c>
      <c r="AR942" s="85">
        <v>43621</v>
      </c>
      <c r="AS942" s="84">
        <v>6001680326</v>
      </c>
      <c r="AT942" s="85">
        <v>43621</v>
      </c>
      <c r="AU942" s="84" t="s">
        <v>2821</v>
      </c>
      <c r="AV942" s="85">
        <v>43647</v>
      </c>
      <c r="AW942" s="123">
        <v>43677</v>
      </c>
      <c r="AX942" s="123">
        <v>43697</v>
      </c>
      <c r="AY942" s="132">
        <v>22944</v>
      </c>
      <c r="AZ942" s="132">
        <v>24780</v>
      </c>
      <c r="BA942" s="84" t="s">
        <v>778</v>
      </c>
      <c r="BC942" s="88">
        <v>0</v>
      </c>
      <c r="BG942" s="88">
        <v>0</v>
      </c>
      <c r="BI942" s="84" t="s">
        <v>276</v>
      </c>
      <c r="BJ942" s="88">
        <v>5980</v>
      </c>
      <c r="BK942" s="88">
        <v>6458.4</v>
      </c>
      <c r="BL942" s="84" t="s">
        <v>2660</v>
      </c>
      <c r="BS942" s="88">
        <v>0</v>
      </c>
      <c r="BV942" s="89">
        <v>15876</v>
      </c>
      <c r="BW942" s="89">
        <v>6458.4</v>
      </c>
      <c r="BX942" s="89">
        <v>43606</v>
      </c>
      <c r="BY942" s="89">
        <v>9417.6</v>
      </c>
      <c r="BZ942" s="112">
        <v>59.319727891156461</v>
      </c>
      <c r="CK942" s="88">
        <v>0</v>
      </c>
    </row>
    <row r="943" spans="1:89" x14ac:dyDescent="0.15">
      <c r="A943" s="84">
        <v>2</v>
      </c>
      <c r="B943" s="85">
        <v>43616</v>
      </c>
      <c r="C943" s="85">
        <v>43626</v>
      </c>
      <c r="D943" s="85">
        <v>43615</v>
      </c>
      <c r="E943" s="85">
        <v>43615</v>
      </c>
      <c r="F943" s="85" t="s">
        <v>338</v>
      </c>
      <c r="G943" s="85">
        <v>43615</v>
      </c>
      <c r="H943" s="85" t="s">
        <v>338</v>
      </c>
      <c r="I943" s="84" t="s">
        <v>380</v>
      </c>
      <c r="J943" s="84">
        <v>2</v>
      </c>
      <c r="L943" s="84">
        <v>0</v>
      </c>
      <c r="M943" s="85">
        <v>43606</v>
      </c>
      <c r="N943" s="85" t="s">
        <v>265</v>
      </c>
      <c r="O943" s="86" t="s">
        <v>340</v>
      </c>
      <c r="P943" s="84" t="s">
        <v>6</v>
      </c>
      <c r="Q943" s="86" t="s">
        <v>139</v>
      </c>
      <c r="R943" s="86" t="s">
        <v>2822</v>
      </c>
      <c r="S943" s="87" t="s">
        <v>1739</v>
      </c>
      <c r="T943" s="87" t="s">
        <v>2823</v>
      </c>
      <c r="U943" s="88">
        <v>35000</v>
      </c>
      <c r="V943" s="88">
        <v>37800</v>
      </c>
      <c r="W943" s="88">
        <v>35000</v>
      </c>
      <c r="X943" s="88">
        <v>37800</v>
      </c>
      <c r="Z943" s="88">
        <v>0</v>
      </c>
      <c r="AA943" s="85">
        <v>43614</v>
      </c>
      <c r="AB943" s="85">
        <v>43614</v>
      </c>
      <c r="AD943" s="84">
        <v>0</v>
      </c>
      <c r="AG943" s="84">
        <v>0</v>
      </c>
      <c r="AJ943" s="84">
        <v>0</v>
      </c>
      <c r="AN943" s="84" t="s">
        <v>338</v>
      </c>
      <c r="AR943" s="85">
        <v>43613</v>
      </c>
      <c r="AS943" s="84">
        <v>6001678279</v>
      </c>
      <c r="AT943" s="85">
        <v>43614</v>
      </c>
      <c r="AU943" s="84" t="s">
        <v>2774</v>
      </c>
      <c r="AV943" s="85">
        <v>43626</v>
      </c>
      <c r="AW943" s="123">
        <v>43646</v>
      </c>
      <c r="AX943" s="123">
        <v>43666</v>
      </c>
      <c r="AY943" s="132">
        <v>33600</v>
      </c>
      <c r="AZ943" s="132">
        <f>ROUNDDOWN(AY943+(AY943*MASTER!$A$2/100),0)</f>
        <v>36288</v>
      </c>
      <c r="BA943" s="84" t="s">
        <v>287</v>
      </c>
      <c r="BB943" s="88">
        <v>21000</v>
      </c>
      <c r="BC943" s="88">
        <v>22680</v>
      </c>
      <c r="BD943" s="84" t="s">
        <v>2466</v>
      </c>
      <c r="BG943" s="88">
        <v>0</v>
      </c>
      <c r="BK943" s="88">
        <v>0</v>
      </c>
      <c r="BS943" s="88">
        <v>0</v>
      </c>
      <c r="BV943" s="89">
        <v>37800</v>
      </c>
      <c r="BW943" s="89">
        <v>22680</v>
      </c>
      <c r="BX943" s="89">
        <v>43606</v>
      </c>
      <c r="BY943" s="89">
        <v>15120</v>
      </c>
      <c r="BZ943" s="112">
        <v>40</v>
      </c>
      <c r="CK943" s="88">
        <v>0</v>
      </c>
    </row>
    <row r="944" spans="1:89" x14ac:dyDescent="0.15">
      <c r="A944" s="84">
        <v>2</v>
      </c>
      <c r="C944" s="85" t="s">
        <v>338</v>
      </c>
      <c r="F944" s="85" t="s">
        <v>338</v>
      </c>
      <c r="H944" s="85" t="s">
        <v>338</v>
      </c>
      <c r="I944" s="84" t="s">
        <v>569</v>
      </c>
      <c r="J944" s="84">
        <v>4</v>
      </c>
      <c r="L944" s="84">
        <v>0</v>
      </c>
      <c r="M944" s="85">
        <v>43606</v>
      </c>
      <c r="N944" s="85" t="s">
        <v>265</v>
      </c>
      <c r="O944" s="86" t="s">
        <v>340</v>
      </c>
      <c r="P944" s="84" t="s">
        <v>272</v>
      </c>
      <c r="Q944" s="86" t="s">
        <v>139</v>
      </c>
      <c r="R944" s="86" t="s">
        <v>2824</v>
      </c>
      <c r="S944" s="87" t="s">
        <v>351</v>
      </c>
      <c r="T944" s="87" t="s">
        <v>2825</v>
      </c>
      <c r="U944" s="88">
        <v>0</v>
      </c>
      <c r="V944" s="88">
        <v>0</v>
      </c>
      <c r="W944" s="88">
        <v>0</v>
      </c>
      <c r="X944" s="88">
        <v>0</v>
      </c>
      <c r="Y944" s="88">
        <v>0</v>
      </c>
      <c r="Z944" s="88">
        <v>0</v>
      </c>
      <c r="AA944" s="85">
        <v>43576</v>
      </c>
      <c r="AB944" s="85">
        <v>43605</v>
      </c>
      <c r="AD944" s="84">
        <v>0</v>
      </c>
      <c r="AG944" s="84">
        <v>0</v>
      </c>
      <c r="AJ944" s="84">
        <v>0</v>
      </c>
      <c r="AN944" s="84" t="s">
        <v>338</v>
      </c>
      <c r="AY944" s="132">
        <v>0</v>
      </c>
      <c r="AZ944" s="132">
        <f>ROUNDDOWN(AY944+(AY944*MASTER!$A$2/100),0)</f>
        <v>0</v>
      </c>
      <c r="BA944" s="84" t="s">
        <v>1045</v>
      </c>
      <c r="BB944" s="88">
        <v>560000</v>
      </c>
      <c r="BC944" s="88">
        <v>604800</v>
      </c>
      <c r="BD944" s="84" t="s">
        <v>2197</v>
      </c>
      <c r="BG944" s="88">
        <v>0</v>
      </c>
      <c r="BK944" s="88">
        <v>0</v>
      </c>
      <c r="BS944" s="88">
        <v>0</v>
      </c>
      <c r="BV944" s="89">
        <v>0</v>
      </c>
      <c r="BW944" s="89">
        <v>604800</v>
      </c>
      <c r="BX944" s="89">
        <v>43606</v>
      </c>
      <c r="BY944" s="89">
        <v>-604800</v>
      </c>
      <c r="BZ944" s="112" t="s">
        <v>338</v>
      </c>
    </row>
    <row r="945" spans="1:89" x14ac:dyDescent="0.15">
      <c r="A945" s="84">
        <v>2</v>
      </c>
      <c r="C945" s="85" t="s">
        <v>338</v>
      </c>
      <c r="F945" s="85">
        <v>43606</v>
      </c>
      <c r="H945" s="85">
        <v>43602</v>
      </c>
      <c r="J945" s="84">
        <v>4</v>
      </c>
      <c r="L945" s="84">
        <v>0</v>
      </c>
      <c r="M945" s="85">
        <v>43606</v>
      </c>
      <c r="N945" s="85" t="s">
        <v>345</v>
      </c>
      <c r="O945" s="86" t="s">
        <v>343</v>
      </c>
      <c r="P945" s="84" t="s">
        <v>488</v>
      </c>
      <c r="Q945" s="86" t="s">
        <v>2751</v>
      </c>
      <c r="R945" s="86" t="s">
        <v>2826</v>
      </c>
      <c r="S945" s="87" t="s">
        <v>2827</v>
      </c>
      <c r="T945" s="87" t="s">
        <v>2828</v>
      </c>
      <c r="U945" s="88">
        <v>0</v>
      </c>
      <c r="V945" s="88">
        <v>0</v>
      </c>
      <c r="W945" s="88">
        <v>0</v>
      </c>
      <c r="X945" s="88">
        <v>0</v>
      </c>
      <c r="Y945" s="88">
        <v>0</v>
      </c>
      <c r="Z945" s="88">
        <v>0</v>
      </c>
      <c r="AA945" s="85">
        <v>43598</v>
      </c>
      <c r="AB945" s="85">
        <v>43599</v>
      </c>
      <c r="AC945" s="85">
        <v>43599</v>
      </c>
      <c r="AD945" s="84">
        <v>0</v>
      </c>
      <c r="AG945" s="84">
        <v>0</v>
      </c>
      <c r="AJ945" s="84">
        <v>0</v>
      </c>
      <c r="AN945" s="84" t="s">
        <v>338</v>
      </c>
      <c r="AY945" s="132">
        <f>ROUNDDOWN((0.96*U945),0)</f>
        <v>0</v>
      </c>
      <c r="AZ945" s="132">
        <f>ROUNDDOWN(AY945+(AY945*MASTER!$A$2/100),0)</f>
        <v>0</v>
      </c>
      <c r="BA945" s="84" t="s">
        <v>985</v>
      </c>
      <c r="BB945" s="88">
        <v>28000</v>
      </c>
      <c r="BC945" s="88">
        <v>30240</v>
      </c>
      <c r="BD945" s="84" t="s">
        <v>1645</v>
      </c>
      <c r="BG945" s="88">
        <v>0</v>
      </c>
      <c r="BK945" s="88">
        <v>0</v>
      </c>
      <c r="BS945" s="88">
        <v>0</v>
      </c>
      <c r="BV945" s="89">
        <v>0</v>
      </c>
      <c r="BW945" s="89">
        <v>30240</v>
      </c>
      <c r="BX945" s="89">
        <v>43606</v>
      </c>
      <c r="BY945" s="89">
        <v>-30240</v>
      </c>
      <c r="BZ945" s="112" t="s">
        <v>338</v>
      </c>
    </row>
    <row r="946" spans="1:89" x14ac:dyDescent="0.15">
      <c r="A946" s="84">
        <v>2</v>
      </c>
      <c r="B946" s="85">
        <v>43633</v>
      </c>
      <c r="C946" s="85">
        <v>43643</v>
      </c>
      <c r="D946" s="85">
        <v>43676</v>
      </c>
      <c r="E946" s="85">
        <v>43649</v>
      </c>
      <c r="F946" s="85">
        <v>43650</v>
      </c>
      <c r="G946" s="85">
        <v>43643</v>
      </c>
      <c r="H946" s="85">
        <v>43646</v>
      </c>
      <c r="I946" s="84" t="s">
        <v>401</v>
      </c>
      <c r="J946" s="84">
        <v>1</v>
      </c>
      <c r="L946" s="84">
        <v>0</v>
      </c>
      <c r="M946" s="85">
        <v>43608</v>
      </c>
      <c r="N946" s="85" t="s">
        <v>265</v>
      </c>
      <c r="O946" s="86" t="s">
        <v>340</v>
      </c>
      <c r="P946" s="84" t="s">
        <v>26</v>
      </c>
      <c r="Q946" s="86" t="s">
        <v>139</v>
      </c>
      <c r="R946" s="86" t="s">
        <v>2829</v>
      </c>
      <c r="S946" s="87" t="s">
        <v>1154</v>
      </c>
      <c r="T946" s="87" t="s">
        <v>2830</v>
      </c>
      <c r="U946" s="88">
        <v>163700</v>
      </c>
      <c r="V946" s="88">
        <v>176796</v>
      </c>
      <c r="W946" s="88">
        <v>94000</v>
      </c>
      <c r="X946" s="88">
        <v>101520</v>
      </c>
      <c r="Y946" s="88">
        <v>69700</v>
      </c>
      <c r="Z946" s="88">
        <v>75276</v>
      </c>
      <c r="AA946" s="85">
        <v>43641</v>
      </c>
      <c r="AB946" s="85">
        <v>43643</v>
      </c>
      <c r="AC946" s="85">
        <v>43643</v>
      </c>
      <c r="AD946" s="84">
        <v>0</v>
      </c>
      <c r="AG946" s="84">
        <v>0</v>
      </c>
      <c r="AJ946" s="84">
        <v>0</v>
      </c>
      <c r="AM946" s="84" t="s">
        <v>290</v>
      </c>
      <c r="AN946" s="84" t="s">
        <v>2831</v>
      </c>
      <c r="AR946" s="85">
        <v>43627</v>
      </c>
      <c r="AS946" s="84">
        <v>6001682585</v>
      </c>
      <c r="AT946" s="85">
        <v>43627</v>
      </c>
      <c r="AU946" s="84" t="s">
        <v>2832</v>
      </c>
      <c r="AV946" s="85">
        <v>43643</v>
      </c>
      <c r="AW946" s="123">
        <v>43646</v>
      </c>
      <c r="AX946" s="123">
        <v>43666</v>
      </c>
      <c r="AY946" s="132">
        <v>157152</v>
      </c>
      <c r="AZ946" s="132">
        <f>ROUNDDOWN(AY946+(AY946*MASTER!$A$2/100),0)</f>
        <v>169724</v>
      </c>
      <c r="BA946" s="84" t="s">
        <v>543</v>
      </c>
      <c r="BB946" s="88">
        <v>43000</v>
      </c>
      <c r="BC946" s="88">
        <v>46440</v>
      </c>
      <c r="BD946" s="84" t="s">
        <v>2637</v>
      </c>
      <c r="BG946" s="88">
        <v>0</v>
      </c>
      <c r="BI946" s="84" t="s">
        <v>434</v>
      </c>
      <c r="BJ946" s="88">
        <v>45305</v>
      </c>
      <c r="BK946" s="88">
        <v>48929.4</v>
      </c>
      <c r="BL946" s="84" t="s">
        <v>2637</v>
      </c>
      <c r="BS946" s="88">
        <v>0</v>
      </c>
      <c r="BV946" s="89">
        <v>101520</v>
      </c>
      <c r="BW946" s="89">
        <v>95369.4</v>
      </c>
      <c r="BX946" s="89">
        <v>43608</v>
      </c>
      <c r="BY946" s="89">
        <v>6150.6</v>
      </c>
      <c r="BZ946" s="112">
        <v>6.0585106382978777</v>
      </c>
      <c r="CK946" s="88">
        <v>0</v>
      </c>
    </row>
    <row r="947" spans="1:89" x14ac:dyDescent="0.15">
      <c r="A947" s="84">
        <v>2</v>
      </c>
      <c r="B947" s="85">
        <v>43647</v>
      </c>
      <c r="C947" s="85">
        <v>43656</v>
      </c>
      <c r="D947" s="85" t="s">
        <v>374</v>
      </c>
      <c r="E947" s="85">
        <v>43658</v>
      </c>
      <c r="F947" s="85">
        <v>43663</v>
      </c>
      <c r="G947" s="85">
        <v>43658</v>
      </c>
      <c r="H947" s="85">
        <v>43659</v>
      </c>
      <c r="I947" s="84" t="s">
        <v>1191</v>
      </c>
      <c r="J947" s="84">
        <v>1</v>
      </c>
      <c r="L947" s="84">
        <v>0</v>
      </c>
      <c r="M947" s="85">
        <v>43608</v>
      </c>
      <c r="N947" s="85" t="s">
        <v>265</v>
      </c>
      <c r="O947" s="86" t="s">
        <v>340</v>
      </c>
      <c r="P947" s="84" t="s">
        <v>26</v>
      </c>
      <c r="Q947" s="86" t="s">
        <v>139</v>
      </c>
      <c r="R947" s="86" t="s">
        <v>2833</v>
      </c>
      <c r="S947" s="87" t="s">
        <v>1731</v>
      </c>
      <c r="T947" s="87" t="s">
        <v>721</v>
      </c>
      <c r="U947" s="88">
        <v>23900</v>
      </c>
      <c r="V947" s="88">
        <v>25812</v>
      </c>
      <c r="W947" s="88">
        <v>14700</v>
      </c>
      <c r="X947" s="88">
        <v>15876</v>
      </c>
      <c r="Y947" s="88">
        <v>9200</v>
      </c>
      <c r="Z947" s="88">
        <v>9936</v>
      </c>
      <c r="AA947" s="85">
        <v>43654</v>
      </c>
      <c r="AB947" s="85">
        <v>43656</v>
      </c>
      <c r="AC947" s="85">
        <v>43656</v>
      </c>
      <c r="AD947" s="84">
        <v>0</v>
      </c>
      <c r="AG947" s="84">
        <v>0</v>
      </c>
      <c r="AJ947" s="84">
        <v>0</v>
      </c>
      <c r="AM947" s="84" t="s">
        <v>290</v>
      </c>
      <c r="AN947" s="84" t="s">
        <v>2834</v>
      </c>
      <c r="AR947" s="85">
        <v>43623</v>
      </c>
      <c r="AS947" s="84">
        <v>6001681636</v>
      </c>
      <c r="AT947" s="85">
        <v>43623</v>
      </c>
      <c r="AU947" s="84" t="s">
        <v>2805</v>
      </c>
      <c r="AV947" s="85">
        <v>43656</v>
      </c>
      <c r="AW947" s="123">
        <v>43677</v>
      </c>
      <c r="AX947" s="123">
        <v>43697</v>
      </c>
      <c r="AY947" s="132">
        <v>22944</v>
      </c>
      <c r="AZ947" s="132">
        <v>24780</v>
      </c>
      <c r="BA947" s="84" t="s">
        <v>778</v>
      </c>
      <c r="BC947" s="88">
        <v>0</v>
      </c>
      <c r="BG947" s="88">
        <v>0</v>
      </c>
      <c r="BI947" s="84" t="s">
        <v>276</v>
      </c>
      <c r="BJ947" s="88">
        <v>5980</v>
      </c>
      <c r="BK947" s="88">
        <v>6458.4</v>
      </c>
      <c r="BL947" s="84" t="s">
        <v>2660</v>
      </c>
      <c r="BS947" s="88">
        <v>0</v>
      </c>
      <c r="BV947" s="89">
        <v>15876</v>
      </c>
      <c r="BW947" s="89">
        <v>6458.4</v>
      </c>
      <c r="BX947" s="89">
        <v>43608</v>
      </c>
      <c r="BY947" s="89">
        <v>9417.6</v>
      </c>
      <c r="BZ947" s="112">
        <v>59.319727891156461</v>
      </c>
      <c r="CK947" s="88">
        <v>0</v>
      </c>
    </row>
    <row r="948" spans="1:89" x14ac:dyDescent="0.15">
      <c r="A948" s="84">
        <v>2</v>
      </c>
      <c r="C948" s="85" t="s">
        <v>338</v>
      </c>
      <c r="F948" s="85" t="s">
        <v>338</v>
      </c>
      <c r="H948" s="85" t="s">
        <v>338</v>
      </c>
      <c r="I948" s="84" t="s">
        <v>569</v>
      </c>
      <c r="J948" s="84">
        <v>4</v>
      </c>
      <c r="L948" s="84">
        <v>0</v>
      </c>
      <c r="M948" s="85">
        <v>43610</v>
      </c>
      <c r="N948" s="85" t="s">
        <v>265</v>
      </c>
      <c r="O948" s="86" t="s">
        <v>340</v>
      </c>
      <c r="P948" s="84" t="s">
        <v>78</v>
      </c>
      <c r="Q948" s="86" t="s">
        <v>139</v>
      </c>
      <c r="R948" s="86" t="s">
        <v>2835</v>
      </c>
      <c r="S948" s="87" t="s">
        <v>562</v>
      </c>
      <c r="T948" s="87" t="s">
        <v>2836</v>
      </c>
      <c r="U948" s="88">
        <v>0</v>
      </c>
      <c r="V948" s="88">
        <v>0</v>
      </c>
      <c r="W948" s="88">
        <v>0</v>
      </c>
      <c r="X948" s="88">
        <v>0</v>
      </c>
      <c r="Y948" s="88">
        <v>0</v>
      </c>
      <c r="Z948" s="88">
        <v>0</v>
      </c>
      <c r="AA948" s="85">
        <v>43576</v>
      </c>
      <c r="AB948" s="85">
        <v>43605</v>
      </c>
      <c r="AD948" s="84">
        <v>0</v>
      </c>
      <c r="AG948" s="84">
        <v>0</v>
      </c>
      <c r="AJ948" s="84">
        <v>0</v>
      </c>
      <c r="AN948" s="84" t="s">
        <v>338</v>
      </c>
      <c r="AY948" s="132">
        <v>0</v>
      </c>
      <c r="AZ948" s="132">
        <f>ROUNDDOWN(AY948+(AY948*MASTER!$A$2/100),0)</f>
        <v>0</v>
      </c>
      <c r="BA948" s="84" t="s">
        <v>289</v>
      </c>
      <c r="BB948" s="88">
        <v>449223</v>
      </c>
      <c r="BC948" s="88">
        <v>485160.84</v>
      </c>
      <c r="BD948" s="84" t="s">
        <v>1645</v>
      </c>
      <c r="BG948" s="88">
        <v>0</v>
      </c>
      <c r="BK948" s="88">
        <v>0</v>
      </c>
      <c r="BS948" s="88">
        <v>0</v>
      </c>
      <c r="BV948" s="89">
        <v>0</v>
      </c>
      <c r="BW948" s="89">
        <v>485160.84</v>
      </c>
      <c r="BX948" s="89">
        <v>43610</v>
      </c>
      <c r="BY948" s="89">
        <v>-485160.84</v>
      </c>
      <c r="BZ948" s="112" t="s">
        <v>338</v>
      </c>
    </row>
    <row r="949" spans="1:89" x14ac:dyDescent="0.15">
      <c r="A949" s="84">
        <v>2</v>
      </c>
      <c r="B949" s="85">
        <v>43640</v>
      </c>
      <c r="C949" s="85">
        <v>43651</v>
      </c>
      <c r="E949" s="85">
        <v>43655</v>
      </c>
      <c r="F949" s="85">
        <v>43658</v>
      </c>
      <c r="G949" s="85">
        <v>43651</v>
      </c>
      <c r="H949" s="85">
        <v>43654</v>
      </c>
      <c r="I949" s="84" t="s">
        <v>401</v>
      </c>
      <c r="J949" s="84">
        <v>1</v>
      </c>
      <c r="L949" s="84">
        <v>0</v>
      </c>
      <c r="M949" s="85">
        <v>43612</v>
      </c>
      <c r="N949" s="85" t="s">
        <v>265</v>
      </c>
      <c r="O949" s="86" t="s">
        <v>340</v>
      </c>
      <c r="P949" s="84" t="s">
        <v>26</v>
      </c>
      <c r="Q949" s="86" t="s">
        <v>139</v>
      </c>
      <c r="R949" s="86" t="s">
        <v>2837</v>
      </c>
      <c r="S949" s="87" t="s">
        <v>2199</v>
      </c>
      <c r="T949" s="87" t="s">
        <v>1943</v>
      </c>
      <c r="U949" s="88">
        <v>166500</v>
      </c>
      <c r="V949" s="88">
        <v>179820</v>
      </c>
      <c r="W949" s="88">
        <v>78000</v>
      </c>
      <c r="X949" s="88">
        <v>84240</v>
      </c>
      <c r="Y949" s="88">
        <v>88500</v>
      </c>
      <c r="Z949" s="88">
        <v>95580</v>
      </c>
      <c r="AA949" s="85">
        <v>43650</v>
      </c>
      <c r="AB949" s="85">
        <v>43651</v>
      </c>
      <c r="AC949" s="85">
        <v>43651</v>
      </c>
      <c r="AD949" s="84">
        <v>0</v>
      </c>
      <c r="AG949" s="84">
        <v>0</v>
      </c>
      <c r="AJ949" s="84">
        <v>0</v>
      </c>
      <c r="AM949" s="84" t="s">
        <v>290</v>
      </c>
      <c r="AN949" s="84" t="s">
        <v>1577</v>
      </c>
      <c r="AR949" s="85">
        <v>43630</v>
      </c>
      <c r="AS949" s="84">
        <v>6001683768</v>
      </c>
      <c r="AT949" s="85">
        <v>43630</v>
      </c>
      <c r="AU949" s="84" t="s">
        <v>2838</v>
      </c>
      <c r="AV949" s="85">
        <v>43651</v>
      </c>
      <c r="AW949" s="123">
        <v>43677</v>
      </c>
      <c r="AX949" s="123">
        <v>43697</v>
      </c>
      <c r="AY949" s="132">
        <v>159840</v>
      </c>
      <c r="AZ949" s="132">
        <f>ROUNDDOWN(AY949+(AY949*MASTER!$A$2/100),0)</f>
        <v>172627</v>
      </c>
      <c r="BA949" s="84" t="s">
        <v>745</v>
      </c>
      <c r="BB949" s="88">
        <v>30000</v>
      </c>
      <c r="BC949" s="88">
        <v>32400</v>
      </c>
      <c r="BD949" s="84" t="s">
        <v>2637</v>
      </c>
      <c r="BG949" s="88">
        <v>0</v>
      </c>
      <c r="BI949" s="84" t="s">
        <v>276</v>
      </c>
      <c r="BJ949" s="88">
        <v>57525</v>
      </c>
      <c r="BK949" s="88">
        <v>62127</v>
      </c>
      <c r="BL949" s="84" t="s">
        <v>2660</v>
      </c>
      <c r="BS949" s="88">
        <v>0</v>
      </c>
      <c r="BV949" s="89">
        <v>84240</v>
      </c>
      <c r="BW949" s="89">
        <v>94527</v>
      </c>
      <c r="BX949" s="89">
        <v>43612</v>
      </c>
      <c r="BY949" s="89">
        <v>-10287</v>
      </c>
      <c r="BZ949" s="112">
        <v>-12.211538461538462</v>
      </c>
      <c r="CK949" s="88">
        <v>0</v>
      </c>
    </row>
    <row r="950" spans="1:89" x14ac:dyDescent="0.15">
      <c r="A950" s="84">
        <v>2</v>
      </c>
      <c r="B950" s="85">
        <v>43647</v>
      </c>
      <c r="C950" s="85">
        <v>43657</v>
      </c>
      <c r="E950" s="85">
        <v>43662</v>
      </c>
      <c r="F950" s="85">
        <v>43664</v>
      </c>
      <c r="G950" s="85">
        <v>43657</v>
      </c>
      <c r="H950" s="85">
        <v>43660</v>
      </c>
      <c r="I950" s="84" t="s">
        <v>401</v>
      </c>
      <c r="J950" s="84">
        <v>1</v>
      </c>
      <c r="L950" s="84" t="s">
        <v>584</v>
      </c>
      <c r="M950" s="85">
        <v>43612</v>
      </c>
      <c r="N950" s="85" t="s">
        <v>265</v>
      </c>
      <c r="O950" s="86" t="s">
        <v>340</v>
      </c>
      <c r="P950" s="84" t="s">
        <v>26</v>
      </c>
      <c r="Q950" s="86" t="s">
        <v>139</v>
      </c>
      <c r="R950" s="86" t="s">
        <v>2839</v>
      </c>
      <c r="S950" s="87" t="s">
        <v>2734</v>
      </c>
      <c r="T950" s="87" t="s">
        <v>2840</v>
      </c>
      <c r="U950" s="88">
        <v>57200</v>
      </c>
      <c r="V950" s="88">
        <v>61776</v>
      </c>
      <c r="W950" s="88">
        <v>39000</v>
      </c>
      <c r="X950" s="88">
        <v>42120</v>
      </c>
      <c r="Y950" s="88">
        <v>18200</v>
      </c>
      <c r="Z950" s="88">
        <v>19656</v>
      </c>
      <c r="AA950" s="85">
        <v>43655</v>
      </c>
      <c r="AB950" s="85">
        <v>43657</v>
      </c>
      <c r="AC950" s="85">
        <v>43657</v>
      </c>
      <c r="AD950" s="84">
        <v>0</v>
      </c>
      <c r="AG950" s="84">
        <v>0</v>
      </c>
      <c r="AJ950" s="84">
        <v>0</v>
      </c>
      <c r="AM950" s="84" t="s">
        <v>290</v>
      </c>
      <c r="AN950" s="84" t="s">
        <v>2841</v>
      </c>
      <c r="AR950" s="85">
        <v>43640</v>
      </c>
      <c r="AS950" s="84">
        <v>6001687099</v>
      </c>
      <c r="AT950" s="85">
        <v>43641</v>
      </c>
      <c r="AU950" s="84" t="s">
        <v>2842</v>
      </c>
      <c r="AV950" s="85">
        <v>43657</v>
      </c>
      <c r="AW950" s="123">
        <v>43677</v>
      </c>
      <c r="AX950" s="123">
        <v>43697</v>
      </c>
      <c r="AY950" s="132">
        <v>54912</v>
      </c>
      <c r="AZ950" s="132">
        <v>59305</v>
      </c>
      <c r="BA950" s="84" t="s">
        <v>778</v>
      </c>
      <c r="BC950" s="88">
        <v>0</v>
      </c>
      <c r="BG950" s="88">
        <v>0</v>
      </c>
      <c r="BI950" s="84" t="s">
        <v>276</v>
      </c>
      <c r="BJ950" s="88">
        <v>11830</v>
      </c>
      <c r="BK950" s="88">
        <v>12776.4</v>
      </c>
      <c r="BL950" s="84" t="s">
        <v>2660</v>
      </c>
      <c r="BS950" s="88">
        <v>0</v>
      </c>
      <c r="BV950" s="89">
        <v>42120</v>
      </c>
      <c r="BW950" s="89">
        <v>12776.4</v>
      </c>
      <c r="BX950" s="89">
        <v>43612</v>
      </c>
      <c r="BY950" s="89">
        <v>29343.599999999999</v>
      </c>
      <c r="BZ950" s="112">
        <v>69.666666666666671</v>
      </c>
      <c r="CK950" s="88">
        <v>0</v>
      </c>
    </row>
    <row r="951" spans="1:89" x14ac:dyDescent="0.15">
      <c r="A951" s="84">
        <v>2</v>
      </c>
      <c r="B951" s="85">
        <v>43633</v>
      </c>
      <c r="C951" s="85">
        <v>43644</v>
      </c>
      <c r="D951" s="85">
        <v>43679</v>
      </c>
      <c r="E951" s="85">
        <v>43649</v>
      </c>
      <c r="F951" s="85">
        <v>43651</v>
      </c>
      <c r="G951" s="85">
        <v>43647</v>
      </c>
      <c r="H951" s="85">
        <v>43647</v>
      </c>
      <c r="I951" s="84" t="s">
        <v>401</v>
      </c>
      <c r="J951" s="84">
        <v>1</v>
      </c>
      <c r="K951" s="85">
        <v>43622</v>
      </c>
      <c r="L951" s="84" t="s">
        <v>818</v>
      </c>
      <c r="M951" s="85">
        <v>43612</v>
      </c>
      <c r="N951" s="85" t="s">
        <v>265</v>
      </c>
      <c r="O951" s="86" t="s">
        <v>340</v>
      </c>
      <c r="P951" s="84" t="s">
        <v>26</v>
      </c>
      <c r="Q951" s="86" t="s">
        <v>139</v>
      </c>
      <c r="R951" s="86" t="s">
        <v>2843</v>
      </c>
      <c r="S951" s="87" t="s">
        <v>898</v>
      </c>
      <c r="T951" s="87" t="s">
        <v>636</v>
      </c>
      <c r="U951" s="88">
        <v>50000</v>
      </c>
      <c r="V951" s="88">
        <v>54000</v>
      </c>
      <c r="W951" s="88">
        <v>47000</v>
      </c>
      <c r="X951" s="88">
        <v>50760</v>
      </c>
      <c r="Y951" s="88">
        <v>3000</v>
      </c>
      <c r="Z951" s="88">
        <v>3240</v>
      </c>
      <c r="AA951" s="85">
        <v>43643</v>
      </c>
      <c r="AB951" s="85">
        <v>43644</v>
      </c>
      <c r="AC951" s="85">
        <v>43644</v>
      </c>
      <c r="AD951" s="84">
        <v>0</v>
      </c>
      <c r="AG951" s="84">
        <v>0</v>
      </c>
      <c r="AJ951" s="84">
        <v>0</v>
      </c>
      <c r="AM951" s="84" t="s">
        <v>290</v>
      </c>
      <c r="AN951" s="84" t="s">
        <v>2844</v>
      </c>
      <c r="AR951" s="85">
        <v>43628</v>
      </c>
      <c r="AS951" s="84">
        <v>6001682970</v>
      </c>
      <c r="AT951" s="85">
        <v>43629</v>
      </c>
      <c r="AU951" s="84" t="s">
        <v>2845</v>
      </c>
      <c r="AV951" s="85">
        <v>43644</v>
      </c>
      <c r="AW951" s="123">
        <v>43646</v>
      </c>
      <c r="AX951" s="123">
        <v>43666</v>
      </c>
      <c r="AY951" s="132">
        <v>48000</v>
      </c>
      <c r="AZ951" s="132">
        <f>ROUNDDOWN(AY951+(AY951*MASTER!$A$2/100),0)</f>
        <v>51840</v>
      </c>
      <c r="BA951" s="84" t="s">
        <v>400</v>
      </c>
      <c r="BB951" s="88">
        <v>42000</v>
      </c>
      <c r="BC951" s="88">
        <v>45360</v>
      </c>
      <c r="BD951" s="84" t="s">
        <v>2637</v>
      </c>
      <c r="BG951" s="88">
        <v>0</v>
      </c>
      <c r="BI951" s="84" t="s">
        <v>434</v>
      </c>
      <c r="BJ951" s="88">
        <v>1950</v>
      </c>
      <c r="BK951" s="88">
        <v>2106</v>
      </c>
      <c r="BL951" s="84" t="s">
        <v>2637</v>
      </c>
      <c r="BS951" s="88">
        <v>0</v>
      </c>
      <c r="BV951" s="89">
        <v>50760</v>
      </c>
      <c r="BW951" s="89">
        <v>47466</v>
      </c>
      <c r="BX951" s="89">
        <v>0</v>
      </c>
      <c r="BY951" s="89">
        <v>43622</v>
      </c>
      <c r="BZ951" s="112">
        <v>6.4893617021276588</v>
      </c>
      <c r="CK951" s="88">
        <v>0</v>
      </c>
    </row>
    <row r="952" spans="1:89" x14ac:dyDescent="0.15">
      <c r="A952" s="84">
        <v>2</v>
      </c>
      <c r="B952" s="85">
        <v>43662</v>
      </c>
      <c r="C952" s="85">
        <v>43672</v>
      </c>
      <c r="D952" s="85">
        <v>43712</v>
      </c>
      <c r="E952" s="85">
        <v>43676</v>
      </c>
      <c r="F952" s="85">
        <v>43679</v>
      </c>
      <c r="G952" s="85">
        <v>43675</v>
      </c>
      <c r="H952" s="85">
        <v>43675</v>
      </c>
      <c r="I952" s="84" t="s">
        <v>401</v>
      </c>
      <c r="J952" s="84">
        <v>2</v>
      </c>
      <c r="L952" s="84">
        <v>0</v>
      </c>
      <c r="M952" s="85">
        <v>43612</v>
      </c>
      <c r="N952" s="85" t="s">
        <v>265</v>
      </c>
      <c r="O952" s="86" t="s">
        <v>340</v>
      </c>
      <c r="P952" s="84" t="s">
        <v>26</v>
      </c>
      <c r="Q952" s="86" t="s">
        <v>139</v>
      </c>
      <c r="R952" s="86" t="s">
        <v>2846</v>
      </c>
      <c r="S952" s="87" t="s">
        <v>898</v>
      </c>
      <c r="T952" s="87" t="s">
        <v>1573</v>
      </c>
      <c r="U952" s="88">
        <v>86000</v>
      </c>
      <c r="V952" s="88">
        <v>92880</v>
      </c>
      <c r="W952" s="88">
        <v>86000</v>
      </c>
      <c r="X952" s="88">
        <v>92880</v>
      </c>
      <c r="Z952" s="88">
        <v>0</v>
      </c>
      <c r="AA952" s="85">
        <v>43670</v>
      </c>
      <c r="AB952" s="85">
        <v>43672</v>
      </c>
      <c r="AC952" s="85">
        <v>43672</v>
      </c>
      <c r="AD952" s="84">
        <v>0</v>
      </c>
      <c r="AG952" s="84">
        <v>0</v>
      </c>
      <c r="AJ952" s="84">
        <v>0</v>
      </c>
      <c r="AM952" s="84" t="s">
        <v>290</v>
      </c>
      <c r="AN952" s="84" t="s">
        <v>2847</v>
      </c>
      <c r="AR952" s="85">
        <v>43650</v>
      </c>
      <c r="AS952" s="84">
        <v>6001690452</v>
      </c>
      <c r="AT952" s="85">
        <v>43650</v>
      </c>
      <c r="AU952" s="84" t="s">
        <v>2848</v>
      </c>
      <c r="AV952" s="85">
        <v>43672</v>
      </c>
      <c r="AW952" s="123">
        <v>43677</v>
      </c>
      <c r="AX952" s="123">
        <v>43697</v>
      </c>
      <c r="AY952" s="132">
        <v>82560</v>
      </c>
      <c r="AZ952" s="132">
        <v>89165</v>
      </c>
      <c r="BA952" s="84" t="s">
        <v>400</v>
      </c>
      <c r="BB952" s="88">
        <v>64400</v>
      </c>
      <c r="BC952" s="88">
        <v>69552</v>
      </c>
      <c r="BD952" s="84" t="s">
        <v>2849</v>
      </c>
      <c r="BG952" s="88">
        <v>0</v>
      </c>
      <c r="BK952" s="88">
        <v>0</v>
      </c>
      <c r="BS952" s="88">
        <v>0</v>
      </c>
      <c r="BV952" s="89">
        <v>92880</v>
      </c>
      <c r="BW952" s="89">
        <v>69552</v>
      </c>
      <c r="BX952" s="89">
        <v>43612</v>
      </c>
      <c r="BY952" s="89">
        <v>23328</v>
      </c>
      <c r="BZ952" s="112">
        <v>25.116279069767444</v>
      </c>
      <c r="CK952" s="88">
        <v>0</v>
      </c>
    </row>
    <row r="953" spans="1:89" s="151" customFormat="1" x14ac:dyDescent="0.15">
      <c r="A953" s="141">
        <v>3</v>
      </c>
      <c r="B953" s="142"/>
      <c r="C953" s="142" t="s">
        <v>338</v>
      </c>
      <c r="D953" s="142"/>
      <c r="E953" s="142"/>
      <c r="F953" s="142" t="s">
        <v>338</v>
      </c>
      <c r="G953" s="142"/>
      <c r="H953" s="142" t="s">
        <v>338</v>
      </c>
      <c r="I953" s="141"/>
      <c r="J953" s="141">
        <v>1</v>
      </c>
      <c r="K953" s="142"/>
      <c r="L953" s="141">
        <v>0</v>
      </c>
      <c r="M953" s="142">
        <v>43612</v>
      </c>
      <c r="N953" s="142" t="s">
        <v>265</v>
      </c>
      <c r="O953" s="143" t="s">
        <v>340</v>
      </c>
      <c r="P953" s="141" t="s">
        <v>26</v>
      </c>
      <c r="Q953" s="143" t="s">
        <v>139</v>
      </c>
      <c r="R953" s="143" t="s">
        <v>2850</v>
      </c>
      <c r="S953" s="144" t="s">
        <v>898</v>
      </c>
      <c r="T953" s="144" t="s">
        <v>2800</v>
      </c>
      <c r="U953" s="145">
        <v>59000</v>
      </c>
      <c r="V953" s="145">
        <v>63720</v>
      </c>
      <c r="W953" s="145">
        <v>47000</v>
      </c>
      <c r="X953" s="145">
        <v>50760</v>
      </c>
      <c r="Y953" s="145">
        <v>12000</v>
      </c>
      <c r="Z953" s="145">
        <v>12960</v>
      </c>
      <c r="AA953" s="142">
        <v>43627</v>
      </c>
      <c r="AB953" s="142">
        <v>43628</v>
      </c>
      <c r="AC953" s="142"/>
      <c r="AD953" s="141">
        <v>0</v>
      </c>
      <c r="AE953" s="141"/>
      <c r="AF953" s="141"/>
      <c r="AG953" s="141">
        <v>0</v>
      </c>
      <c r="AH953" s="141"/>
      <c r="AI953" s="141"/>
      <c r="AJ953" s="141">
        <v>0</v>
      </c>
      <c r="AK953" s="141"/>
      <c r="AL953" s="141"/>
      <c r="AM953" s="141" t="s">
        <v>290</v>
      </c>
      <c r="AN953" s="141" t="s">
        <v>2851</v>
      </c>
      <c r="AO953" s="142"/>
      <c r="AP953" s="141"/>
      <c r="AQ953" s="141"/>
      <c r="AR953" s="142"/>
      <c r="AS953" s="141"/>
      <c r="AT953" s="142"/>
      <c r="AU953" s="141"/>
      <c r="AV953" s="142"/>
      <c r="AW953" s="146"/>
      <c r="AX953" s="146"/>
      <c r="AY953" s="147">
        <v>56640</v>
      </c>
      <c r="AZ953" s="132">
        <f>ROUNDDOWN(AY953+(AY953*MASTER!$A$2/100),0)</f>
        <v>61171</v>
      </c>
      <c r="BA953" s="141"/>
      <c r="BB953" s="145"/>
      <c r="BC953" s="145">
        <v>0</v>
      </c>
      <c r="BD953" s="141"/>
      <c r="BE953" s="141"/>
      <c r="BF953" s="145"/>
      <c r="BG953" s="145">
        <v>0</v>
      </c>
      <c r="BH953" s="141"/>
      <c r="BI953" s="141"/>
      <c r="BJ953" s="145"/>
      <c r="BK953" s="145">
        <v>0</v>
      </c>
      <c r="BL953" s="141"/>
      <c r="BM953" s="145"/>
      <c r="BN953" s="145"/>
      <c r="BO953" s="145"/>
      <c r="BP953" s="145"/>
      <c r="BQ953" s="145"/>
      <c r="BR953" s="145"/>
      <c r="BS953" s="145">
        <v>0</v>
      </c>
      <c r="BT953" s="148"/>
      <c r="BU953" s="148"/>
      <c r="BV953" s="149">
        <v>50760</v>
      </c>
      <c r="BW953" s="149">
        <v>0</v>
      </c>
      <c r="BX953" s="149">
        <v>43612</v>
      </c>
      <c r="BY953" s="149">
        <v>50760</v>
      </c>
      <c r="BZ953" s="150">
        <v>100</v>
      </c>
      <c r="CA953" s="141"/>
      <c r="CB953" s="141"/>
      <c r="CC953" s="141"/>
      <c r="CD953" s="144" t="s">
        <v>2852</v>
      </c>
      <c r="CE953" s="142"/>
      <c r="CF953" s="142"/>
      <c r="CG953" s="142"/>
      <c r="CH953" s="142"/>
      <c r="CI953" s="142"/>
      <c r="CJ953" s="142"/>
      <c r="CK953" s="145">
        <v>0</v>
      </c>
    </row>
    <row r="954" spans="1:89" x14ac:dyDescent="0.15">
      <c r="A954" s="84">
        <v>1</v>
      </c>
      <c r="B954" s="85">
        <v>43613</v>
      </c>
      <c r="C954" s="85">
        <v>43615</v>
      </c>
      <c r="F954" s="85" t="s">
        <v>338</v>
      </c>
      <c r="H954" s="85" t="s">
        <v>338</v>
      </c>
      <c r="J954" s="84">
        <v>2</v>
      </c>
      <c r="L954" s="84">
        <v>0</v>
      </c>
      <c r="M954" s="85">
        <v>43612</v>
      </c>
      <c r="N954" s="85" t="s">
        <v>265</v>
      </c>
      <c r="O954" s="86" t="s">
        <v>340</v>
      </c>
      <c r="P954" s="84" t="s">
        <v>78</v>
      </c>
      <c r="Q954" s="86" t="s">
        <v>139</v>
      </c>
      <c r="R954" s="86" t="s">
        <v>2853</v>
      </c>
      <c r="S954" s="87" t="s">
        <v>593</v>
      </c>
      <c r="T954" s="87" t="s">
        <v>726</v>
      </c>
      <c r="U954" s="88">
        <v>65000</v>
      </c>
      <c r="V954" s="88">
        <v>70200</v>
      </c>
      <c r="W954" s="88">
        <v>65000</v>
      </c>
      <c r="X954" s="88">
        <v>70200</v>
      </c>
      <c r="Z954" s="88">
        <v>0</v>
      </c>
      <c r="AA954" s="85">
        <v>43612</v>
      </c>
      <c r="AB954" s="85">
        <v>43613</v>
      </c>
      <c r="AD954" s="84">
        <v>0</v>
      </c>
      <c r="AG954" s="84">
        <v>0</v>
      </c>
      <c r="AJ954" s="84">
        <v>0</v>
      </c>
      <c r="AN954" s="84" t="s">
        <v>338</v>
      </c>
      <c r="AR954" s="85">
        <v>43612</v>
      </c>
      <c r="AS954" s="84">
        <v>6001678163</v>
      </c>
      <c r="AT954" s="85">
        <v>43613</v>
      </c>
      <c r="AU954" s="84" t="s">
        <v>2854</v>
      </c>
      <c r="AV954" s="85">
        <v>43615</v>
      </c>
      <c r="AW954" s="123">
        <v>43616</v>
      </c>
      <c r="AX954" s="123">
        <v>43636</v>
      </c>
      <c r="AY954" s="132">
        <f>ROUNDDOWN((0.96*U954),0)</f>
        <v>62400</v>
      </c>
      <c r="AZ954" s="132">
        <f>ROUNDDOWN(AY954+(AY954*MASTER!$A$2/100),0)</f>
        <v>67392</v>
      </c>
      <c r="BC954" s="88">
        <v>0</v>
      </c>
      <c r="BG954" s="88">
        <v>0</v>
      </c>
      <c r="BK954" s="88">
        <v>0</v>
      </c>
      <c r="BS954" s="88">
        <v>0</v>
      </c>
      <c r="BV954" s="89">
        <v>70200</v>
      </c>
      <c r="BW954" s="89">
        <v>0</v>
      </c>
      <c r="BX954" s="89">
        <v>43612</v>
      </c>
      <c r="BY954" s="89">
        <v>70200</v>
      </c>
      <c r="BZ954" s="112">
        <v>100</v>
      </c>
      <c r="CK954" s="88">
        <v>0</v>
      </c>
    </row>
    <row r="955" spans="1:89" x14ac:dyDescent="0.15">
      <c r="A955" s="84">
        <v>2</v>
      </c>
      <c r="B955" s="85">
        <v>43675</v>
      </c>
      <c r="C955" s="85">
        <v>43683</v>
      </c>
      <c r="D955" s="85" t="s">
        <v>374</v>
      </c>
      <c r="E955" s="85">
        <v>43686</v>
      </c>
      <c r="F955" s="85">
        <v>43690</v>
      </c>
      <c r="G955" s="85">
        <v>43685</v>
      </c>
      <c r="H955" s="85">
        <v>43686</v>
      </c>
      <c r="I955" s="84" t="s">
        <v>401</v>
      </c>
      <c r="J955" s="84">
        <v>1</v>
      </c>
      <c r="L955" s="84">
        <v>0</v>
      </c>
      <c r="M955" s="85">
        <v>43614</v>
      </c>
      <c r="N955" s="85" t="s">
        <v>265</v>
      </c>
      <c r="O955" s="86" t="s">
        <v>340</v>
      </c>
      <c r="P955" s="84" t="s">
        <v>26</v>
      </c>
      <c r="Q955" s="86" t="s">
        <v>139</v>
      </c>
      <c r="R955" s="86" t="s">
        <v>2855</v>
      </c>
      <c r="S955" s="87" t="s">
        <v>1320</v>
      </c>
      <c r="T955" s="87" t="s">
        <v>1089</v>
      </c>
      <c r="U955" s="88">
        <v>23900</v>
      </c>
      <c r="V955" s="88">
        <v>25812</v>
      </c>
      <c r="W955" s="88">
        <v>14700</v>
      </c>
      <c r="X955" s="88">
        <v>15876</v>
      </c>
      <c r="Y955" s="88">
        <v>9200</v>
      </c>
      <c r="Z955" s="88">
        <v>9936</v>
      </c>
      <c r="AA955" s="85">
        <v>43682</v>
      </c>
      <c r="AB955" s="85">
        <v>43683</v>
      </c>
      <c r="AC955" s="85">
        <v>43683</v>
      </c>
      <c r="AD955" s="84">
        <v>0</v>
      </c>
      <c r="AG955" s="84">
        <v>0</v>
      </c>
      <c r="AJ955" s="84">
        <v>0</v>
      </c>
      <c r="AM955" s="84" t="s">
        <v>290</v>
      </c>
      <c r="AN955" s="84" t="s">
        <v>2856</v>
      </c>
      <c r="AR955" s="85">
        <v>43623</v>
      </c>
      <c r="AS955" s="84">
        <v>6001681636</v>
      </c>
      <c r="AT955" s="85">
        <v>43623</v>
      </c>
      <c r="AU955" s="84" t="s">
        <v>2805</v>
      </c>
      <c r="AV955" s="85">
        <v>43683</v>
      </c>
      <c r="AW955" s="123">
        <v>43708</v>
      </c>
      <c r="AX955" s="123">
        <v>43728</v>
      </c>
      <c r="AY955" s="132">
        <v>22944</v>
      </c>
      <c r="AZ955" s="132">
        <v>24780</v>
      </c>
      <c r="BA955" s="84" t="s">
        <v>778</v>
      </c>
      <c r="BC955" s="88">
        <v>0</v>
      </c>
      <c r="BG955" s="88">
        <v>0</v>
      </c>
      <c r="BI955" s="84" t="s">
        <v>276</v>
      </c>
      <c r="BJ955" s="88">
        <v>5980</v>
      </c>
      <c r="BK955" s="88">
        <v>6458.4</v>
      </c>
      <c r="BL955" s="84" t="s">
        <v>3158</v>
      </c>
      <c r="BS955" s="88">
        <v>0</v>
      </c>
      <c r="BV955" s="89">
        <v>15876</v>
      </c>
      <c r="BW955" s="89">
        <v>6458.4</v>
      </c>
      <c r="BX955" s="89">
        <v>43614</v>
      </c>
      <c r="BY955" s="89">
        <v>9417.6</v>
      </c>
      <c r="BZ955" s="112">
        <v>59.319727891156461</v>
      </c>
      <c r="CK955" s="88">
        <v>0</v>
      </c>
    </row>
    <row r="956" spans="1:89" x14ac:dyDescent="0.15">
      <c r="A956" s="84">
        <v>2</v>
      </c>
      <c r="B956" s="85">
        <v>43647</v>
      </c>
      <c r="C956" s="85">
        <v>43658</v>
      </c>
      <c r="D956" s="85" t="s">
        <v>374</v>
      </c>
      <c r="E956" s="85">
        <v>43662</v>
      </c>
      <c r="F956" s="85">
        <v>43665</v>
      </c>
      <c r="H956" s="85">
        <v>43661</v>
      </c>
      <c r="I956" s="84" t="s">
        <v>1191</v>
      </c>
      <c r="J956" s="84">
        <v>1</v>
      </c>
      <c r="L956" s="84">
        <v>0</v>
      </c>
      <c r="M956" s="85">
        <v>43614</v>
      </c>
      <c r="N956" s="85" t="s">
        <v>265</v>
      </c>
      <c r="O956" s="86" t="s">
        <v>340</v>
      </c>
      <c r="P956" s="84" t="s">
        <v>26</v>
      </c>
      <c r="Q956" s="86" t="s">
        <v>139</v>
      </c>
      <c r="R956" s="86" t="s">
        <v>2857</v>
      </c>
      <c r="S956" s="87" t="s">
        <v>2535</v>
      </c>
      <c r="T956" s="87" t="s">
        <v>2858</v>
      </c>
      <c r="U956" s="88">
        <v>23900</v>
      </c>
      <c r="V956" s="88">
        <v>25812</v>
      </c>
      <c r="W956" s="88">
        <v>14700</v>
      </c>
      <c r="X956" s="88">
        <v>15876</v>
      </c>
      <c r="Y956" s="88">
        <v>9200</v>
      </c>
      <c r="Z956" s="88">
        <v>9936</v>
      </c>
      <c r="AA956" s="85">
        <v>43656</v>
      </c>
      <c r="AB956" s="85">
        <v>43658</v>
      </c>
      <c r="AC956" s="85">
        <v>43658</v>
      </c>
      <c r="AD956" s="84">
        <v>0</v>
      </c>
      <c r="AG956" s="84">
        <v>0</v>
      </c>
      <c r="AJ956" s="84">
        <v>0</v>
      </c>
      <c r="AM956" s="84" t="s">
        <v>290</v>
      </c>
      <c r="AN956" s="84" t="s">
        <v>2859</v>
      </c>
      <c r="AR956" s="85">
        <v>43628</v>
      </c>
      <c r="AS956" s="84">
        <v>6001682970</v>
      </c>
      <c r="AT956" s="85">
        <v>43629</v>
      </c>
      <c r="AU956" s="84" t="s">
        <v>2845</v>
      </c>
      <c r="AV956" s="85">
        <v>43658</v>
      </c>
      <c r="AW956" s="123">
        <v>43677</v>
      </c>
      <c r="AX956" s="123">
        <v>43697</v>
      </c>
      <c r="AY956" s="132">
        <v>22944</v>
      </c>
      <c r="AZ956" s="132">
        <v>24780</v>
      </c>
      <c r="BA956" s="84" t="s">
        <v>778</v>
      </c>
      <c r="BC956" s="88">
        <v>0</v>
      </c>
      <c r="BG956" s="88">
        <v>0</v>
      </c>
      <c r="BI956" s="84" t="s">
        <v>276</v>
      </c>
      <c r="BJ956" s="88">
        <v>5980</v>
      </c>
      <c r="BK956" s="88">
        <v>6458.4</v>
      </c>
      <c r="BL956" s="84" t="s">
        <v>2660</v>
      </c>
      <c r="BS956" s="88">
        <v>0</v>
      </c>
      <c r="BV956" s="89">
        <v>15876</v>
      </c>
      <c r="BW956" s="89">
        <v>6458.4</v>
      </c>
      <c r="BX956" s="89">
        <v>43614</v>
      </c>
      <c r="BY956" s="89">
        <v>9417.6</v>
      </c>
      <c r="BZ956" s="112">
        <v>59.319727891156461</v>
      </c>
      <c r="CK956" s="88">
        <v>0</v>
      </c>
    </row>
    <row r="957" spans="1:89" x14ac:dyDescent="0.15">
      <c r="A957" s="84">
        <v>2</v>
      </c>
      <c r="B957" s="85">
        <v>43662</v>
      </c>
      <c r="C957" s="85">
        <v>43670</v>
      </c>
      <c r="D957" s="85">
        <v>43706</v>
      </c>
      <c r="E957" s="85">
        <v>43675</v>
      </c>
      <c r="F957" s="85">
        <v>43677</v>
      </c>
      <c r="G957" s="85">
        <v>43675</v>
      </c>
      <c r="H957" s="85">
        <v>43673</v>
      </c>
      <c r="I957" s="84" t="s">
        <v>1191</v>
      </c>
      <c r="J957" s="84">
        <v>2</v>
      </c>
      <c r="L957" s="84">
        <v>0</v>
      </c>
      <c r="M957" s="85">
        <v>43614</v>
      </c>
      <c r="N957" s="85" t="s">
        <v>265</v>
      </c>
      <c r="O957" s="86" t="s">
        <v>340</v>
      </c>
      <c r="P957" s="84" t="s">
        <v>26</v>
      </c>
      <c r="Q957" s="86" t="s">
        <v>139</v>
      </c>
      <c r="R957" s="86" t="s">
        <v>2860</v>
      </c>
      <c r="S957" s="87" t="s">
        <v>2210</v>
      </c>
      <c r="T957" s="87" t="s">
        <v>2861</v>
      </c>
      <c r="U957" s="88">
        <v>461380</v>
      </c>
      <c r="V957" s="88">
        <v>498290.4</v>
      </c>
      <c r="W957" s="88">
        <v>461380</v>
      </c>
      <c r="X957" s="88">
        <v>498290.4</v>
      </c>
      <c r="Z957" s="88">
        <v>0</v>
      </c>
      <c r="AA957" s="85">
        <v>43668</v>
      </c>
      <c r="AB957" s="85">
        <v>43670</v>
      </c>
      <c r="AC957" s="85">
        <v>43670</v>
      </c>
      <c r="AD957" s="84">
        <v>0</v>
      </c>
      <c r="AG957" s="84">
        <v>0</v>
      </c>
      <c r="AJ957" s="84">
        <v>0</v>
      </c>
      <c r="AM957" s="84" t="s">
        <v>290</v>
      </c>
      <c r="AN957" s="84" t="s">
        <v>2862</v>
      </c>
      <c r="AR957" s="85">
        <v>43640</v>
      </c>
      <c r="AS957" s="84">
        <v>6001687099</v>
      </c>
      <c r="AT957" s="85">
        <v>43641</v>
      </c>
      <c r="AU957" s="84" t="s">
        <v>2842</v>
      </c>
      <c r="AV957" s="85">
        <v>43670</v>
      </c>
      <c r="AW957" s="123">
        <v>43677</v>
      </c>
      <c r="AX957" s="123">
        <v>43697</v>
      </c>
      <c r="AY957" s="132">
        <v>442924</v>
      </c>
      <c r="AZ957" s="132">
        <v>478358</v>
      </c>
      <c r="BA957" s="84" t="s">
        <v>287</v>
      </c>
      <c r="BB957" s="88">
        <v>123920</v>
      </c>
      <c r="BC957" s="88">
        <v>133833.60000000001</v>
      </c>
      <c r="BD957" s="84" t="s">
        <v>2849</v>
      </c>
      <c r="BG957" s="88">
        <v>0</v>
      </c>
      <c r="BK957" s="88">
        <v>0</v>
      </c>
      <c r="BS957" s="88">
        <v>0</v>
      </c>
      <c r="BV957" s="89">
        <v>498290.4</v>
      </c>
      <c r="BW957" s="89">
        <v>133833.60000000001</v>
      </c>
      <c r="BX957" s="89">
        <v>43614</v>
      </c>
      <c r="BY957" s="89">
        <v>364456.8</v>
      </c>
      <c r="BZ957" s="112">
        <v>73.141445229528813</v>
      </c>
      <c r="CK957" s="88">
        <v>0</v>
      </c>
    </row>
    <row r="958" spans="1:89" x14ac:dyDescent="0.15">
      <c r="A958" s="84">
        <v>2</v>
      </c>
      <c r="B958" s="85">
        <v>43623</v>
      </c>
      <c r="C958" s="85">
        <v>43644</v>
      </c>
      <c r="D958" s="85">
        <v>43684</v>
      </c>
      <c r="E958" s="85">
        <v>43642</v>
      </c>
      <c r="F958" s="85">
        <v>43642</v>
      </c>
      <c r="G958" s="85">
        <v>43635</v>
      </c>
      <c r="H958" s="85">
        <v>43638</v>
      </c>
      <c r="I958" s="84" t="s">
        <v>1191</v>
      </c>
      <c r="J958" s="84">
        <v>1</v>
      </c>
      <c r="L958" s="84">
        <v>0</v>
      </c>
      <c r="M958" s="85">
        <v>43614</v>
      </c>
      <c r="N958" s="85" t="s">
        <v>265</v>
      </c>
      <c r="O958" s="86" t="s">
        <v>340</v>
      </c>
      <c r="P958" s="84" t="s">
        <v>26</v>
      </c>
      <c r="Q958" s="86" t="s">
        <v>139</v>
      </c>
      <c r="R958" s="86" t="s">
        <v>2863</v>
      </c>
      <c r="S958" s="87" t="s">
        <v>1091</v>
      </c>
      <c r="T958" s="87" t="s">
        <v>2864</v>
      </c>
      <c r="U958" s="88">
        <v>180000</v>
      </c>
      <c r="V958" s="88">
        <v>194400</v>
      </c>
      <c r="W958" s="88">
        <v>115000</v>
      </c>
      <c r="X958" s="88">
        <v>124200</v>
      </c>
      <c r="Y958" s="88">
        <v>65000</v>
      </c>
      <c r="Z958" s="88">
        <v>70200</v>
      </c>
      <c r="AA958" s="85">
        <v>43634</v>
      </c>
      <c r="AB958" s="85">
        <v>43635</v>
      </c>
      <c r="AC958" s="85">
        <v>43635</v>
      </c>
      <c r="AD958" s="84">
        <v>0</v>
      </c>
      <c r="AG958" s="84">
        <v>0</v>
      </c>
      <c r="AJ958" s="84">
        <v>0</v>
      </c>
      <c r="AN958" s="84" t="s">
        <v>338</v>
      </c>
      <c r="AR958" s="85">
        <v>43615</v>
      </c>
      <c r="AS958" s="84">
        <v>6001678888</v>
      </c>
      <c r="AT958" s="85">
        <v>43615</v>
      </c>
      <c r="AU958" s="84" t="s">
        <v>2778</v>
      </c>
      <c r="AV958" s="85">
        <v>43644</v>
      </c>
      <c r="AW958" s="123">
        <v>43646</v>
      </c>
      <c r="AX958" s="123">
        <v>43666</v>
      </c>
      <c r="AY958" s="132">
        <v>172800</v>
      </c>
      <c r="AZ958" s="132">
        <f>ROUNDDOWN(AY958+(AY958*MASTER!$A$2/100),0)</f>
        <v>186624</v>
      </c>
      <c r="BA958" s="84" t="s">
        <v>287</v>
      </c>
      <c r="BB958" s="88">
        <v>51000</v>
      </c>
      <c r="BC958" s="88">
        <v>55080</v>
      </c>
      <c r="BD958" s="84" t="s">
        <v>2466</v>
      </c>
      <c r="BG958" s="88">
        <v>0</v>
      </c>
      <c r="BI958" s="84" t="s">
        <v>434</v>
      </c>
      <c r="BJ958" s="88">
        <v>42250</v>
      </c>
      <c r="BK958" s="88">
        <v>45630</v>
      </c>
      <c r="BL958" s="84" t="s">
        <v>2466</v>
      </c>
      <c r="BS958" s="88">
        <v>0</v>
      </c>
      <c r="BV958" s="89">
        <v>124200</v>
      </c>
      <c r="BW958" s="89">
        <v>100710</v>
      </c>
      <c r="BX958" s="89">
        <v>43614</v>
      </c>
      <c r="BY958" s="89">
        <v>23490</v>
      </c>
      <c r="BZ958" s="112">
        <v>18.913043478260867</v>
      </c>
      <c r="CK958" s="88">
        <v>0</v>
      </c>
    </row>
    <row r="959" spans="1:89" x14ac:dyDescent="0.15">
      <c r="A959" s="84">
        <v>2</v>
      </c>
      <c r="B959" s="85">
        <v>43619</v>
      </c>
      <c r="C959" s="85">
        <v>43627</v>
      </c>
      <c r="D959" s="85">
        <v>43628</v>
      </c>
      <c r="E959" s="85">
        <v>43628</v>
      </c>
      <c r="F959" s="85">
        <v>43634</v>
      </c>
      <c r="G959" s="85">
        <v>43628</v>
      </c>
      <c r="H959" s="85">
        <v>43630</v>
      </c>
      <c r="I959" s="84" t="s">
        <v>401</v>
      </c>
      <c r="J959" s="84">
        <v>1</v>
      </c>
      <c r="L959" s="84">
        <v>0</v>
      </c>
      <c r="M959" s="85">
        <v>43614</v>
      </c>
      <c r="N959" s="85" t="s">
        <v>265</v>
      </c>
      <c r="O959" s="86" t="s">
        <v>340</v>
      </c>
      <c r="P959" s="84" t="s">
        <v>26</v>
      </c>
      <c r="Q959" s="86" t="s">
        <v>139</v>
      </c>
      <c r="R959" s="86" t="s">
        <v>2865</v>
      </c>
      <c r="S959" s="87" t="s">
        <v>2621</v>
      </c>
      <c r="T959" s="87" t="s">
        <v>2864</v>
      </c>
      <c r="U959" s="88">
        <v>180000</v>
      </c>
      <c r="V959" s="88">
        <v>194400</v>
      </c>
      <c r="W959" s="88">
        <v>115000</v>
      </c>
      <c r="X959" s="88">
        <v>124200</v>
      </c>
      <c r="Y959" s="88">
        <v>65000</v>
      </c>
      <c r="Z959" s="88">
        <v>70200</v>
      </c>
      <c r="AA959" s="85">
        <v>43626</v>
      </c>
      <c r="AB959" s="85">
        <v>43627</v>
      </c>
      <c r="AC959" s="85">
        <v>43627</v>
      </c>
      <c r="AD959" s="84">
        <v>0</v>
      </c>
      <c r="AG959" s="84">
        <v>0</v>
      </c>
      <c r="AJ959" s="84">
        <v>0</v>
      </c>
      <c r="AN959" s="84" t="s">
        <v>338</v>
      </c>
      <c r="AR959" s="85">
        <v>43615</v>
      </c>
      <c r="AS959" s="84">
        <v>6001678888</v>
      </c>
      <c r="AT959" s="85">
        <v>43615</v>
      </c>
      <c r="AU959" s="84" t="s">
        <v>2778</v>
      </c>
      <c r="AV959" s="85">
        <v>43627</v>
      </c>
      <c r="AW959" s="123">
        <v>43646</v>
      </c>
      <c r="AX959" s="123">
        <v>43666</v>
      </c>
      <c r="AY959" s="132">
        <v>172800</v>
      </c>
      <c r="AZ959" s="132">
        <f>ROUNDDOWN(AY959+(AY959*MASTER!$A$2/100),0)</f>
        <v>186624</v>
      </c>
      <c r="BA959" s="84" t="s">
        <v>778</v>
      </c>
      <c r="BC959" s="88">
        <v>0</v>
      </c>
      <c r="BG959" s="88">
        <v>0</v>
      </c>
      <c r="BI959" s="84" t="s">
        <v>276</v>
      </c>
      <c r="BJ959" s="88">
        <v>42250</v>
      </c>
      <c r="BK959" s="88">
        <v>45630</v>
      </c>
      <c r="BL959" s="84" t="s">
        <v>2567</v>
      </c>
      <c r="BS959" s="88">
        <v>0</v>
      </c>
      <c r="BV959" s="89">
        <v>124200</v>
      </c>
      <c r="BW959" s="89">
        <v>45630</v>
      </c>
      <c r="BX959" s="89">
        <v>43614</v>
      </c>
      <c r="BY959" s="89">
        <v>78570</v>
      </c>
      <c r="BZ959" s="112">
        <v>63.260869565217391</v>
      </c>
      <c r="CK959" s="88">
        <v>0</v>
      </c>
    </row>
    <row r="960" spans="1:89" x14ac:dyDescent="0.15">
      <c r="A960" s="84">
        <v>2</v>
      </c>
      <c r="B960" s="85">
        <v>43623</v>
      </c>
      <c r="C960" s="85">
        <v>43644</v>
      </c>
      <c r="D960" s="85">
        <v>43640</v>
      </c>
      <c r="E960" s="85">
        <v>43642</v>
      </c>
      <c r="F960" s="85">
        <v>43642</v>
      </c>
      <c r="G960" s="85">
        <v>43636</v>
      </c>
      <c r="H960" s="85">
        <v>43638</v>
      </c>
      <c r="I960" s="84" t="s">
        <v>401</v>
      </c>
      <c r="J960" s="84">
        <v>1</v>
      </c>
      <c r="L960" s="84">
        <v>0</v>
      </c>
      <c r="M960" s="85">
        <v>43614</v>
      </c>
      <c r="N960" s="85" t="s">
        <v>265</v>
      </c>
      <c r="O960" s="86" t="s">
        <v>340</v>
      </c>
      <c r="P960" s="84" t="s">
        <v>26</v>
      </c>
      <c r="Q960" s="86" t="s">
        <v>139</v>
      </c>
      <c r="R960" s="86" t="s">
        <v>2866</v>
      </c>
      <c r="S960" s="87" t="s">
        <v>1226</v>
      </c>
      <c r="T960" s="87" t="s">
        <v>2864</v>
      </c>
      <c r="U960" s="88">
        <v>180000</v>
      </c>
      <c r="V960" s="88">
        <v>194400</v>
      </c>
      <c r="W960" s="88">
        <v>115000</v>
      </c>
      <c r="X960" s="88">
        <v>124200</v>
      </c>
      <c r="Y960" s="88">
        <v>65000</v>
      </c>
      <c r="Z960" s="88">
        <v>70200</v>
      </c>
      <c r="AA960" s="85">
        <v>43634</v>
      </c>
      <c r="AB960" s="85">
        <v>43635</v>
      </c>
      <c r="AC960" s="85">
        <v>43635</v>
      </c>
      <c r="AD960" s="84">
        <v>0</v>
      </c>
      <c r="AG960" s="84">
        <v>0</v>
      </c>
      <c r="AJ960" s="84">
        <v>0</v>
      </c>
      <c r="AR960" s="85">
        <v>43619</v>
      </c>
      <c r="AS960" s="84">
        <v>6001679454</v>
      </c>
      <c r="AT960" s="85">
        <v>43619</v>
      </c>
      <c r="AU960" s="84" t="s">
        <v>2771</v>
      </c>
      <c r="AV960" s="85">
        <v>43644</v>
      </c>
      <c r="AW960" s="123">
        <v>43646</v>
      </c>
      <c r="AX960" s="123">
        <v>43666</v>
      </c>
      <c r="AY960" s="132">
        <v>172800</v>
      </c>
      <c r="AZ960" s="132">
        <f>ROUNDDOWN(AY960+(AY960*MASTER!$A$2/100),0)</f>
        <v>186624</v>
      </c>
      <c r="BA960" s="84" t="s">
        <v>286</v>
      </c>
      <c r="BB960" s="88">
        <v>45000</v>
      </c>
      <c r="BC960" s="88">
        <v>48600</v>
      </c>
      <c r="BD960" s="84" t="s">
        <v>2466</v>
      </c>
      <c r="BG960" s="88">
        <v>0</v>
      </c>
      <c r="BI960" s="84" t="s">
        <v>434</v>
      </c>
      <c r="BJ960" s="88">
        <v>42250</v>
      </c>
      <c r="BK960" s="88">
        <v>45630</v>
      </c>
      <c r="BL960" s="84" t="s">
        <v>2466</v>
      </c>
      <c r="BS960" s="88">
        <v>0</v>
      </c>
      <c r="BV960" s="89">
        <v>124200</v>
      </c>
      <c r="BW960" s="89">
        <v>94230</v>
      </c>
      <c r="BX960" s="89">
        <v>43614</v>
      </c>
      <c r="BY960" s="89">
        <v>29970</v>
      </c>
      <c r="BZ960" s="112">
        <v>24.130434782608695</v>
      </c>
      <c r="CK960" s="88">
        <v>0</v>
      </c>
    </row>
    <row r="961" spans="1:89" x14ac:dyDescent="0.15">
      <c r="A961" s="84">
        <v>2</v>
      </c>
      <c r="B961" s="85">
        <v>43623</v>
      </c>
      <c r="C961" s="85">
        <v>43644</v>
      </c>
      <c r="D961" s="85">
        <v>43684</v>
      </c>
      <c r="E961" s="85">
        <v>43634</v>
      </c>
      <c r="F961" s="85">
        <v>43636</v>
      </c>
      <c r="G961" s="85">
        <v>43629</v>
      </c>
      <c r="H961" s="85">
        <v>43632</v>
      </c>
      <c r="I961" s="84" t="s">
        <v>1191</v>
      </c>
      <c r="J961" s="84">
        <v>1</v>
      </c>
      <c r="L961" s="84">
        <v>0</v>
      </c>
      <c r="M961" s="85">
        <v>43614</v>
      </c>
      <c r="N961" s="85" t="s">
        <v>265</v>
      </c>
      <c r="O961" s="86" t="s">
        <v>340</v>
      </c>
      <c r="P961" s="84" t="s">
        <v>26</v>
      </c>
      <c r="Q961" s="86" t="s">
        <v>139</v>
      </c>
      <c r="R961" s="86" t="s">
        <v>2867</v>
      </c>
      <c r="S961" s="87" t="s">
        <v>824</v>
      </c>
      <c r="T961" s="87" t="s">
        <v>2864</v>
      </c>
      <c r="U961" s="88">
        <v>180000</v>
      </c>
      <c r="V961" s="88">
        <v>194400</v>
      </c>
      <c r="W961" s="88">
        <v>115000</v>
      </c>
      <c r="X961" s="88">
        <v>124200</v>
      </c>
      <c r="Y961" s="88">
        <v>65000</v>
      </c>
      <c r="Z961" s="88">
        <v>70200</v>
      </c>
      <c r="AA961" s="85">
        <v>43628</v>
      </c>
      <c r="AB961" s="85">
        <v>43629</v>
      </c>
      <c r="AC961" s="85">
        <v>43629</v>
      </c>
      <c r="AD961" s="84">
        <v>0</v>
      </c>
      <c r="AG961" s="84">
        <v>0</v>
      </c>
      <c r="AJ961" s="84">
        <v>0</v>
      </c>
      <c r="AR961" s="85">
        <v>43615</v>
      </c>
      <c r="AS961" s="84">
        <v>6001678888</v>
      </c>
      <c r="AT961" s="85">
        <v>43615</v>
      </c>
      <c r="AU961" s="84" t="s">
        <v>2778</v>
      </c>
      <c r="AV961" s="85">
        <v>43644</v>
      </c>
      <c r="AW961" s="123">
        <v>43646</v>
      </c>
      <c r="AX961" s="123">
        <v>43666</v>
      </c>
      <c r="AY961" s="132">
        <v>172800</v>
      </c>
      <c r="AZ961" s="132">
        <f>ROUNDDOWN(AY961+(AY961*MASTER!$A$2/100),0)</f>
        <v>186624</v>
      </c>
      <c r="BA961" s="84" t="s">
        <v>287</v>
      </c>
      <c r="BB961" s="88">
        <v>43000</v>
      </c>
      <c r="BC961" s="88">
        <v>46440</v>
      </c>
      <c r="BD961" s="84" t="s">
        <v>2466</v>
      </c>
      <c r="BG961" s="88">
        <v>0</v>
      </c>
      <c r="BI961" s="84" t="s">
        <v>434</v>
      </c>
      <c r="BJ961" s="88">
        <v>42250</v>
      </c>
      <c r="BK961" s="88">
        <v>45630</v>
      </c>
      <c r="BL961" s="84" t="s">
        <v>2466</v>
      </c>
      <c r="BS961" s="88">
        <v>0</v>
      </c>
      <c r="BV961" s="89">
        <v>124200</v>
      </c>
      <c r="BW961" s="89">
        <v>92070</v>
      </c>
      <c r="BX961" s="89">
        <v>43614</v>
      </c>
      <c r="BY961" s="89">
        <v>32130</v>
      </c>
      <c r="BZ961" s="112">
        <v>25.869565217391305</v>
      </c>
      <c r="CK961" s="88">
        <v>0</v>
      </c>
    </row>
    <row r="962" spans="1:89" x14ac:dyDescent="0.15">
      <c r="A962" s="84">
        <v>2</v>
      </c>
      <c r="B962" s="85">
        <v>43623</v>
      </c>
      <c r="C962" s="85">
        <v>43644</v>
      </c>
      <c r="D962" s="85">
        <v>43640</v>
      </c>
      <c r="E962" s="85">
        <v>43642</v>
      </c>
      <c r="F962" s="85">
        <v>43643</v>
      </c>
      <c r="G962" s="85">
        <v>43640</v>
      </c>
      <c r="H962" s="85">
        <v>43639</v>
      </c>
      <c r="I962" s="84" t="s">
        <v>1191</v>
      </c>
      <c r="J962" s="84">
        <v>1</v>
      </c>
      <c r="L962" s="84">
        <v>0</v>
      </c>
      <c r="M962" s="85">
        <v>43614</v>
      </c>
      <c r="N962" s="85" t="s">
        <v>265</v>
      </c>
      <c r="O962" s="86" t="s">
        <v>340</v>
      </c>
      <c r="P962" s="84" t="s">
        <v>26</v>
      </c>
      <c r="Q962" s="86" t="s">
        <v>139</v>
      </c>
      <c r="R962" s="86" t="s">
        <v>2868</v>
      </c>
      <c r="S962" s="87" t="s">
        <v>1626</v>
      </c>
      <c r="T962" s="87" t="s">
        <v>2864</v>
      </c>
      <c r="U962" s="88">
        <v>180000</v>
      </c>
      <c r="V962" s="88">
        <v>194400</v>
      </c>
      <c r="W962" s="88">
        <v>115000</v>
      </c>
      <c r="X962" s="88">
        <v>124200</v>
      </c>
      <c r="Y962" s="88">
        <v>65000</v>
      </c>
      <c r="Z962" s="88">
        <v>70200</v>
      </c>
      <c r="AA962" s="85">
        <v>43635</v>
      </c>
      <c r="AB962" s="85">
        <v>43636</v>
      </c>
      <c r="AC962" s="85">
        <v>43636</v>
      </c>
      <c r="AD962" s="84">
        <v>0</v>
      </c>
      <c r="AG962" s="84">
        <v>0</v>
      </c>
      <c r="AJ962" s="84">
        <v>0</v>
      </c>
      <c r="AR962" s="85">
        <v>43615</v>
      </c>
      <c r="AS962" s="84">
        <v>6001678888</v>
      </c>
      <c r="AT962" s="85">
        <v>43615</v>
      </c>
      <c r="AU962" s="84" t="s">
        <v>2778</v>
      </c>
      <c r="AV962" s="85">
        <v>43644</v>
      </c>
      <c r="AW962" s="123">
        <v>43646</v>
      </c>
      <c r="AX962" s="123">
        <v>43666</v>
      </c>
      <c r="AY962" s="132">
        <v>172800</v>
      </c>
      <c r="AZ962" s="132">
        <f>ROUNDDOWN(AY962+(AY962*MASTER!$A$2/100),0)</f>
        <v>186624</v>
      </c>
      <c r="BA962" s="84" t="s">
        <v>778</v>
      </c>
      <c r="BC962" s="88">
        <v>0</v>
      </c>
      <c r="BG962" s="88">
        <v>0</v>
      </c>
      <c r="BI962" s="84" t="s">
        <v>434</v>
      </c>
      <c r="BJ962" s="88">
        <v>42250</v>
      </c>
      <c r="BK962" s="88">
        <v>45630</v>
      </c>
      <c r="BL962" s="84" t="s">
        <v>2466</v>
      </c>
      <c r="BS962" s="88">
        <v>0</v>
      </c>
      <c r="BV962" s="89">
        <v>124200</v>
      </c>
      <c r="BW962" s="89">
        <v>45630</v>
      </c>
      <c r="BX962" s="89">
        <v>43614</v>
      </c>
      <c r="BY962" s="89">
        <v>78570</v>
      </c>
      <c r="BZ962" s="112">
        <v>63.260869565217391</v>
      </c>
      <c r="CK962" s="88">
        <v>0</v>
      </c>
    </row>
    <row r="963" spans="1:89" x14ac:dyDescent="0.15">
      <c r="A963" s="84">
        <v>2</v>
      </c>
      <c r="B963" s="85">
        <v>43623</v>
      </c>
      <c r="C963" s="85">
        <v>43644</v>
      </c>
      <c r="D963" s="85">
        <v>43637</v>
      </c>
      <c r="E963" s="85">
        <v>43642</v>
      </c>
      <c r="F963" s="85">
        <v>43643</v>
      </c>
      <c r="G963" s="85">
        <v>43637</v>
      </c>
      <c r="H963" s="85">
        <v>43639</v>
      </c>
      <c r="I963" s="84" t="s">
        <v>401</v>
      </c>
      <c r="J963" s="84">
        <v>1</v>
      </c>
      <c r="L963" s="84">
        <v>0</v>
      </c>
      <c r="M963" s="85">
        <v>43614</v>
      </c>
      <c r="N963" s="85" t="s">
        <v>265</v>
      </c>
      <c r="O963" s="86" t="s">
        <v>340</v>
      </c>
      <c r="P963" s="84" t="s">
        <v>26</v>
      </c>
      <c r="Q963" s="86" t="s">
        <v>139</v>
      </c>
      <c r="R963" s="86" t="s">
        <v>2869</v>
      </c>
      <c r="S963" s="87" t="s">
        <v>2870</v>
      </c>
      <c r="T963" s="87" t="s">
        <v>2864</v>
      </c>
      <c r="U963" s="88">
        <v>180000</v>
      </c>
      <c r="V963" s="88">
        <v>194400</v>
      </c>
      <c r="W963" s="88">
        <v>115000</v>
      </c>
      <c r="X963" s="88">
        <v>124200</v>
      </c>
      <c r="Y963" s="88">
        <v>65000</v>
      </c>
      <c r="Z963" s="88">
        <v>70200</v>
      </c>
      <c r="AA963" s="85">
        <v>43635</v>
      </c>
      <c r="AB963" s="85">
        <v>43636</v>
      </c>
      <c r="AC963" s="85">
        <v>43636</v>
      </c>
      <c r="AD963" s="84">
        <v>0</v>
      </c>
      <c r="AG963" s="84">
        <v>0</v>
      </c>
      <c r="AJ963" s="84">
        <v>0</v>
      </c>
      <c r="AR963" s="85">
        <v>43615</v>
      </c>
      <c r="AS963" s="84">
        <v>6001678888</v>
      </c>
      <c r="AT963" s="85">
        <v>43615</v>
      </c>
      <c r="AU963" s="84" t="s">
        <v>2778</v>
      </c>
      <c r="AV963" s="85">
        <v>43644</v>
      </c>
      <c r="AW963" s="123">
        <v>43646</v>
      </c>
      <c r="AX963" s="123">
        <v>43666</v>
      </c>
      <c r="AY963" s="132">
        <v>172800</v>
      </c>
      <c r="AZ963" s="132">
        <f>ROUNDDOWN(AY963+(AY963*MASTER!$A$2/100),0)</f>
        <v>186624</v>
      </c>
      <c r="BA963" s="84" t="s">
        <v>778</v>
      </c>
      <c r="BC963" s="88">
        <v>0</v>
      </c>
      <c r="BG963" s="88">
        <v>0</v>
      </c>
      <c r="BI963" s="84" t="s">
        <v>434</v>
      </c>
      <c r="BJ963" s="88">
        <v>42250</v>
      </c>
      <c r="BK963" s="88">
        <v>45630</v>
      </c>
      <c r="BL963" s="84" t="s">
        <v>2466</v>
      </c>
      <c r="BS963" s="88">
        <v>0</v>
      </c>
      <c r="BV963" s="89">
        <v>124200</v>
      </c>
      <c r="BW963" s="89">
        <v>45630</v>
      </c>
      <c r="BX963" s="89">
        <v>43614</v>
      </c>
      <c r="BY963" s="89">
        <v>78570</v>
      </c>
      <c r="BZ963" s="112">
        <v>63.260869565217391</v>
      </c>
      <c r="CK963" s="88">
        <v>0</v>
      </c>
    </row>
    <row r="964" spans="1:89" x14ac:dyDescent="0.15">
      <c r="A964" s="84">
        <v>2</v>
      </c>
      <c r="B964" s="85">
        <v>43623</v>
      </c>
      <c r="C964" s="85">
        <v>43644</v>
      </c>
      <c r="D964" s="85">
        <v>43640</v>
      </c>
      <c r="E964" s="85">
        <v>43640</v>
      </c>
      <c r="F964" s="85">
        <v>43641</v>
      </c>
      <c r="G964" s="85">
        <v>43634</v>
      </c>
      <c r="H964" s="85">
        <v>43637</v>
      </c>
      <c r="I964" s="84" t="s">
        <v>401</v>
      </c>
      <c r="J964" s="84">
        <v>1</v>
      </c>
      <c r="L964" s="84">
        <v>0</v>
      </c>
      <c r="M964" s="85">
        <v>43614</v>
      </c>
      <c r="N964" s="85" t="s">
        <v>265</v>
      </c>
      <c r="O964" s="86" t="s">
        <v>340</v>
      </c>
      <c r="P964" s="84" t="s">
        <v>26</v>
      </c>
      <c r="Q964" s="86" t="s">
        <v>139</v>
      </c>
      <c r="R964" s="86" t="s">
        <v>2871</v>
      </c>
      <c r="S964" s="87" t="s">
        <v>821</v>
      </c>
      <c r="T964" s="87" t="s">
        <v>2864</v>
      </c>
      <c r="U964" s="88">
        <v>180000</v>
      </c>
      <c r="V964" s="88">
        <v>194400</v>
      </c>
      <c r="W964" s="88">
        <v>115000</v>
      </c>
      <c r="X964" s="88">
        <v>124200</v>
      </c>
      <c r="Y964" s="88">
        <v>65000</v>
      </c>
      <c r="Z964" s="88">
        <v>70200</v>
      </c>
      <c r="AA964" s="85">
        <v>43633</v>
      </c>
      <c r="AB964" s="85">
        <v>43634</v>
      </c>
      <c r="AC964" s="85">
        <v>43634</v>
      </c>
      <c r="AD964" s="84">
        <v>0</v>
      </c>
      <c r="AG964" s="84">
        <v>0</v>
      </c>
      <c r="AJ964" s="84">
        <v>0</v>
      </c>
      <c r="AR964" s="85">
        <v>43619</v>
      </c>
      <c r="AS964" s="84">
        <v>6001679454</v>
      </c>
      <c r="AT964" s="85">
        <v>43619</v>
      </c>
      <c r="AU964" s="84" t="s">
        <v>2771</v>
      </c>
      <c r="AV964" s="85">
        <v>43644</v>
      </c>
      <c r="AW964" s="123">
        <v>43646</v>
      </c>
      <c r="AX964" s="123">
        <v>43666</v>
      </c>
      <c r="AY964" s="132">
        <v>172800</v>
      </c>
      <c r="AZ964" s="132">
        <f>ROUNDDOWN(AY964+(AY964*MASTER!$A$2/100),0)</f>
        <v>186624</v>
      </c>
      <c r="BA964" s="84" t="s">
        <v>286</v>
      </c>
      <c r="BB964" s="88">
        <v>60000</v>
      </c>
      <c r="BC964" s="88">
        <v>64800</v>
      </c>
      <c r="BD964" s="84" t="s">
        <v>2466</v>
      </c>
      <c r="BG964" s="88">
        <v>0</v>
      </c>
      <c r="BI964" s="84" t="s">
        <v>434</v>
      </c>
      <c r="BJ964" s="88">
        <v>42250</v>
      </c>
      <c r="BK964" s="88">
        <v>45630</v>
      </c>
      <c r="BL964" s="84" t="s">
        <v>2466</v>
      </c>
      <c r="BS964" s="88">
        <v>0</v>
      </c>
      <c r="BV964" s="89">
        <v>124200</v>
      </c>
      <c r="BW964" s="89">
        <v>110430</v>
      </c>
      <c r="BX964" s="89">
        <v>43614</v>
      </c>
      <c r="BY964" s="89">
        <v>13770</v>
      </c>
      <c r="BZ964" s="112">
        <v>11.086956521739131</v>
      </c>
      <c r="CK964" s="88">
        <v>0</v>
      </c>
    </row>
    <row r="965" spans="1:89" x14ac:dyDescent="0.15">
      <c r="A965" s="84">
        <v>2</v>
      </c>
      <c r="B965" s="85">
        <v>43623</v>
      </c>
      <c r="C965" s="85">
        <v>43644</v>
      </c>
      <c r="D965" s="85">
        <v>43640</v>
      </c>
      <c r="E965" s="85">
        <v>43642</v>
      </c>
      <c r="F965" s="85">
        <v>43643</v>
      </c>
      <c r="G965" s="85">
        <v>43642</v>
      </c>
      <c r="H965" s="85">
        <v>43639</v>
      </c>
      <c r="I965" s="84" t="s">
        <v>1191</v>
      </c>
      <c r="J965" s="84">
        <v>1</v>
      </c>
      <c r="L965" s="84">
        <v>0</v>
      </c>
      <c r="M965" s="85">
        <v>43614</v>
      </c>
      <c r="N965" s="85" t="s">
        <v>265</v>
      </c>
      <c r="O965" s="86" t="s">
        <v>340</v>
      </c>
      <c r="P965" s="84" t="s">
        <v>26</v>
      </c>
      <c r="Q965" s="86" t="s">
        <v>139</v>
      </c>
      <c r="R965" s="86" t="s">
        <v>2872</v>
      </c>
      <c r="S965" s="87" t="s">
        <v>593</v>
      </c>
      <c r="T965" s="87" t="s">
        <v>2864</v>
      </c>
      <c r="U965" s="88">
        <v>180000</v>
      </c>
      <c r="V965" s="88">
        <v>194400</v>
      </c>
      <c r="W965" s="88">
        <v>115000</v>
      </c>
      <c r="X965" s="88">
        <v>124200</v>
      </c>
      <c r="Y965" s="88">
        <v>65000</v>
      </c>
      <c r="Z965" s="88">
        <v>70200</v>
      </c>
      <c r="AA965" s="85">
        <v>43635</v>
      </c>
      <c r="AB965" s="85">
        <v>43636</v>
      </c>
      <c r="AC965" s="85">
        <v>43636</v>
      </c>
      <c r="AD965" s="84">
        <v>0</v>
      </c>
      <c r="AG965" s="84">
        <v>0</v>
      </c>
      <c r="AJ965" s="84">
        <v>0</v>
      </c>
      <c r="AR965" s="85">
        <v>43615</v>
      </c>
      <c r="AS965" s="84">
        <v>6001678888</v>
      </c>
      <c r="AT965" s="85">
        <v>43615</v>
      </c>
      <c r="AU965" s="84" t="s">
        <v>2778</v>
      </c>
      <c r="AV965" s="85">
        <v>43644</v>
      </c>
      <c r="AW965" s="123">
        <v>43646</v>
      </c>
      <c r="AX965" s="123">
        <v>43666</v>
      </c>
      <c r="AY965" s="132">
        <v>172800</v>
      </c>
      <c r="AZ965" s="132">
        <f>ROUNDDOWN(AY965+(AY965*MASTER!$A$2/100),0)</f>
        <v>186624</v>
      </c>
      <c r="BA965" s="84" t="s">
        <v>14</v>
      </c>
      <c r="BB965" s="88">
        <v>53000</v>
      </c>
      <c r="BC965" s="88">
        <v>57240</v>
      </c>
      <c r="BD965" s="84" t="s">
        <v>2466</v>
      </c>
      <c r="BG965" s="88">
        <v>0</v>
      </c>
      <c r="BI965" s="84" t="s">
        <v>434</v>
      </c>
      <c r="BJ965" s="88">
        <v>42250</v>
      </c>
      <c r="BK965" s="88">
        <v>45630</v>
      </c>
      <c r="BL965" s="84" t="s">
        <v>2466</v>
      </c>
      <c r="BS965" s="88">
        <v>0</v>
      </c>
      <c r="BV965" s="89">
        <v>124200</v>
      </c>
      <c r="BW965" s="89">
        <v>102870</v>
      </c>
      <c r="BX965" s="89">
        <v>43614</v>
      </c>
      <c r="BY965" s="89">
        <v>21330</v>
      </c>
      <c r="BZ965" s="112">
        <v>17.173913043478262</v>
      </c>
      <c r="CK965" s="88">
        <v>0</v>
      </c>
    </row>
    <row r="966" spans="1:89" x14ac:dyDescent="0.15">
      <c r="A966" s="84">
        <v>2</v>
      </c>
      <c r="B966" s="85">
        <v>43628</v>
      </c>
      <c r="C966" s="85">
        <v>43644</v>
      </c>
      <c r="D966" s="85">
        <v>43684</v>
      </c>
      <c r="E966" s="85">
        <v>43642</v>
      </c>
      <c r="F966" s="85">
        <v>43648</v>
      </c>
      <c r="G966" s="85">
        <v>43641</v>
      </c>
      <c r="H966" s="85">
        <v>43644</v>
      </c>
      <c r="I966" s="84" t="s">
        <v>1191</v>
      </c>
      <c r="J966" s="84">
        <v>1</v>
      </c>
      <c r="L966" s="84">
        <v>0</v>
      </c>
      <c r="M966" s="85">
        <v>43614</v>
      </c>
      <c r="N966" s="85" t="s">
        <v>265</v>
      </c>
      <c r="O966" s="86" t="s">
        <v>340</v>
      </c>
      <c r="P966" s="84" t="s">
        <v>26</v>
      </c>
      <c r="Q966" s="86" t="s">
        <v>139</v>
      </c>
      <c r="R966" s="86" t="s">
        <v>2873</v>
      </c>
      <c r="S966" s="87" t="s">
        <v>605</v>
      </c>
      <c r="T966" s="87" t="s">
        <v>2864</v>
      </c>
      <c r="U966" s="88">
        <v>180000</v>
      </c>
      <c r="V966" s="88">
        <v>194400</v>
      </c>
      <c r="W966" s="88">
        <v>115000</v>
      </c>
      <c r="X966" s="88">
        <v>124200</v>
      </c>
      <c r="Y966" s="88">
        <v>65000</v>
      </c>
      <c r="Z966" s="88">
        <v>70200</v>
      </c>
      <c r="AA966" s="85">
        <v>43640</v>
      </c>
      <c r="AB966" s="85">
        <v>43641</v>
      </c>
      <c r="AC966" s="85">
        <v>43641</v>
      </c>
      <c r="AD966" s="84">
        <v>0</v>
      </c>
      <c r="AG966" s="84">
        <v>0</v>
      </c>
      <c r="AJ966" s="84">
        <v>0</v>
      </c>
      <c r="AR966" s="85">
        <v>43615</v>
      </c>
      <c r="AS966" s="84">
        <v>6001678888</v>
      </c>
      <c r="AT966" s="85">
        <v>43615</v>
      </c>
      <c r="AU966" s="84" t="s">
        <v>2778</v>
      </c>
      <c r="AV966" s="85">
        <v>43644</v>
      </c>
      <c r="AW966" s="123">
        <v>43646</v>
      </c>
      <c r="AX966" s="123">
        <v>43666</v>
      </c>
      <c r="AY966" s="132">
        <v>172800</v>
      </c>
      <c r="AZ966" s="132">
        <f>ROUNDDOWN(AY966+(AY966*MASTER!$A$2/100),0)</f>
        <v>186624</v>
      </c>
      <c r="BA966" s="84" t="s">
        <v>287</v>
      </c>
      <c r="BB966" s="88">
        <v>49000</v>
      </c>
      <c r="BC966" s="88">
        <v>52920</v>
      </c>
      <c r="BD966" s="84" t="s">
        <v>2637</v>
      </c>
      <c r="BG966" s="88">
        <v>0</v>
      </c>
      <c r="BI966" s="84" t="s">
        <v>434</v>
      </c>
      <c r="BJ966" s="88">
        <v>42250</v>
      </c>
      <c r="BK966" s="88">
        <v>45630</v>
      </c>
      <c r="BL966" s="84" t="s">
        <v>2637</v>
      </c>
      <c r="BS966" s="88">
        <v>0</v>
      </c>
      <c r="BV966" s="89">
        <v>124200</v>
      </c>
      <c r="BW966" s="89">
        <v>98550</v>
      </c>
      <c r="BX966" s="89">
        <v>43614</v>
      </c>
      <c r="BY966" s="89">
        <v>25650</v>
      </c>
      <c r="BZ966" s="112">
        <v>20.652173913043477</v>
      </c>
      <c r="CK966" s="88">
        <v>0</v>
      </c>
    </row>
    <row r="967" spans="1:89" x14ac:dyDescent="0.15">
      <c r="A967" s="84">
        <v>2</v>
      </c>
      <c r="B967" s="85">
        <v>43630</v>
      </c>
      <c r="C967" s="85">
        <v>43644</v>
      </c>
      <c r="D967" s="85">
        <v>43684</v>
      </c>
      <c r="E967" s="85">
        <v>43643</v>
      </c>
      <c r="F967" s="85">
        <v>43649</v>
      </c>
      <c r="G967" s="85">
        <v>43643</v>
      </c>
      <c r="H967" s="85">
        <v>43645</v>
      </c>
      <c r="I967" s="84" t="s">
        <v>1191</v>
      </c>
      <c r="J967" s="84">
        <v>1</v>
      </c>
      <c r="L967" s="84">
        <v>0</v>
      </c>
      <c r="M967" s="85">
        <v>43614</v>
      </c>
      <c r="N967" s="85" t="s">
        <v>265</v>
      </c>
      <c r="O967" s="86" t="s">
        <v>340</v>
      </c>
      <c r="P967" s="84" t="s">
        <v>26</v>
      </c>
      <c r="Q967" s="86" t="s">
        <v>139</v>
      </c>
      <c r="R967" s="86" t="s">
        <v>2874</v>
      </c>
      <c r="S967" s="87" t="s">
        <v>619</v>
      </c>
      <c r="T967" s="87" t="s">
        <v>2864</v>
      </c>
      <c r="U967" s="88">
        <v>180000</v>
      </c>
      <c r="V967" s="88">
        <v>194400</v>
      </c>
      <c r="W967" s="88">
        <v>115000</v>
      </c>
      <c r="X967" s="88">
        <v>124200</v>
      </c>
      <c r="Y967" s="88">
        <v>65000</v>
      </c>
      <c r="Z967" s="88">
        <v>70200</v>
      </c>
      <c r="AA967" s="85">
        <v>43641</v>
      </c>
      <c r="AB967" s="85">
        <v>43642</v>
      </c>
      <c r="AC967" s="85">
        <v>43642</v>
      </c>
      <c r="AD967" s="84">
        <v>0</v>
      </c>
      <c r="AG967" s="84">
        <v>0</v>
      </c>
      <c r="AJ967" s="84">
        <v>0</v>
      </c>
      <c r="AR967" s="85">
        <v>43615</v>
      </c>
      <c r="AS967" s="84">
        <v>6001678888</v>
      </c>
      <c r="AT967" s="85">
        <v>43615</v>
      </c>
      <c r="AU967" s="84" t="s">
        <v>2778</v>
      </c>
      <c r="AV967" s="85">
        <v>43644</v>
      </c>
      <c r="AW967" s="123">
        <v>43646</v>
      </c>
      <c r="AX967" s="123">
        <v>43666</v>
      </c>
      <c r="AY967" s="132">
        <v>172800</v>
      </c>
      <c r="AZ967" s="132">
        <f>ROUNDDOWN(AY967+(AY967*MASTER!$A$2/100),0)</f>
        <v>186624</v>
      </c>
      <c r="BA967" s="84" t="s">
        <v>287</v>
      </c>
      <c r="BB967" s="88">
        <v>58000</v>
      </c>
      <c r="BC967" s="88">
        <v>62640</v>
      </c>
      <c r="BD967" s="84" t="s">
        <v>2637</v>
      </c>
      <c r="BG967" s="88">
        <v>0</v>
      </c>
      <c r="BI967" s="84" t="s">
        <v>434</v>
      </c>
      <c r="BJ967" s="88">
        <v>42250</v>
      </c>
      <c r="BK967" s="88">
        <v>45630</v>
      </c>
      <c r="BL967" s="84" t="s">
        <v>2637</v>
      </c>
      <c r="BS967" s="88">
        <v>0</v>
      </c>
      <c r="BV967" s="89">
        <v>124200</v>
      </c>
      <c r="BW967" s="89">
        <v>108270</v>
      </c>
      <c r="BX967" s="89">
        <v>43614</v>
      </c>
      <c r="BY967" s="89">
        <v>15930</v>
      </c>
      <c r="BZ967" s="112">
        <v>12.82608695652174</v>
      </c>
      <c r="CK967" s="88">
        <v>0</v>
      </c>
    </row>
    <row r="968" spans="1:89" x14ac:dyDescent="0.15">
      <c r="A968" s="84">
        <v>2</v>
      </c>
      <c r="B968" s="85">
        <v>43630</v>
      </c>
      <c r="C968" s="85">
        <v>43644</v>
      </c>
      <c r="D968" s="85">
        <v>43684</v>
      </c>
      <c r="E968" s="85">
        <v>43643</v>
      </c>
      <c r="F968" s="85">
        <v>43649</v>
      </c>
      <c r="G968" s="85">
        <v>43643</v>
      </c>
      <c r="H968" s="85">
        <v>43645</v>
      </c>
      <c r="I968" s="84" t="s">
        <v>1191</v>
      </c>
      <c r="J968" s="84">
        <v>1</v>
      </c>
      <c r="L968" s="84">
        <v>0</v>
      </c>
      <c r="M968" s="85">
        <v>43614</v>
      </c>
      <c r="N968" s="85" t="s">
        <v>265</v>
      </c>
      <c r="O968" s="86" t="s">
        <v>340</v>
      </c>
      <c r="P968" s="84" t="s">
        <v>26</v>
      </c>
      <c r="Q968" s="86" t="s">
        <v>139</v>
      </c>
      <c r="R968" s="86" t="s">
        <v>2875</v>
      </c>
      <c r="S968" s="87" t="s">
        <v>619</v>
      </c>
      <c r="T968" s="87" t="s">
        <v>2876</v>
      </c>
      <c r="U968" s="88">
        <v>95000</v>
      </c>
      <c r="V968" s="88">
        <v>102600</v>
      </c>
      <c r="W968" s="88">
        <v>80000</v>
      </c>
      <c r="X968" s="88">
        <v>86400</v>
      </c>
      <c r="Y968" s="88">
        <v>15000</v>
      </c>
      <c r="Z968" s="88">
        <v>16200</v>
      </c>
      <c r="AA968" s="85">
        <v>43641</v>
      </c>
      <c r="AB968" s="85">
        <v>43642</v>
      </c>
      <c r="AC968" s="85">
        <v>43642</v>
      </c>
      <c r="AD968" s="84">
        <v>0</v>
      </c>
      <c r="AG968" s="84">
        <v>0</v>
      </c>
      <c r="AJ968" s="84">
        <v>0</v>
      </c>
      <c r="AN968" s="84" t="s">
        <v>338</v>
      </c>
      <c r="AR968" s="85">
        <v>43615</v>
      </c>
      <c r="AS968" s="84">
        <v>6001678888</v>
      </c>
      <c r="AT968" s="85">
        <v>43615</v>
      </c>
      <c r="AU968" s="84" t="s">
        <v>2778</v>
      </c>
      <c r="AV968" s="85">
        <v>43644</v>
      </c>
      <c r="AW968" s="123">
        <v>43646</v>
      </c>
      <c r="AX968" s="123">
        <v>43666</v>
      </c>
      <c r="AY968" s="132">
        <v>91200</v>
      </c>
      <c r="AZ968" s="132">
        <f>ROUNDDOWN(AY968+(AY968*MASTER!$A$2/100),0)</f>
        <v>98496</v>
      </c>
      <c r="BA968" s="84" t="s">
        <v>778</v>
      </c>
      <c r="BC968" s="88">
        <v>0</v>
      </c>
      <c r="BG968" s="88">
        <v>0</v>
      </c>
      <c r="BI968" s="84" t="s">
        <v>434</v>
      </c>
      <c r="BJ968" s="88">
        <v>9750</v>
      </c>
      <c r="BK968" s="88">
        <v>10530</v>
      </c>
      <c r="BL968" s="84" t="s">
        <v>2637</v>
      </c>
      <c r="BS968" s="88">
        <v>0</v>
      </c>
      <c r="BV968" s="89">
        <v>86400</v>
      </c>
      <c r="BW968" s="89">
        <v>10530</v>
      </c>
      <c r="BX968" s="89">
        <v>43614</v>
      </c>
      <c r="BY968" s="89">
        <v>75870</v>
      </c>
      <c r="BZ968" s="112">
        <v>87.8125</v>
      </c>
      <c r="CK968" s="88">
        <v>0</v>
      </c>
    </row>
    <row r="969" spans="1:89" x14ac:dyDescent="0.15">
      <c r="A969" s="84">
        <v>2</v>
      </c>
      <c r="B969" s="85">
        <v>43622</v>
      </c>
      <c r="C969" s="85">
        <v>43622</v>
      </c>
      <c r="D969" s="85">
        <v>43614</v>
      </c>
      <c r="E969" s="85">
        <v>43614</v>
      </c>
      <c r="F969" s="85" t="s">
        <v>338</v>
      </c>
      <c r="G969" s="85">
        <v>43614</v>
      </c>
      <c r="H969" s="85" t="s">
        <v>338</v>
      </c>
      <c r="I969" s="84" t="s">
        <v>547</v>
      </c>
      <c r="J969" s="84">
        <v>2</v>
      </c>
      <c r="L969" s="84">
        <v>0</v>
      </c>
      <c r="M969" s="85">
        <v>43614</v>
      </c>
      <c r="N969" s="85" t="s">
        <v>265</v>
      </c>
      <c r="O969" s="86" t="s">
        <v>340</v>
      </c>
      <c r="P969" s="84" t="s">
        <v>6</v>
      </c>
      <c r="Q969" s="86" t="s">
        <v>139</v>
      </c>
      <c r="R969" s="86" t="s">
        <v>2877</v>
      </c>
      <c r="S969" s="87" t="s">
        <v>2878</v>
      </c>
      <c r="T969" s="87" t="s">
        <v>342</v>
      </c>
      <c r="U969" s="88">
        <v>35000</v>
      </c>
      <c r="V969" s="88">
        <v>37800</v>
      </c>
      <c r="W969" s="88">
        <v>35000</v>
      </c>
      <c r="X969" s="88">
        <v>37800</v>
      </c>
      <c r="Z969" s="88">
        <v>0</v>
      </c>
      <c r="AA969" s="85">
        <v>43614</v>
      </c>
      <c r="AB969" s="85">
        <v>43614</v>
      </c>
      <c r="AD969" s="84">
        <v>0</v>
      </c>
      <c r="AG969" s="84">
        <v>0</v>
      </c>
      <c r="AJ969" s="84">
        <v>0</v>
      </c>
      <c r="AN969" s="84" t="s">
        <v>338</v>
      </c>
      <c r="AR969" s="85">
        <v>43620</v>
      </c>
      <c r="AS969" s="84">
        <v>6001679765</v>
      </c>
      <c r="AT969" s="85">
        <v>43620</v>
      </c>
      <c r="AU969" s="84" t="s">
        <v>2636</v>
      </c>
      <c r="AV969" s="85">
        <v>43622</v>
      </c>
      <c r="AW969" s="123">
        <v>43646</v>
      </c>
      <c r="AX969" s="123">
        <v>43666</v>
      </c>
      <c r="AY969" s="132">
        <v>33600</v>
      </c>
      <c r="AZ969" s="132">
        <f>ROUNDDOWN(AY969+(AY969*MASTER!$A$2/100),0)</f>
        <v>36288</v>
      </c>
      <c r="BA969" s="84" t="s">
        <v>486</v>
      </c>
      <c r="BB969" s="88">
        <v>21000</v>
      </c>
      <c r="BC969" s="88">
        <v>22680</v>
      </c>
      <c r="BD969" s="84" t="s">
        <v>2567</v>
      </c>
      <c r="BG969" s="88">
        <v>0</v>
      </c>
      <c r="BK969" s="88">
        <v>0</v>
      </c>
      <c r="BS969" s="88">
        <v>0</v>
      </c>
      <c r="BV969" s="89">
        <v>37800</v>
      </c>
      <c r="BW969" s="89">
        <v>22680</v>
      </c>
      <c r="BX969" s="89">
        <v>43614</v>
      </c>
      <c r="BY969" s="89">
        <v>15120</v>
      </c>
      <c r="BZ969" s="112">
        <v>40</v>
      </c>
      <c r="CK969" s="88">
        <v>0</v>
      </c>
    </row>
    <row r="970" spans="1:89" x14ac:dyDescent="0.15">
      <c r="A970" s="84">
        <v>1</v>
      </c>
      <c r="B970" s="85">
        <v>43623</v>
      </c>
      <c r="C970" s="85">
        <v>43644</v>
      </c>
      <c r="E970" s="85">
        <v>43642</v>
      </c>
      <c r="F970" s="85">
        <v>43644</v>
      </c>
      <c r="G970" s="85">
        <v>43637</v>
      </c>
      <c r="H970" s="85">
        <v>43640</v>
      </c>
      <c r="I970" s="84" t="s">
        <v>401</v>
      </c>
      <c r="J970" s="84">
        <v>1</v>
      </c>
      <c r="L970" s="84">
        <v>0</v>
      </c>
      <c r="M970" s="85">
        <v>43614</v>
      </c>
      <c r="N970" s="85" t="s">
        <v>265</v>
      </c>
      <c r="O970" s="86" t="s">
        <v>340</v>
      </c>
      <c r="P970" s="84" t="s">
        <v>26</v>
      </c>
      <c r="Q970" s="86" t="s">
        <v>139</v>
      </c>
      <c r="R970" s="86" t="s">
        <v>2879</v>
      </c>
      <c r="S970" s="87" t="s">
        <v>1619</v>
      </c>
      <c r="T970" s="87" t="s">
        <v>2864</v>
      </c>
      <c r="U970" s="88">
        <v>180000</v>
      </c>
      <c r="V970" s="88">
        <v>194400</v>
      </c>
      <c r="W970" s="88">
        <v>115000</v>
      </c>
      <c r="X970" s="88">
        <v>124200</v>
      </c>
      <c r="Y970" s="88">
        <v>65000</v>
      </c>
      <c r="Z970" s="88">
        <v>70200</v>
      </c>
      <c r="AA970" s="85">
        <v>43636</v>
      </c>
      <c r="AB970" s="85">
        <v>43637</v>
      </c>
      <c r="AC970" s="85">
        <v>43637</v>
      </c>
      <c r="AD970" s="84">
        <v>0</v>
      </c>
      <c r="AG970" s="84">
        <v>0</v>
      </c>
      <c r="AJ970" s="84">
        <v>0</v>
      </c>
      <c r="AN970" s="84" t="s">
        <v>338</v>
      </c>
      <c r="AR970" s="85">
        <v>43619</v>
      </c>
      <c r="AS970" s="84">
        <v>6001679454</v>
      </c>
      <c r="AT970" s="85">
        <v>43619</v>
      </c>
      <c r="AU970" s="84" t="s">
        <v>2771</v>
      </c>
      <c r="AV970" s="85">
        <v>43644</v>
      </c>
      <c r="AW970" s="123">
        <v>43646</v>
      </c>
      <c r="AX970" s="123">
        <v>43666</v>
      </c>
      <c r="AY970" s="132">
        <v>172800</v>
      </c>
      <c r="AZ970" s="132">
        <f>ROUNDDOWN(AY970+(AY970*MASTER!$A$2/100),0)</f>
        <v>186624</v>
      </c>
      <c r="BA970" s="84" t="s">
        <v>286</v>
      </c>
      <c r="BB970" s="88">
        <v>49000</v>
      </c>
      <c r="BC970" s="88">
        <v>52920</v>
      </c>
      <c r="BD970" s="84" t="s">
        <v>2637</v>
      </c>
      <c r="BG970" s="88">
        <v>0</v>
      </c>
      <c r="BI970" s="84" t="s">
        <v>276</v>
      </c>
      <c r="BJ970" s="88">
        <v>42250</v>
      </c>
      <c r="BK970" s="88">
        <v>45630</v>
      </c>
      <c r="BL970" s="84" t="s">
        <v>2660</v>
      </c>
      <c r="BS970" s="88">
        <v>0</v>
      </c>
      <c r="BV970" s="89">
        <v>124200</v>
      </c>
      <c r="BW970" s="89">
        <v>98550</v>
      </c>
      <c r="BX970" s="89">
        <v>43614</v>
      </c>
      <c r="BY970" s="89">
        <v>25650</v>
      </c>
      <c r="BZ970" s="112">
        <v>20.652173913043477</v>
      </c>
      <c r="CK970" s="88">
        <v>0</v>
      </c>
    </row>
    <row r="971" spans="1:89" x14ac:dyDescent="0.15">
      <c r="A971" s="84">
        <v>2</v>
      </c>
      <c r="B971" s="85">
        <v>43642</v>
      </c>
      <c r="C971" s="85">
        <v>43652</v>
      </c>
      <c r="D971" s="85">
        <v>43684</v>
      </c>
      <c r="E971" s="85">
        <v>43654</v>
      </c>
      <c r="F971" s="85">
        <v>43659</v>
      </c>
      <c r="G971" s="85">
        <v>43654</v>
      </c>
      <c r="H971" s="85">
        <v>43655</v>
      </c>
      <c r="I971" s="84" t="s">
        <v>1191</v>
      </c>
      <c r="J971" s="84">
        <v>1</v>
      </c>
      <c r="L971" s="84">
        <v>0</v>
      </c>
      <c r="M971" s="85">
        <v>43614</v>
      </c>
      <c r="N971" s="85" t="s">
        <v>265</v>
      </c>
      <c r="O971" s="86" t="s">
        <v>340</v>
      </c>
      <c r="P971" s="84" t="s">
        <v>26</v>
      </c>
      <c r="Q971" s="86" t="s">
        <v>139</v>
      </c>
      <c r="R971" s="86" t="s">
        <v>2880</v>
      </c>
      <c r="S971" s="87" t="s">
        <v>1248</v>
      </c>
      <c r="T971" s="87" t="s">
        <v>455</v>
      </c>
      <c r="U971" s="88">
        <v>119500</v>
      </c>
      <c r="V971" s="88">
        <v>129060</v>
      </c>
      <c r="W971" s="88">
        <v>99500</v>
      </c>
      <c r="X971" s="88">
        <v>107460</v>
      </c>
      <c r="Y971" s="88">
        <v>20000</v>
      </c>
      <c r="Z971" s="88">
        <v>21600</v>
      </c>
      <c r="AA971" s="85">
        <v>43651</v>
      </c>
      <c r="AB971" s="85">
        <v>43652</v>
      </c>
      <c r="AC971" s="85">
        <v>43652</v>
      </c>
      <c r="AD971" s="84">
        <v>0</v>
      </c>
      <c r="AG971" s="84">
        <v>0</v>
      </c>
      <c r="AJ971" s="84">
        <v>0</v>
      </c>
      <c r="AM971" s="84" t="s">
        <v>290</v>
      </c>
      <c r="AN971" s="84" t="s">
        <v>2881</v>
      </c>
      <c r="AR971" s="85">
        <v>43640</v>
      </c>
      <c r="AS971" s="84">
        <v>6001687099</v>
      </c>
      <c r="AT971" s="85">
        <v>43641</v>
      </c>
      <c r="AU971" s="84" t="s">
        <v>2842</v>
      </c>
      <c r="AV971" s="85">
        <v>43652</v>
      </c>
      <c r="AW971" s="123">
        <v>43677</v>
      </c>
      <c r="AX971" s="123">
        <v>43697</v>
      </c>
      <c r="AY971" s="132">
        <v>114720</v>
      </c>
      <c r="AZ971" s="132">
        <v>123898</v>
      </c>
      <c r="BA971" s="84" t="s">
        <v>287</v>
      </c>
      <c r="BB971" s="88">
        <v>22000</v>
      </c>
      <c r="BC971" s="88">
        <v>23760</v>
      </c>
      <c r="BD971" s="84" t="s">
        <v>2637</v>
      </c>
      <c r="BG971" s="88">
        <v>0</v>
      </c>
      <c r="BI971" s="84" t="s">
        <v>434</v>
      </c>
      <c r="BJ971" s="88">
        <v>13000</v>
      </c>
      <c r="BK971" s="88">
        <v>14040</v>
      </c>
      <c r="BL971" s="84" t="s">
        <v>2637</v>
      </c>
      <c r="BS971" s="88">
        <v>0</v>
      </c>
      <c r="BV971" s="89">
        <v>107460</v>
      </c>
      <c r="BW971" s="89">
        <v>37800</v>
      </c>
      <c r="BX971" s="89">
        <v>43614</v>
      </c>
      <c r="BY971" s="89">
        <v>69660</v>
      </c>
      <c r="BZ971" s="112">
        <v>64.824120603015075</v>
      </c>
      <c r="CK971" s="88">
        <v>0</v>
      </c>
    </row>
    <row r="972" spans="1:89" x14ac:dyDescent="0.15">
      <c r="A972" s="84">
        <v>1</v>
      </c>
      <c r="B972" s="85">
        <v>43622</v>
      </c>
      <c r="C972" s="85">
        <v>43622</v>
      </c>
      <c r="D972" s="85">
        <v>43616</v>
      </c>
      <c r="E972" s="85">
        <v>43616</v>
      </c>
      <c r="F972" s="85" t="s">
        <v>338</v>
      </c>
      <c r="G972" s="85">
        <v>43616</v>
      </c>
      <c r="H972" s="85" t="s">
        <v>338</v>
      </c>
      <c r="I972" s="84" t="s">
        <v>380</v>
      </c>
      <c r="J972" s="84">
        <v>2</v>
      </c>
      <c r="L972" s="84">
        <v>0</v>
      </c>
      <c r="M972" s="85">
        <v>43614</v>
      </c>
      <c r="N972" s="85" t="s">
        <v>265</v>
      </c>
      <c r="O972" s="86" t="s">
        <v>340</v>
      </c>
      <c r="P972" s="84" t="s">
        <v>6</v>
      </c>
      <c r="Q972" s="86" t="s">
        <v>139</v>
      </c>
      <c r="R972" s="86" t="s">
        <v>2882</v>
      </c>
      <c r="S972" s="87" t="s">
        <v>2878</v>
      </c>
      <c r="T972" s="87" t="s">
        <v>342</v>
      </c>
      <c r="U972" s="88">
        <v>35000</v>
      </c>
      <c r="V972" s="88">
        <v>37800</v>
      </c>
      <c r="W972" s="88">
        <v>35000</v>
      </c>
      <c r="X972" s="88">
        <v>37800</v>
      </c>
      <c r="Z972" s="88">
        <v>0</v>
      </c>
      <c r="AA972" s="85">
        <v>43615</v>
      </c>
      <c r="AB972" s="85">
        <v>43615</v>
      </c>
      <c r="AD972" s="84">
        <v>0</v>
      </c>
      <c r="AG972" s="84">
        <v>0</v>
      </c>
      <c r="AJ972" s="84">
        <v>0</v>
      </c>
      <c r="AN972" s="84" t="s">
        <v>338</v>
      </c>
      <c r="AR972" s="85">
        <v>43620</v>
      </c>
      <c r="AS972" s="84">
        <v>6001679765</v>
      </c>
      <c r="AT972" s="85">
        <v>43620</v>
      </c>
      <c r="AU972" s="84" t="s">
        <v>2636</v>
      </c>
      <c r="AV972" s="85">
        <v>43622</v>
      </c>
      <c r="AW972" s="123">
        <v>43646</v>
      </c>
      <c r="AX972" s="123">
        <v>43666</v>
      </c>
      <c r="AY972" s="132">
        <v>33600</v>
      </c>
      <c r="AZ972" s="132">
        <f>ROUNDDOWN(AY972+(AY972*MASTER!$A$2/100),0)</f>
        <v>36288</v>
      </c>
      <c r="BA972" s="84" t="s">
        <v>287</v>
      </c>
      <c r="BB972" s="88">
        <v>21000</v>
      </c>
      <c r="BC972" s="88">
        <v>22680</v>
      </c>
      <c r="BD972" s="84" t="s">
        <v>2466</v>
      </c>
      <c r="BG972" s="88">
        <v>0</v>
      </c>
      <c r="BK972" s="88">
        <v>0</v>
      </c>
      <c r="BS972" s="88">
        <v>0</v>
      </c>
      <c r="BV972" s="89">
        <v>37800</v>
      </c>
      <c r="BW972" s="89">
        <v>22680</v>
      </c>
      <c r="BX972" s="89">
        <v>43614</v>
      </c>
      <c r="BY972" s="89">
        <v>15120</v>
      </c>
      <c r="BZ972" s="112">
        <v>40</v>
      </c>
      <c r="CK972" s="88">
        <v>0</v>
      </c>
    </row>
    <row r="973" spans="1:89" x14ac:dyDescent="0.15">
      <c r="A973" s="84">
        <v>2</v>
      </c>
      <c r="B973" s="85">
        <v>43623</v>
      </c>
      <c r="C973" s="85">
        <v>43644</v>
      </c>
      <c r="E973" s="85">
        <v>43640</v>
      </c>
      <c r="F973" s="85">
        <v>43641</v>
      </c>
      <c r="G973" s="85">
        <v>43637</v>
      </c>
      <c r="H973" s="85">
        <v>43637</v>
      </c>
      <c r="I973" s="84" t="s">
        <v>401</v>
      </c>
      <c r="J973" s="84">
        <v>1</v>
      </c>
      <c r="L973" s="84">
        <v>0</v>
      </c>
      <c r="M973" s="85">
        <v>43615</v>
      </c>
      <c r="N973" s="85" t="s">
        <v>265</v>
      </c>
      <c r="O973" s="86" t="s">
        <v>340</v>
      </c>
      <c r="P973" s="84" t="s">
        <v>26</v>
      </c>
      <c r="Q973" s="86" t="s">
        <v>139</v>
      </c>
      <c r="R973" s="86" t="s">
        <v>2883</v>
      </c>
      <c r="S973" s="87" t="s">
        <v>821</v>
      </c>
      <c r="T973" s="87" t="s">
        <v>889</v>
      </c>
      <c r="U973" s="88">
        <v>90500</v>
      </c>
      <c r="V973" s="88">
        <v>97740</v>
      </c>
      <c r="W973" s="88">
        <v>74500</v>
      </c>
      <c r="X973" s="88">
        <v>80460</v>
      </c>
      <c r="Y973" s="88">
        <v>16000</v>
      </c>
      <c r="Z973" s="88">
        <v>17280</v>
      </c>
      <c r="AA973" s="85">
        <v>43633</v>
      </c>
      <c r="AB973" s="85">
        <v>43634</v>
      </c>
      <c r="AC973" s="85">
        <v>43634</v>
      </c>
      <c r="AD973" s="84">
        <v>0</v>
      </c>
      <c r="AG973" s="84">
        <v>0</v>
      </c>
      <c r="AJ973" s="84">
        <v>0</v>
      </c>
      <c r="AN973" s="84" t="s">
        <v>338</v>
      </c>
      <c r="AR973" s="85">
        <v>43619</v>
      </c>
      <c r="AS973" s="84">
        <v>6001679454</v>
      </c>
      <c r="AT973" s="85">
        <v>43619</v>
      </c>
      <c r="AU973" s="84" t="s">
        <v>2771</v>
      </c>
      <c r="AV973" s="85">
        <v>43644</v>
      </c>
      <c r="AW973" s="123">
        <v>43646</v>
      </c>
      <c r="AX973" s="123">
        <v>43666</v>
      </c>
      <c r="AY973" s="132">
        <v>86880</v>
      </c>
      <c r="AZ973" s="132">
        <f>ROUNDDOWN(AY973+(AY973*MASTER!$A$2/100),0)</f>
        <v>93830</v>
      </c>
      <c r="BA973" s="84" t="s">
        <v>286</v>
      </c>
      <c r="BB973" s="88">
        <v>21000</v>
      </c>
      <c r="BC973" s="88">
        <v>22680</v>
      </c>
      <c r="BD973" s="84" t="s">
        <v>2637</v>
      </c>
      <c r="BG973" s="88">
        <v>0</v>
      </c>
      <c r="BI973" s="84" t="s">
        <v>434</v>
      </c>
      <c r="BJ973" s="88">
        <v>10400</v>
      </c>
      <c r="BK973" s="88">
        <v>11232</v>
      </c>
      <c r="BL973" s="84" t="s">
        <v>2466</v>
      </c>
      <c r="BS973" s="88">
        <v>0</v>
      </c>
      <c r="BV973" s="89">
        <v>80460</v>
      </c>
      <c r="BW973" s="89">
        <v>33912</v>
      </c>
      <c r="BX973" s="89">
        <v>43615</v>
      </c>
      <c r="BY973" s="89">
        <v>46548</v>
      </c>
      <c r="BZ973" s="112">
        <v>57.852348993288594</v>
      </c>
      <c r="CK973" s="88">
        <v>0</v>
      </c>
    </row>
    <row r="974" spans="1:89" x14ac:dyDescent="0.15">
      <c r="A974" s="84">
        <v>1</v>
      </c>
      <c r="B974" s="85">
        <v>43622</v>
      </c>
      <c r="C974" s="85">
        <v>43620</v>
      </c>
      <c r="F974" s="85" t="s">
        <v>338</v>
      </c>
      <c r="H974" s="85" t="s">
        <v>338</v>
      </c>
      <c r="J974" s="84">
        <v>2</v>
      </c>
      <c r="L974" s="84">
        <v>0</v>
      </c>
      <c r="M974" s="85">
        <v>43615</v>
      </c>
      <c r="N974" s="85" t="s">
        <v>265</v>
      </c>
      <c r="O974" s="86" t="s">
        <v>340</v>
      </c>
      <c r="P974" s="84" t="s">
        <v>78</v>
      </c>
      <c r="Q974" s="86" t="s">
        <v>139</v>
      </c>
      <c r="R974" s="86" t="s">
        <v>2884</v>
      </c>
      <c r="S974" s="87" t="s">
        <v>1235</v>
      </c>
      <c r="T974" s="87" t="s">
        <v>2885</v>
      </c>
      <c r="U974" s="88">
        <v>65000</v>
      </c>
      <c r="V974" s="88">
        <v>70200</v>
      </c>
      <c r="W974" s="88">
        <v>65000</v>
      </c>
      <c r="X974" s="88">
        <v>70200</v>
      </c>
      <c r="Z974" s="88">
        <v>0</v>
      </c>
      <c r="AA974" s="85">
        <v>43619</v>
      </c>
      <c r="AB974" s="85">
        <v>43620</v>
      </c>
      <c r="AD974" s="84">
        <v>0</v>
      </c>
      <c r="AG974" s="84">
        <v>0</v>
      </c>
      <c r="AJ974" s="84">
        <v>0</v>
      </c>
      <c r="AN974" s="84" t="s">
        <v>338</v>
      </c>
      <c r="AR974" s="85">
        <v>43620</v>
      </c>
      <c r="AS974" s="84">
        <v>6001679765</v>
      </c>
      <c r="AT974" s="85">
        <v>43620</v>
      </c>
      <c r="AU974" s="84" t="s">
        <v>2636</v>
      </c>
      <c r="AV974" s="85">
        <v>43620</v>
      </c>
      <c r="AW974" s="123">
        <v>43646</v>
      </c>
      <c r="AX974" s="123">
        <v>43666</v>
      </c>
      <c r="AY974" s="132">
        <v>62400</v>
      </c>
      <c r="AZ974" s="132">
        <f>ROUNDDOWN(AY974+(AY974*MASTER!$A$2/100),0)</f>
        <v>67392</v>
      </c>
      <c r="BC974" s="88">
        <v>0</v>
      </c>
      <c r="BG974" s="88">
        <v>0</v>
      </c>
      <c r="BK974" s="88">
        <v>0</v>
      </c>
      <c r="BS974" s="88">
        <v>0</v>
      </c>
      <c r="BV974" s="89">
        <v>70200</v>
      </c>
      <c r="BW974" s="89">
        <v>0</v>
      </c>
      <c r="BX974" s="89">
        <v>43615</v>
      </c>
      <c r="BY974" s="89">
        <v>70200</v>
      </c>
      <c r="BZ974" s="112">
        <v>100</v>
      </c>
      <c r="CK974" s="88">
        <v>0</v>
      </c>
    </row>
    <row r="975" spans="1:89" x14ac:dyDescent="0.15">
      <c r="A975" s="84">
        <v>1</v>
      </c>
      <c r="B975" s="85">
        <v>43622</v>
      </c>
      <c r="C975" s="85">
        <v>43621</v>
      </c>
      <c r="F975" s="85" t="s">
        <v>338</v>
      </c>
      <c r="H975" s="85" t="s">
        <v>338</v>
      </c>
      <c r="J975" s="84">
        <v>2</v>
      </c>
      <c r="L975" s="84">
        <v>0</v>
      </c>
      <c r="M975" s="85">
        <v>43615</v>
      </c>
      <c r="N975" s="85" t="s">
        <v>265</v>
      </c>
      <c r="O975" s="86" t="s">
        <v>340</v>
      </c>
      <c r="P975" s="84" t="s">
        <v>78</v>
      </c>
      <c r="Q975" s="86" t="s">
        <v>139</v>
      </c>
      <c r="R975" s="86" t="s">
        <v>2886</v>
      </c>
      <c r="S975" s="87" t="s">
        <v>2887</v>
      </c>
      <c r="T975" s="87" t="s">
        <v>2885</v>
      </c>
      <c r="U975" s="88">
        <v>65000</v>
      </c>
      <c r="V975" s="88">
        <v>70200</v>
      </c>
      <c r="W975" s="88">
        <v>65000</v>
      </c>
      <c r="X975" s="88">
        <v>70200</v>
      </c>
      <c r="Z975" s="88">
        <v>0</v>
      </c>
      <c r="AA975" s="85">
        <v>43620</v>
      </c>
      <c r="AB975" s="85">
        <v>43621</v>
      </c>
      <c r="AD975" s="84">
        <v>0</v>
      </c>
      <c r="AG975" s="84">
        <v>0</v>
      </c>
      <c r="AJ975" s="84">
        <v>0</v>
      </c>
      <c r="AR975" s="85">
        <v>43620</v>
      </c>
      <c r="AS975" s="84">
        <v>6001679765</v>
      </c>
      <c r="AT975" s="85">
        <v>43620</v>
      </c>
      <c r="AU975" s="84" t="s">
        <v>2636</v>
      </c>
      <c r="AV975" s="85">
        <v>43621</v>
      </c>
      <c r="AW975" s="123">
        <v>43646</v>
      </c>
      <c r="AX975" s="123">
        <v>43666</v>
      </c>
      <c r="AY975" s="132">
        <v>62400</v>
      </c>
      <c r="AZ975" s="132">
        <f>ROUNDDOWN(AY975+(AY975*MASTER!$A$2/100),0)</f>
        <v>67392</v>
      </c>
      <c r="BC975" s="88">
        <v>0</v>
      </c>
      <c r="BG975" s="88">
        <v>0</v>
      </c>
      <c r="BK975" s="88">
        <v>0</v>
      </c>
      <c r="BS975" s="88">
        <v>0</v>
      </c>
      <c r="BV975" s="89">
        <v>70200</v>
      </c>
      <c r="BW975" s="89">
        <v>0</v>
      </c>
      <c r="BX975" s="89">
        <v>43615</v>
      </c>
      <c r="BY975" s="89">
        <v>70200</v>
      </c>
      <c r="BZ975" s="112">
        <v>100</v>
      </c>
      <c r="CK975" s="88">
        <v>0</v>
      </c>
    </row>
    <row r="976" spans="1:89" x14ac:dyDescent="0.15">
      <c r="A976" s="84">
        <v>1</v>
      </c>
      <c r="B976" s="85">
        <v>43622</v>
      </c>
      <c r="C976" s="85">
        <v>43622</v>
      </c>
      <c r="F976" s="85" t="s">
        <v>338</v>
      </c>
      <c r="H976" s="85" t="s">
        <v>338</v>
      </c>
      <c r="J976" s="84">
        <v>2</v>
      </c>
      <c r="L976" s="84">
        <v>0</v>
      </c>
      <c r="M976" s="85">
        <v>43615</v>
      </c>
      <c r="N976" s="85" t="s">
        <v>265</v>
      </c>
      <c r="O976" s="86" t="s">
        <v>340</v>
      </c>
      <c r="P976" s="84" t="s">
        <v>78</v>
      </c>
      <c r="Q976" s="86" t="s">
        <v>139</v>
      </c>
      <c r="R976" s="86" t="s">
        <v>2888</v>
      </c>
      <c r="S976" s="87" t="s">
        <v>1655</v>
      </c>
      <c r="T976" s="87" t="s">
        <v>2889</v>
      </c>
      <c r="U976" s="88">
        <v>65000</v>
      </c>
      <c r="V976" s="88">
        <v>70200</v>
      </c>
      <c r="W976" s="88">
        <v>65000</v>
      </c>
      <c r="X976" s="88">
        <v>70200</v>
      </c>
      <c r="Z976" s="88">
        <v>0</v>
      </c>
      <c r="AA976" s="85">
        <v>43621</v>
      </c>
      <c r="AB976" s="85">
        <v>43622</v>
      </c>
      <c r="AD976" s="84">
        <v>0</v>
      </c>
      <c r="AG976" s="84">
        <v>0</v>
      </c>
      <c r="AJ976" s="84">
        <v>0</v>
      </c>
      <c r="AR976" s="85">
        <v>43620</v>
      </c>
      <c r="AS976" s="84">
        <v>6001679765</v>
      </c>
      <c r="AT976" s="85">
        <v>43620</v>
      </c>
      <c r="AU976" s="84" t="s">
        <v>2636</v>
      </c>
      <c r="AV976" s="85">
        <v>43622</v>
      </c>
      <c r="AW976" s="123">
        <v>43646</v>
      </c>
      <c r="AX976" s="123">
        <v>43666</v>
      </c>
      <c r="AY976" s="132">
        <f t="shared" ref="AY976:AY991" si="5">ROUNDDOWN((0.96*U976),0)</f>
        <v>62400</v>
      </c>
      <c r="AZ976" s="132">
        <f>ROUNDDOWN(AY976+(AY976*MASTER!$A$2/100),0)</f>
        <v>67392</v>
      </c>
      <c r="BC976" s="88">
        <v>0</v>
      </c>
      <c r="BG976" s="88">
        <v>0</v>
      </c>
      <c r="BK976" s="88">
        <v>0</v>
      </c>
      <c r="BS976" s="88">
        <v>0</v>
      </c>
      <c r="BV976" s="89">
        <v>70200</v>
      </c>
      <c r="BW976" s="89">
        <v>0</v>
      </c>
      <c r="BX976" s="89">
        <v>43615</v>
      </c>
      <c r="BY976" s="89">
        <v>70200</v>
      </c>
      <c r="BZ976" s="112">
        <v>100</v>
      </c>
      <c r="CK976" s="88">
        <v>0</v>
      </c>
    </row>
    <row r="977" spans="1:89" x14ac:dyDescent="0.15">
      <c r="A977" s="84">
        <v>1</v>
      </c>
      <c r="B977" s="85">
        <v>43622</v>
      </c>
      <c r="C977" s="85">
        <v>43623</v>
      </c>
      <c r="F977" s="85" t="s">
        <v>338</v>
      </c>
      <c r="H977" s="85" t="s">
        <v>338</v>
      </c>
      <c r="J977" s="84">
        <v>2</v>
      </c>
      <c r="L977" s="84">
        <v>0</v>
      </c>
      <c r="M977" s="85">
        <v>43615</v>
      </c>
      <c r="N977" s="85" t="s">
        <v>265</v>
      </c>
      <c r="O977" s="86" t="s">
        <v>340</v>
      </c>
      <c r="P977" s="84" t="s">
        <v>78</v>
      </c>
      <c r="Q977" s="86" t="s">
        <v>139</v>
      </c>
      <c r="R977" s="86" t="s">
        <v>2890</v>
      </c>
      <c r="S977" s="87" t="s">
        <v>2230</v>
      </c>
      <c r="T977" s="87" t="s">
        <v>2885</v>
      </c>
      <c r="U977" s="88">
        <v>65000</v>
      </c>
      <c r="V977" s="88">
        <v>70200</v>
      </c>
      <c r="W977" s="88">
        <v>65000</v>
      </c>
      <c r="X977" s="88">
        <v>70200</v>
      </c>
      <c r="Z977" s="88">
        <v>0</v>
      </c>
      <c r="AA977" s="85">
        <v>43622</v>
      </c>
      <c r="AB977" s="85">
        <v>43623</v>
      </c>
      <c r="AD977" s="84">
        <v>0</v>
      </c>
      <c r="AG977" s="84">
        <v>0</v>
      </c>
      <c r="AJ977" s="84">
        <v>0</v>
      </c>
      <c r="AR977" s="85">
        <v>43620</v>
      </c>
      <c r="AS977" s="84">
        <v>6001679765</v>
      </c>
      <c r="AT977" s="85">
        <v>43620</v>
      </c>
      <c r="AU977" s="84" t="s">
        <v>2636</v>
      </c>
      <c r="AV977" s="85">
        <v>43623</v>
      </c>
      <c r="AW977" s="123">
        <v>43646</v>
      </c>
      <c r="AX977" s="123">
        <v>43666</v>
      </c>
      <c r="AY977" s="132">
        <f t="shared" si="5"/>
        <v>62400</v>
      </c>
      <c r="AZ977" s="132">
        <f>ROUNDDOWN(AY977+(AY977*MASTER!$A$2/100),0)</f>
        <v>67392</v>
      </c>
      <c r="BC977" s="88">
        <v>0</v>
      </c>
      <c r="BG977" s="88">
        <v>0</v>
      </c>
      <c r="BK977" s="88">
        <v>0</v>
      </c>
      <c r="BS977" s="88">
        <v>0</v>
      </c>
      <c r="BV977" s="89">
        <v>70200</v>
      </c>
      <c r="BW977" s="89">
        <v>0</v>
      </c>
      <c r="BX977" s="89">
        <v>43615</v>
      </c>
      <c r="BY977" s="89">
        <v>70200</v>
      </c>
      <c r="BZ977" s="112">
        <v>100</v>
      </c>
      <c r="CK977" s="88">
        <v>0</v>
      </c>
    </row>
    <row r="978" spans="1:89" x14ac:dyDescent="0.15">
      <c r="A978" s="84">
        <v>1</v>
      </c>
      <c r="B978" s="85">
        <v>43622</v>
      </c>
      <c r="C978" s="85">
        <v>43624</v>
      </c>
      <c r="F978" s="85" t="s">
        <v>338</v>
      </c>
      <c r="H978" s="85" t="s">
        <v>338</v>
      </c>
      <c r="J978" s="84">
        <v>2</v>
      </c>
      <c r="L978" s="84">
        <v>0</v>
      </c>
      <c r="M978" s="85">
        <v>43615</v>
      </c>
      <c r="N978" s="85" t="s">
        <v>265</v>
      </c>
      <c r="O978" s="86" t="s">
        <v>340</v>
      </c>
      <c r="P978" s="84" t="s">
        <v>78</v>
      </c>
      <c r="Q978" s="86" t="s">
        <v>139</v>
      </c>
      <c r="R978" s="86" t="s">
        <v>2891</v>
      </c>
      <c r="S978" s="87" t="s">
        <v>1923</v>
      </c>
      <c r="T978" s="87" t="s">
        <v>2892</v>
      </c>
      <c r="U978" s="88">
        <v>65000</v>
      </c>
      <c r="V978" s="88">
        <v>70200</v>
      </c>
      <c r="W978" s="88">
        <v>65000</v>
      </c>
      <c r="X978" s="88">
        <v>70200</v>
      </c>
      <c r="Z978" s="88">
        <v>0</v>
      </c>
      <c r="AA978" s="85">
        <v>43623</v>
      </c>
      <c r="AB978" s="85">
        <v>43624</v>
      </c>
      <c r="AD978" s="84">
        <v>0</v>
      </c>
      <c r="AG978" s="84">
        <v>0</v>
      </c>
      <c r="AJ978" s="84">
        <v>0</v>
      </c>
      <c r="AR978" s="85">
        <v>43620</v>
      </c>
      <c r="AS978" s="84">
        <v>6001679765</v>
      </c>
      <c r="AT978" s="85">
        <v>43620</v>
      </c>
      <c r="AU978" s="84" t="s">
        <v>2636</v>
      </c>
      <c r="AV978" s="85">
        <v>43624</v>
      </c>
      <c r="AW978" s="123">
        <v>43646</v>
      </c>
      <c r="AX978" s="123">
        <v>43666</v>
      </c>
      <c r="AY978" s="132">
        <f t="shared" si="5"/>
        <v>62400</v>
      </c>
      <c r="AZ978" s="132">
        <f>ROUNDDOWN(AY978+(AY978*MASTER!$A$2/100),0)</f>
        <v>67392</v>
      </c>
      <c r="BC978" s="88">
        <v>0</v>
      </c>
      <c r="BG978" s="88">
        <v>0</v>
      </c>
      <c r="BK978" s="88">
        <v>0</v>
      </c>
      <c r="BS978" s="88">
        <v>0</v>
      </c>
      <c r="BV978" s="89">
        <v>70200</v>
      </c>
      <c r="BW978" s="89">
        <v>0</v>
      </c>
      <c r="BX978" s="89">
        <v>43615</v>
      </c>
      <c r="BY978" s="89">
        <v>70200</v>
      </c>
      <c r="BZ978" s="112">
        <v>100</v>
      </c>
      <c r="CK978" s="88">
        <v>0</v>
      </c>
    </row>
    <row r="979" spans="1:89" x14ac:dyDescent="0.15">
      <c r="A979" s="84">
        <v>1</v>
      </c>
      <c r="B979" s="85">
        <v>43622</v>
      </c>
      <c r="C979" s="85">
        <v>43625</v>
      </c>
      <c r="F979" s="85" t="s">
        <v>338</v>
      </c>
      <c r="H979" s="85" t="s">
        <v>338</v>
      </c>
      <c r="J979" s="84">
        <v>2</v>
      </c>
      <c r="L979" s="84">
        <v>0</v>
      </c>
      <c r="M979" s="85">
        <v>43615</v>
      </c>
      <c r="N979" s="85" t="s">
        <v>265</v>
      </c>
      <c r="O979" s="86" t="s">
        <v>340</v>
      </c>
      <c r="P979" s="84" t="s">
        <v>78</v>
      </c>
      <c r="Q979" s="86" t="s">
        <v>139</v>
      </c>
      <c r="R979" s="86" t="s">
        <v>2893</v>
      </c>
      <c r="S979" s="87" t="s">
        <v>762</v>
      </c>
      <c r="T979" s="87" t="s">
        <v>2894</v>
      </c>
      <c r="U979" s="88">
        <v>65000</v>
      </c>
      <c r="V979" s="88">
        <v>70200</v>
      </c>
      <c r="W979" s="88">
        <v>65000</v>
      </c>
      <c r="X979" s="88">
        <v>70200</v>
      </c>
      <c r="Z979" s="88">
        <v>0</v>
      </c>
      <c r="AA979" s="85">
        <v>43624</v>
      </c>
      <c r="AB979" s="85">
        <v>43625</v>
      </c>
      <c r="AD979" s="84">
        <v>0</v>
      </c>
      <c r="AG979" s="84">
        <v>0</v>
      </c>
      <c r="AJ979" s="84">
        <v>0</v>
      </c>
      <c r="AR979" s="85">
        <v>43620</v>
      </c>
      <c r="AS979" s="84">
        <v>6001679765</v>
      </c>
      <c r="AT979" s="85">
        <v>43620</v>
      </c>
      <c r="AU979" s="84" t="s">
        <v>2636</v>
      </c>
      <c r="AV979" s="85">
        <v>43625</v>
      </c>
      <c r="AW979" s="123">
        <v>43646</v>
      </c>
      <c r="AX979" s="123">
        <v>43666</v>
      </c>
      <c r="AY979" s="132">
        <f t="shared" si="5"/>
        <v>62400</v>
      </c>
      <c r="AZ979" s="132">
        <f>ROUNDDOWN(AY979+(AY979*MASTER!$A$2/100),0)</f>
        <v>67392</v>
      </c>
      <c r="BC979" s="88">
        <v>0</v>
      </c>
      <c r="BG979" s="88">
        <v>0</v>
      </c>
      <c r="BK979" s="88">
        <v>0</v>
      </c>
      <c r="BS979" s="88">
        <v>0</v>
      </c>
      <c r="BV979" s="89">
        <v>70200</v>
      </c>
      <c r="BW979" s="89">
        <v>0</v>
      </c>
      <c r="BX979" s="89">
        <v>43615</v>
      </c>
      <c r="BY979" s="89">
        <v>70200</v>
      </c>
      <c r="BZ979" s="112">
        <v>100</v>
      </c>
      <c r="CK979" s="88">
        <v>0</v>
      </c>
    </row>
    <row r="980" spans="1:89" x14ac:dyDescent="0.15">
      <c r="A980" s="84">
        <v>1</v>
      </c>
      <c r="B980" s="85">
        <v>43622</v>
      </c>
      <c r="C980" s="85">
        <v>43627</v>
      </c>
      <c r="F980" s="85" t="s">
        <v>338</v>
      </c>
      <c r="H980" s="85" t="s">
        <v>338</v>
      </c>
      <c r="J980" s="84">
        <v>2</v>
      </c>
      <c r="L980" s="84">
        <v>0</v>
      </c>
      <c r="M980" s="85">
        <v>43615</v>
      </c>
      <c r="N980" s="85" t="s">
        <v>265</v>
      </c>
      <c r="O980" s="86" t="s">
        <v>340</v>
      </c>
      <c r="P980" s="84" t="s">
        <v>78</v>
      </c>
      <c r="Q980" s="86" t="s">
        <v>139</v>
      </c>
      <c r="R980" s="86" t="s">
        <v>2895</v>
      </c>
      <c r="S980" s="87" t="s">
        <v>1428</v>
      </c>
      <c r="T980" s="87" t="s">
        <v>2896</v>
      </c>
      <c r="U980" s="88">
        <v>65000</v>
      </c>
      <c r="V980" s="88">
        <v>70200</v>
      </c>
      <c r="W980" s="88">
        <v>65000</v>
      </c>
      <c r="X980" s="88">
        <v>70200</v>
      </c>
      <c r="Z980" s="88">
        <v>0</v>
      </c>
      <c r="AA980" s="85">
        <v>43626</v>
      </c>
      <c r="AB980" s="85">
        <v>43627</v>
      </c>
      <c r="AD980" s="84">
        <v>0</v>
      </c>
      <c r="AG980" s="84">
        <v>0</v>
      </c>
      <c r="AJ980" s="84">
        <v>0</v>
      </c>
      <c r="AR980" s="85">
        <v>43620</v>
      </c>
      <c r="AS980" s="84">
        <v>6001679765</v>
      </c>
      <c r="AT980" s="85">
        <v>43620</v>
      </c>
      <c r="AU980" s="84" t="s">
        <v>2636</v>
      </c>
      <c r="AV980" s="85">
        <v>43627</v>
      </c>
      <c r="AW980" s="123">
        <v>43646</v>
      </c>
      <c r="AX980" s="123">
        <v>43666</v>
      </c>
      <c r="AY980" s="132">
        <f t="shared" si="5"/>
        <v>62400</v>
      </c>
      <c r="AZ980" s="132">
        <f>ROUNDDOWN(AY980+(AY980*MASTER!$A$2/100),0)</f>
        <v>67392</v>
      </c>
      <c r="BC980" s="88">
        <v>0</v>
      </c>
      <c r="BG980" s="88">
        <v>0</v>
      </c>
      <c r="BK980" s="88">
        <v>0</v>
      </c>
      <c r="BS980" s="88">
        <v>0</v>
      </c>
      <c r="BV980" s="89">
        <v>70200</v>
      </c>
      <c r="BW980" s="89">
        <v>0</v>
      </c>
      <c r="BX980" s="89">
        <v>43615</v>
      </c>
      <c r="BY980" s="89">
        <v>70200</v>
      </c>
      <c r="BZ980" s="112">
        <v>100</v>
      </c>
      <c r="CK980" s="88">
        <v>0</v>
      </c>
    </row>
    <row r="981" spans="1:89" x14ac:dyDescent="0.15">
      <c r="A981" s="84">
        <v>1</v>
      </c>
      <c r="B981" s="85">
        <v>43622</v>
      </c>
      <c r="C981" s="85">
        <v>43628</v>
      </c>
      <c r="F981" s="85" t="s">
        <v>338</v>
      </c>
      <c r="H981" s="85" t="s">
        <v>338</v>
      </c>
      <c r="J981" s="84">
        <v>2</v>
      </c>
      <c r="L981" s="84">
        <v>0</v>
      </c>
      <c r="M981" s="85">
        <v>43615</v>
      </c>
      <c r="N981" s="85" t="s">
        <v>265</v>
      </c>
      <c r="O981" s="86" t="s">
        <v>340</v>
      </c>
      <c r="P981" s="84" t="s">
        <v>78</v>
      </c>
      <c r="Q981" s="86" t="s">
        <v>139</v>
      </c>
      <c r="R981" s="86" t="s">
        <v>2897</v>
      </c>
      <c r="S981" s="87" t="s">
        <v>2248</v>
      </c>
      <c r="T981" s="87" t="s">
        <v>2889</v>
      </c>
      <c r="U981" s="88">
        <v>65000</v>
      </c>
      <c r="V981" s="88">
        <v>70200</v>
      </c>
      <c r="W981" s="88">
        <v>65000</v>
      </c>
      <c r="X981" s="88">
        <v>70200</v>
      </c>
      <c r="Z981" s="88">
        <v>0</v>
      </c>
      <c r="AA981" s="85">
        <v>43627</v>
      </c>
      <c r="AB981" s="85">
        <v>43628</v>
      </c>
      <c r="AD981" s="84">
        <v>0</v>
      </c>
      <c r="AG981" s="84">
        <v>0</v>
      </c>
      <c r="AJ981" s="84">
        <v>0</v>
      </c>
      <c r="AR981" s="85">
        <v>43620</v>
      </c>
      <c r="AS981" s="84">
        <v>6001679765</v>
      </c>
      <c r="AT981" s="85">
        <v>43620</v>
      </c>
      <c r="AU981" s="84" t="s">
        <v>2636</v>
      </c>
      <c r="AV981" s="85">
        <v>43628</v>
      </c>
      <c r="AW981" s="123">
        <v>43646</v>
      </c>
      <c r="AX981" s="123">
        <v>43666</v>
      </c>
      <c r="AY981" s="132">
        <f t="shared" si="5"/>
        <v>62400</v>
      </c>
      <c r="AZ981" s="132">
        <f>ROUNDDOWN(AY981+(AY981*MASTER!$A$2/100),0)</f>
        <v>67392</v>
      </c>
      <c r="BC981" s="88">
        <v>0</v>
      </c>
      <c r="BG981" s="88">
        <v>0</v>
      </c>
      <c r="BK981" s="88">
        <v>0</v>
      </c>
      <c r="BS981" s="88">
        <v>0</v>
      </c>
      <c r="BV981" s="89">
        <v>70200</v>
      </c>
      <c r="BW981" s="89">
        <v>0</v>
      </c>
      <c r="BX981" s="89">
        <v>43615</v>
      </c>
      <c r="BY981" s="89">
        <v>70200</v>
      </c>
      <c r="BZ981" s="112">
        <v>100</v>
      </c>
      <c r="CK981" s="88">
        <v>0</v>
      </c>
    </row>
    <row r="982" spans="1:89" x14ac:dyDescent="0.15">
      <c r="A982" s="84">
        <v>1</v>
      </c>
      <c r="B982" s="85">
        <v>43622</v>
      </c>
      <c r="C982" s="85">
        <v>43629</v>
      </c>
      <c r="F982" s="85" t="s">
        <v>338</v>
      </c>
      <c r="H982" s="85" t="s">
        <v>338</v>
      </c>
      <c r="J982" s="84">
        <v>2</v>
      </c>
      <c r="L982" s="84">
        <v>0</v>
      </c>
      <c r="M982" s="85">
        <v>43615</v>
      </c>
      <c r="N982" s="85" t="s">
        <v>265</v>
      </c>
      <c r="O982" s="86" t="s">
        <v>340</v>
      </c>
      <c r="P982" s="84" t="s">
        <v>78</v>
      </c>
      <c r="Q982" s="86" t="s">
        <v>139</v>
      </c>
      <c r="R982" s="86" t="s">
        <v>2898</v>
      </c>
      <c r="S982" s="87" t="s">
        <v>384</v>
      </c>
      <c r="T982" s="87" t="s">
        <v>2889</v>
      </c>
      <c r="U982" s="88">
        <v>65000</v>
      </c>
      <c r="V982" s="88">
        <v>70200</v>
      </c>
      <c r="W982" s="88">
        <v>65000</v>
      </c>
      <c r="X982" s="88">
        <v>70200</v>
      </c>
      <c r="Z982" s="88">
        <v>0</v>
      </c>
      <c r="AA982" s="85">
        <v>43628</v>
      </c>
      <c r="AB982" s="85">
        <v>43629</v>
      </c>
      <c r="AD982" s="84">
        <v>0</v>
      </c>
      <c r="AG982" s="84">
        <v>0</v>
      </c>
      <c r="AJ982" s="84">
        <v>0</v>
      </c>
      <c r="AR982" s="85">
        <v>43620</v>
      </c>
      <c r="AS982" s="84">
        <v>6001679765</v>
      </c>
      <c r="AT982" s="85">
        <v>43620</v>
      </c>
      <c r="AU982" s="84" t="s">
        <v>2636</v>
      </c>
      <c r="AV982" s="85">
        <v>43629</v>
      </c>
      <c r="AW982" s="123">
        <v>43646</v>
      </c>
      <c r="AX982" s="123">
        <v>43666</v>
      </c>
      <c r="AY982" s="132">
        <f t="shared" si="5"/>
        <v>62400</v>
      </c>
      <c r="AZ982" s="132">
        <f>ROUNDDOWN(AY982+(AY982*MASTER!$A$2/100),0)</f>
        <v>67392</v>
      </c>
      <c r="BC982" s="88">
        <v>0</v>
      </c>
      <c r="BG982" s="88">
        <v>0</v>
      </c>
      <c r="BK982" s="88">
        <v>0</v>
      </c>
      <c r="BS982" s="88">
        <v>0</v>
      </c>
      <c r="BV982" s="89">
        <v>70200</v>
      </c>
      <c r="BW982" s="89">
        <v>0</v>
      </c>
      <c r="BX982" s="89">
        <v>43615</v>
      </c>
      <c r="BY982" s="89">
        <v>70200</v>
      </c>
      <c r="BZ982" s="112">
        <v>100</v>
      </c>
      <c r="CK982" s="88">
        <v>0</v>
      </c>
    </row>
    <row r="983" spans="1:89" x14ac:dyDescent="0.15">
      <c r="A983" s="84">
        <v>1</v>
      </c>
      <c r="B983" s="85">
        <v>43622</v>
      </c>
      <c r="C983" s="85">
        <v>43630</v>
      </c>
      <c r="F983" s="85" t="s">
        <v>338</v>
      </c>
      <c r="H983" s="85" t="s">
        <v>338</v>
      </c>
      <c r="J983" s="84">
        <v>2</v>
      </c>
      <c r="L983" s="84">
        <v>0</v>
      </c>
      <c r="M983" s="85">
        <v>43615</v>
      </c>
      <c r="N983" s="85" t="s">
        <v>265</v>
      </c>
      <c r="O983" s="86" t="s">
        <v>340</v>
      </c>
      <c r="P983" s="84" t="s">
        <v>78</v>
      </c>
      <c r="Q983" s="86" t="s">
        <v>139</v>
      </c>
      <c r="R983" s="86" t="s">
        <v>2899</v>
      </c>
      <c r="S983" s="87" t="s">
        <v>1697</v>
      </c>
      <c r="T983" s="87" t="s">
        <v>502</v>
      </c>
      <c r="U983" s="88">
        <v>65000</v>
      </c>
      <c r="V983" s="88">
        <v>70200</v>
      </c>
      <c r="W983" s="88">
        <v>65000</v>
      </c>
      <c r="X983" s="88">
        <v>70200</v>
      </c>
      <c r="Z983" s="88">
        <v>0</v>
      </c>
      <c r="AA983" s="85">
        <v>43629</v>
      </c>
      <c r="AB983" s="85">
        <v>43630</v>
      </c>
      <c r="AD983" s="84">
        <v>0</v>
      </c>
      <c r="AG983" s="84">
        <v>0</v>
      </c>
      <c r="AJ983" s="84">
        <v>0</v>
      </c>
      <c r="AR983" s="85">
        <v>43620</v>
      </c>
      <c r="AS983" s="84">
        <v>6001679765</v>
      </c>
      <c r="AT983" s="85">
        <v>43620</v>
      </c>
      <c r="AU983" s="84" t="s">
        <v>2636</v>
      </c>
      <c r="AV983" s="85">
        <v>43630</v>
      </c>
      <c r="AW983" s="123">
        <v>43646</v>
      </c>
      <c r="AX983" s="123">
        <v>43666</v>
      </c>
      <c r="AY983" s="132">
        <f t="shared" si="5"/>
        <v>62400</v>
      </c>
      <c r="AZ983" s="132">
        <f>ROUNDDOWN(AY983+(AY983*MASTER!$A$2/100),0)</f>
        <v>67392</v>
      </c>
      <c r="BC983" s="88">
        <v>0</v>
      </c>
      <c r="BG983" s="88">
        <v>0</v>
      </c>
      <c r="BK983" s="88">
        <v>0</v>
      </c>
      <c r="BS983" s="88">
        <v>0</v>
      </c>
      <c r="BV983" s="89">
        <v>70200</v>
      </c>
      <c r="BW983" s="89">
        <v>0</v>
      </c>
      <c r="BX983" s="89">
        <v>43615</v>
      </c>
      <c r="BY983" s="89">
        <v>70200</v>
      </c>
      <c r="BZ983" s="112">
        <v>100</v>
      </c>
      <c r="CK983" s="88">
        <v>0</v>
      </c>
    </row>
    <row r="984" spans="1:89" x14ac:dyDescent="0.15">
      <c r="A984" s="84">
        <v>1</v>
      </c>
      <c r="B984" s="85">
        <v>43622</v>
      </c>
      <c r="C984" s="85">
        <v>43634</v>
      </c>
      <c r="F984" s="85" t="s">
        <v>338</v>
      </c>
      <c r="H984" s="85" t="s">
        <v>338</v>
      </c>
      <c r="J984" s="84">
        <v>2</v>
      </c>
      <c r="L984" s="84">
        <v>0</v>
      </c>
      <c r="M984" s="85">
        <v>43615</v>
      </c>
      <c r="N984" s="85" t="s">
        <v>265</v>
      </c>
      <c r="O984" s="86" t="s">
        <v>340</v>
      </c>
      <c r="P984" s="84" t="s">
        <v>78</v>
      </c>
      <c r="Q984" s="86" t="s">
        <v>139</v>
      </c>
      <c r="R984" s="86" t="s">
        <v>2900</v>
      </c>
      <c r="S984" s="87" t="s">
        <v>1518</v>
      </c>
      <c r="T984" s="87" t="s">
        <v>2889</v>
      </c>
      <c r="U984" s="88">
        <v>65000</v>
      </c>
      <c r="V984" s="88">
        <v>70200</v>
      </c>
      <c r="W984" s="88">
        <v>65000</v>
      </c>
      <c r="X984" s="88">
        <v>70200</v>
      </c>
      <c r="Z984" s="88">
        <v>0</v>
      </c>
      <c r="AA984" s="85">
        <v>43633</v>
      </c>
      <c r="AB984" s="85">
        <v>43634</v>
      </c>
      <c r="AD984" s="84">
        <v>0</v>
      </c>
      <c r="AG984" s="84">
        <v>0</v>
      </c>
      <c r="AJ984" s="84">
        <v>0</v>
      </c>
      <c r="AR984" s="85">
        <v>43620</v>
      </c>
      <c r="AS984" s="84">
        <v>6001679765</v>
      </c>
      <c r="AT984" s="85">
        <v>43620</v>
      </c>
      <c r="AU984" s="84" t="s">
        <v>2636</v>
      </c>
      <c r="AV984" s="85">
        <v>43634</v>
      </c>
      <c r="AW984" s="123">
        <v>43646</v>
      </c>
      <c r="AX984" s="123">
        <v>43666</v>
      </c>
      <c r="AY984" s="132">
        <f t="shared" si="5"/>
        <v>62400</v>
      </c>
      <c r="AZ984" s="132">
        <f>ROUNDDOWN(AY984+(AY984*MASTER!$A$2/100),0)</f>
        <v>67392</v>
      </c>
      <c r="BC984" s="88">
        <v>0</v>
      </c>
      <c r="BG984" s="88">
        <v>0</v>
      </c>
      <c r="BK984" s="88">
        <v>0</v>
      </c>
      <c r="BS984" s="88">
        <v>0</v>
      </c>
      <c r="BV984" s="89">
        <v>70200</v>
      </c>
      <c r="BW984" s="89">
        <v>0</v>
      </c>
      <c r="BX984" s="89">
        <v>43615</v>
      </c>
      <c r="BY984" s="89">
        <v>70200</v>
      </c>
      <c r="BZ984" s="112">
        <v>100</v>
      </c>
      <c r="CK984" s="88">
        <v>0</v>
      </c>
    </row>
    <row r="985" spans="1:89" x14ac:dyDescent="0.15">
      <c r="A985" s="84">
        <v>1</v>
      </c>
      <c r="B985" s="85">
        <v>43622</v>
      </c>
      <c r="C985" s="85">
        <v>43635</v>
      </c>
      <c r="F985" s="85" t="s">
        <v>338</v>
      </c>
      <c r="H985" s="85" t="s">
        <v>338</v>
      </c>
      <c r="J985" s="84">
        <v>2</v>
      </c>
      <c r="L985" s="84">
        <v>0</v>
      </c>
      <c r="M985" s="85">
        <v>43615</v>
      </c>
      <c r="N985" s="85" t="s">
        <v>265</v>
      </c>
      <c r="O985" s="86" t="s">
        <v>340</v>
      </c>
      <c r="P985" s="84" t="s">
        <v>78</v>
      </c>
      <c r="Q985" s="86" t="s">
        <v>139</v>
      </c>
      <c r="R985" s="86" t="s">
        <v>2901</v>
      </c>
      <c r="S985" s="87" t="s">
        <v>552</v>
      </c>
      <c r="T985" s="87" t="s">
        <v>2896</v>
      </c>
      <c r="U985" s="88">
        <v>65000</v>
      </c>
      <c r="V985" s="88">
        <v>70200</v>
      </c>
      <c r="W985" s="88">
        <v>65000</v>
      </c>
      <c r="X985" s="88">
        <v>70200</v>
      </c>
      <c r="Z985" s="88">
        <v>0</v>
      </c>
      <c r="AA985" s="85">
        <v>43634</v>
      </c>
      <c r="AB985" s="85">
        <v>43635</v>
      </c>
      <c r="AD985" s="84">
        <v>0</v>
      </c>
      <c r="AG985" s="84">
        <v>0</v>
      </c>
      <c r="AJ985" s="84">
        <v>0</v>
      </c>
      <c r="AR985" s="85">
        <v>43620</v>
      </c>
      <c r="AS985" s="84">
        <v>6001679765</v>
      </c>
      <c r="AT985" s="85">
        <v>43620</v>
      </c>
      <c r="AU985" s="84" t="s">
        <v>2636</v>
      </c>
      <c r="AV985" s="85">
        <v>43635</v>
      </c>
      <c r="AW985" s="123">
        <v>43646</v>
      </c>
      <c r="AX985" s="123">
        <v>43666</v>
      </c>
      <c r="AY985" s="132">
        <f t="shared" si="5"/>
        <v>62400</v>
      </c>
      <c r="AZ985" s="132">
        <f>ROUNDDOWN(AY985+(AY985*MASTER!$A$2/100),0)</f>
        <v>67392</v>
      </c>
      <c r="BC985" s="88">
        <v>0</v>
      </c>
      <c r="BG985" s="88">
        <v>0</v>
      </c>
      <c r="BK985" s="88">
        <v>0</v>
      </c>
      <c r="BS985" s="88">
        <v>0</v>
      </c>
      <c r="BV985" s="89">
        <v>70200</v>
      </c>
      <c r="BW985" s="89">
        <v>0</v>
      </c>
      <c r="BX985" s="89">
        <v>43615</v>
      </c>
      <c r="BY985" s="89">
        <v>70200</v>
      </c>
      <c r="BZ985" s="112">
        <v>100</v>
      </c>
      <c r="CK985" s="88">
        <v>0</v>
      </c>
    </row>
    <row r="986" spans="1:89" x14ac:dyDescent="0.15">
      <c r="A986" s="84">
        <v>1</v>
      </c>
      <c r="B986" s="85">
        <v>43622</v>
      </c>
      <c r="C986" s="85">
        <v>43636</v>
      </c>
      <c r="F986" s="85" t="s">
        <v>338</v>
      </c>
      <c r="H986" s="85" t="s">
        <v>338</v>
      </c>
      <c r="J986" s="84">
        <v>2</v>
      </c>
      <c r="L986" s="84">
        <v>0</v>
      </c>
      <c r="M986" s="85">
        <v>43615</v>
      </c>
      <c r="N986" s="85" t="s">
        <v>265</v>
      </c>
      <c r="O986" s="86" t="s">
        <v>340</v>
      </c>
      <c r="P986" s="84" t="s">
        <v>78</v>
      </c>
      <c r="Q986" s="86" t="s">
        <v>139</v>
      </c>
      <c r="R986" s="86" t="s">
        <v>2902</v>
      </c>
      <c r="S986" s="87" t="s">
        <v>2367</v>
      </c>
      <c r="T986" s="87" t="s">
        <v>2896</v>
      </c>
      <c r="U986" s="88">
        <v>65000</v>
      </c>
      <c r="V986" s="88">
        <v>70200</v>
      </c>
      <c r="W986" s="88">
        <v>65000</v>
      </c>
      <c r="X986" s="88">
        <v>70200</v>
      </c>
      <c r="Z986" s="88">
        <v>0</v>
      </c>
      <c r="AA986" s="85">
        <v>43635</v>
      </c>
      <c r="AB986" s="85">
        <v>43636</v>
      </c>
      <c r="AD986" s="84">
        <v>0</v>
      </c>
      <c r="AG986" s="84">
        <v>0</v>
      </c>
      <c r="AJ986" s="84">
        <v>0</v>
      </c>
      <c r="AR986" s="85">
        <v>43620</v>
      </c>
      <c r="AS986" s="84">
        <v>6001679765</v>
      </c>
      <c r="AT986" s="85">
        <v>43620</v>
      </c>
      <c r="AU986" s="84" t="s">
        <v>2636</v>
      </c>
      <c r="AV986" s="85">
        <v>43636</v>
      </c>
      <c r="AW986" s="123">
        <v>43646</v>
      </c>
      <c r="AX986" s="123">
        <v>43666</v>
      </c>
      <c r="AY986" s="132">
        <f t="shared" si="5"/>
        <v>62400</v>
      </c>
      <c r="AZ986" s="132">
        <f>ROUNDDOWN(AY986+(AY986*MASTER!$A$2/100),0)</f>
        <v>67392</v>
      </c>
      <c r="BC986" s="88">
        <v>0</v>
      </c>
      <c r="BG986" s="88">
        <v>0</v>
      </c>
      <c r="BK986" s="88">
        <v>0</v>
      </c>
      <c r="BS986" s="88">
        <v>0</v>
      </c>
      <c r="BV986" s="89">
        <v>70200</v>
      </c>
      <c r="BW986" s="89">
        <v>0</v>
      </c>
      <c r="BX986" s="89">
        <v>43615</v>
      </c>
      <c r="BY986" s="89">
        <v>70200</v>
      </c>
      <c r="BZ986" s="112">
        <v>100</v>
      </c>
      <c r="CK986" s="88">
        <v>0</v>
      </c>
    </row>
    <row r="987" spans="1:89" x14ac:dyDescent="0.15">
      <c r="A987" s="84">
        <v>1</v>
      </c>
      <c r="B987" s="85">
        <v>43622</v>
      </c>
      <c r="C987" s="85">
        <v>43637</v>
      </c>
      <c r="F987" s="85" t="s">
        <v>338</v>
      </c>
      <c r="H987" s="85" t="s">
        <v>338</v>
      </c>
      <c r="J987" s="84">
        <v>2</v>
      </c>
      <c r="L987" s="84">
        <v>0</v>
      </c>
      <c r="M987" s="85">
        <v>43615</v>
      </c>
      <c r="N987" s="85" t="s">
        <v>265</v>
      </c>
      <c r="O987" s="86" t="s">
        <v>340</v>
      </c>
      <c r="P987" s="84" t="s">
        <v>78</v>
      </c>
      <c r="Q987" s="86" t="s">
        <v>139</v>
      </c>
      <c r="R987" s="86" t="s">
        <v>2903</v>
      </c>
      <c r="S987" s="87" t="s">
        <v>898</v>
      </c>
      <c r="T987" s="87" t="s">
        <v>2896</v>
      </c>
      <c r="U987" s="88">
        <v>65000</v>
      </c>
      <c r="V987" s="88">
        <v>70200</v>
      </c>
      <c r="W987" s="88">
        <v>65000</v>
      </c>
      <c r="X987" s="88">
        <v>70200</v>
      </c>
      <c r="Z987" s="88">
        <v>0</v>
      </c>
      <c r="AA987" s="85">
        <v>43636</v>
      </c>
      <c r="AB987" s="85">
        <v>43637</v>
      </c>
      <c r="AD987" s="84">
        <v>0</v>
      </c>
      <c r="AG987" s="84">
        <v>0</v>
      </c>
      <c r="AJ987" s="84">
        <v>0</v>
      </c>
      <c r="AR987" s="85">
        <v>43620</v>
      </c>
      <c r="AS987" s="84">
        <v>6001679765</v>
      </c>
      <c r="AT987" s="85">
        <v>43620</v>
      </c>
      <c r="AU987" s="84" t="s">
        <v>2636</v>
      </c>
      <c r="AV987" s="85">
        <v>43637</v>
      </c>
      <c r="AW987" s="123">
        <v>43646</v>
      </c>
      <c r="AX987" s="123">
        <v>43666</v>
      </c>
      <c r="AY987" s="132">
        <f t="shared" si="5"/>
        <v>62400</v>
      </c>
      <c r="AZ987" s="132">
        <f>ROUNDDOWN(AY987+(AY987*MASTER!$A$2/100),0)</f>
        <v>67392</v>
      </c>
      <c r="BC987" s="88">
        <v>0</v>
      </c>
      <c r="BG987" s="88">
        <v>0</v>
      </c>
      <c r="BK987" s="88">
        <v>0</v>
      </c>
      <c r="BS987" s="88">
        <v>0</v>
      </c>
      <c r="BV987" s="89">
        <v>70200</v>
      </c>
      <c r="BW987" s="89">
        <v>0</v>
      </c>
      <c r="BX987" s="89">
        <v>43615</v>
      </c>
      <c r="BY987" s="89">
        <v>70200</v>
      </c>
      <c r="BZ987" s="112">
        <v>100</v>
      </c>
      <c r="CK987" s="88">
        <v>0</v>
      </c>
    </row>
    <row r="988" spans="1:89" x14ac:dyDescent="0.15">
      <c r="A988" s="84">
        <v>1</v>
      </c>
      <c r="B988" s="85">
        <v>43622</v>
      </c>
      <c r="C988" s="85">
        <v>43641</v>
      </c>
      <c r="F988" s="85" t="s">
        <v>338</v>
      </c>
      <c r="H988" s="85" t="s">
        <v>338</v>
      </c>
      <c r="J988" s="84">
        <v>2</v>
      </c>
      <c r="L988" s="84">
        <v>0</v>
      </c>
      <c r="M988" s="85">
        <v>43615</v>
      </c>
      <c r="N988" s="85" t="s">
        <v>265</v>
      </c>
      <c r="O988" s="86" t="s">
        <v>340</v>
      </c>
      <c r="P988" s="84" t="s">
        <v>78</v>
      </c>
      <c r="Q988" s="86" t="s">
        <v>139</v>
      </c>
      <c r="R988" s="86" t="s">
        <v>2904</v>
      </c>
      <c r="S988" s="87" t="s">
        <v>2905</v>
      </c>
      <c r="T988" s="87" t="s">
        <v>2889</v>
      </c>
      <c r="U988" s="88">
        <v>65000</v>
      </c>
      <c r="V988" s="88">
        <v>70200</v>
      </c>
      <c r="W988" s="88">
        <v>65000</v>
      </c>
      <c r="X988" s="88">
        <v>70200</v>
      </c>
      <c r="Z988" s="88">
        <v>0</v>
      </c>
      <c r="AA988" s="85">
        <v>43640</v>
      </c>
      <c r="AB988" s="85">
        <v>43641</v>
      </c>
      <c r="AD988" s="84">
        <v>0</v>
      </c>
      <c r="AG988" s="84">
        <v>0</v>
      </c>
      <c r="AJ988" s="84">
        <v>0</v>
      </c>
      <c r="AR988" s="85">
        <v>43620</v>
      </c>
      <c r="AS988" s="84">
        <v>6001679765</v>
      </c>
      <c r="AT988" s="85">
        <v>43620</v>
      </c>
      <c r="AU988" s="84" t="s">
        <v>2636</v>
      </c>
      <c r="AV988" s="85">
        <v>43641</v>
      </c>
      <c r="AW988" s="123">
        <v>43646</v>
      </c>
      <c r="AX988" s="123">
        <v>43666</v>
      </c>
      <c r="AY988" s="132">
        <f t="shared" si="5"/>
        <v>62400</v>
      </c>
      <c r="AZ988" s="132">
        <f>ROUNDDOWN(AY988+(AY988*MASTER!$A$2/100),0)</f>
        <v>67392</v>
      </c>
      <c r="BC988" s="88">
        <v>0</v>
      </c>
      <c r="BG988" s="88">
        <v>0</v>
      </c>
      <c r="BK988" s="88">
        <v>0</v>
      </c>
      <c r="BS988" s="88">
        <v>0</v>
      </c>
      <c r="BV988" s="89">
        <v>70200</v>
      </c>
      <c r="BW988" s="89">
        <v>0</v>
      </c>
      <c r="BX988" s="89">
        <v>43615</v>
      </c>
      <c r="BY988" s="89">
        <v>70200</v>
      </c>
      <c r="BZ988" s="112">
        <v>100</v>
      </c>
      <c r="CK988" s="88">
        <v>0</v>
      </c>
    </row>
    <row r="989" spans="1:89" x14ac:dyDescent="0.15">
      <c r="A989" s="84">
        <v>1</v>
      </c>
      <c r="B989" s="85">
        <v>43622</v>
      </c>
      <c r="C989" s="85">
        <v>43642</v>
      </c>
      <c r="F989" s="85" t="s">
        <v>338</v>
      </c>
      <c r="H989" s="85" t="s">
        <v>338</v>
      </c>
      <c r="J989" s="84">
        <v>2</v>
      </c>
      <c r="L989" s="84">
        <v>0</v>
      </c>
      <c r="M989" s="85">
        <v>43615</v>
      </c>
      <c r="N989" s="85" t="s">
        <v>265</v>
      </c>
      <c r="O989" s="86" t="s">
        <v>340</v>
      </c>
      <c r="P989" s="84" t="s">
        <v>78</v>
      </c>
      <c r="Q989" s="86" t="s">
        <v>139</v>
      </c>
      <c r="R989" s="86" t="s">
        <v>2906</v>
      </c>
      <c r="S989" s="87" t="s">
        <v>2907</v>
      </c>
      <c r="T989" s="87" t="s">
        <v>2889</v>
      </c>
      <c r="U989" s="88">
        <v>65000</v>
      </c>
      <c r="V989" s="88">
        <v>70200</v>
      </c>
      <c r="W989" s="88">
        <v>65000</v>
      </c>
      <c r="X989" s="88">
        <v>70200</v>
      </c>
      <c r="Z989" s="88">
        <v>0</v>
      </c>
      <c r="AA989" s="85">
        <v>43641</v>
      </c>
      <c r="AB989" s="85">
        <v>43642</v>
      </c>
      <c r="AD989" s="84">
        <v>0</v>
      </c>
      <c r="AG989" s="84">
        <v>0</v>
      </c>
      <c r="AJ989" s="84">
        <v>0</v>
      </c>
      <c r="AR989" s="85">
        <v>43620</v>
      </c>
      <c r="AS989" s="84">
        <v>6001679765</v>
      </c>
      <c r="AT989" s="85">
        <v>43620</v>
      </c>
      <c r="AU989" s="84" t="s">
        <v>2636</v>
      </c>
      <c r="AV989" s="85">
        <v>43642</v>
      </c>
      <c r="AW989" s="123">
        <v>43646</v>
      </c>
      <c r="AX989" s="123">
        <v>43666</v>
      </c>
      <c r="AY989" s="132">
        <f t="shared" si="5"/>
        <v>62400</v>
      </c>
      <c r="AZ989" s="132">
        <f>ROUNDDOWN(AY989+(AY989*MASTER!$A$2/100),0)</f>
        <v>67392</v>
      </c>
      <c r="BC989" s="88">
        <v>0</v>
      </c>
      <c r="BG989" s="88">
        <v>0</v>
      </c>
      <c r="BK989" s="88">
        <v>0</v>
      </c>
      <c r="BS989" s="88">
        <v>0</v>
      </c>
      <c r="BV989" s="89">
        <v>70200</v>
      </c>
      <c r="BW989" s="89">
        <v>0</v>
      </c>
      <c r="BX989" s="89">
        <v>43615</v>
      </c>
      <c r="BY989" s="89">
        <v>70200</v>
      </c>
      <c r="BZ989" s="112">
        <v>100</v>
      </c>
      <c r="CK989" s="88">
        <v>0</v>
      </c>
    </row>
    <row r="990" spans="1:89" x14ac:dyDescent="0.15">
      <c r="A990" s="84">
        <v>1</v>
      </c>
      <c r="B990" s="85">
        <v>43622</v>
      </c>
      <c r="C990" s="85">
        <v>43643</v>
      </c>
      <c r="F990" s="85" t="s">
        <v>338</v>
      </c>
      <c r="H990" s="85" t="s">
        <v>338</v>
      </c>
      <c r="J990" s="84">
        <v>2</v>
      </c>
      <c r="L990" s="84">
        <v>0</v>
      </c>
      <c r="M990" s="85">
        <v>43615</v>
      </c>
      <c r="N990" s="85" t="s">
        <v>265</v>
      </c>
      <c r="O990" s="86" t="s">
        <v>340</v>
      </c>
      <c r="P990" s="84" t="s">
        <v>78</v>
      </c>
      <c r="Q990" s="86" t="s">
        <v>139</v>
      </c>
      <c r="R990" s="86" t="s">
        <v>2908</v>
      </c>
      <c r="S990" s="87" t="s">
        <v>2909</v>
      </c>
      <c r="T990" s="87" t="s">
        <v>2910</v>
      </c>
      <c r="U990" s="88">
        <v>65000</v>
      </c>
      <c r="V990" s="88">
        <v>70200</v>
      </c>
      <c r="W990" s="88">
        <v>65000</v>
      </c>
      <c r="X990" s="88">
        <v>70200</v>
      </c>
      <c r="Z990" s="88">
        <v>0</v>
      </c>
      <c r="AA990" s="85">
        <v>43642</v>
      </c>
      <c r="AB990" s="85">
        <v>43643</v>
      </c>
      <c r="AD990" s="84">
        <v>0</v>
      </c>
      <c r="AG990" s="84">
        <v>0</v>
      </c>
      <c r="AJ990" s="84">
        <v>0</v>
      </c>
      <c r="AR990" s="85">
        <v>43620</v>
      </c>
      <c r="AS990" s="84">
        <v>6001679765</v>
      </c>
      <c r="AT990" s="85">
        <v>43620</v>
      </c>
      <c r="AU990" s="84" t="s">
        <v>2636</v>
      </c>
      <c r="AV990" s="85">
        <v>43643</v>
      </c>
      <c r="AW990" s="123">
        <v>43646</v>
      </c>
      <c r="AX990" s="123">
        <v>43666</v>
      </c>
      <c r="AY990" s="132">
        <f t="shared" si="5"/>
        <v>62400</v>
      </c>
      <c r="AZ990" s="132">
        <f>ROUNDDOWN(AY990+(AY990*MASTER!$A$2/100),0)</f>
        <v>67392</v>
      </c>
      <c r="BC990" s="88">
        <v>0</v>
      </c>
      <c r="BG990" s="88">
        <v>0</v>
      </c>
      <c r="BK990" s="88">
        <v>0</v>
      </c>
      <c r="BS990" s="88">
        <v>0</v>
      </c>
      <c r="BV990" s="89">
        <v>70200</v>
      </c>
      <c r="BW990" s="89">
        <v>0</v>
      </c>
      <c r="BX990" s="89">
        <v>43615</v>
      </c>
      <c r="BY990" s="89">
        <v>70200</v>
      </c>
      <c r="BZ990" s="112">
        <v>100</v>
      </c>
      <c r="CK990" s="88">
        <v>0</v>
      </c>
    </row>
    <row r="991" spans="1:89" x14ac:dyDescent="0.15">
      <c r="A991" s="84">
        <v>1</v>
      </c>
      <c r="B991" s="85">
        <v>43622</v>
      </c>
      <c r="C991" s="85">
        <v>43644</v>
      </c>
      <c r="F991" s="85" t="s">
        <v>338</v>
      </c>
      <c r="H991" s="85" t="s">
        <v>338</v>
      </c>
      <c r="J991" s="84">
        <v>2</v>
      </c>
      <c r="L991" s="84">
        <v>0</v>
      </c>
      <c r="M991" s="85">
        <v>43615</v>
      </c>
      <c r="N991" s="85" t="s">
        <v>265</v>
      </c>
      <c r="O991" s="86" t="s">
        <v>340</v>
      </c>
      <c r="P991" s="84" t="s">
        <v>78</v>
      </c>
      <c r="Q991" s="86" t="s">
        <v>139</v>
      </c>
      <c r="R991" s="86" t="s">
        <v>2911</v>
      </c>
      <c r="S991" s="87" t="s">
        <v>2373</v>
      </c>
      <c r="T991" s="87" t="s">
        <v>2896</v>
      </c>
      <c r="U991" s="88">
        <v>65000</v>
      </c>
      <c r="V991" s="88">
        <v>70200</v>
      </c>
      <c r="W991" s="88">
        <v>65000</v>
      </c>
      <c r="X991" s="88">
        <v>70200</v>
      </c>
      <c r="Z991" s="88">
        <v>0</v>
      </c>
      <c r="AA991" s="85">
        <v>43643</v>
      </c>
      <c r="AB991" s="85">
        <v>43644</v>
      </c>
      <c r="AD991" s="84">
        <v>0</v>
      </c>
      <c r="AG991" s="84">
        <v>0</v>
      </c>
      <c r="AJ991" s="84">
        <v>0</v>
      </c>
      <c r="AR991" s="85">
        <v>43620</v>
      </c>
      <c r="AS991" s="84">
        <v>6001679765</v>
      </c>
      <c r="AT991" s="85">
        <v>43620</v>
      </c>
      <c r="AU991" s="84" t="s">
        <v>2636</v>
      </c>
      <c r="AV991" s="85">
        <v>43644</v>
      </c>
      <c r="AW991" s="123">
        <v>43646</v>
      </c>
      <c r="AX991" s="123">
        <v>43666</v>
      </c>
      <c r="AY991" s="132">
        <f t="shared" si="5"/>
        <v>62400</v>
      </c>
      <c r="AZ991" s="132">
        <f>ROUNDDOWN(AY991+(AY991*MASTER!$A$2/100),0)</f>
        <v>67392</v>
      </c>
      <c r="BC991" s="88">
        <v>0</v>
      </c>
      <c r="BG991" s="88">
        <v>0</v>
      </c>
      <c r="BK991" s="88">
        <v>0</v>
      </c>
      <c r="BS991" s="88">
        <v>0</v>
      </c>
      <c r="BV991" s="89">
        <v>70200</v>
      </c>
      <c r="BW991" s="89">
        <v>0</v>
      </c>
      <c r="BX991" s="89">
        <v>43615</v>
      </c>
      <c r="BY991" s="89">
        <v>70200</v>
      </c>
      <c r="BZ991" s="112">
        <v>100</v>
      </c>
      <c r="CK991" s="88">
        <v>0</v>
      </c>
    </row>
    <row r="992" spans="1:89" x14ac:dyDescent="0.15">
      <c r="A992" s="84">
        <v>2</v>
      </c>
      <c r="B992" s="85">
        <v>43622</v>
      </c>
      <c r="C992" s="85">
        <v>43623</v>
      </c>
      <c r="D992" s="85">
        <v>43640</v>
      </c>
      <c r="E992" s="85">
        <v>43622</v>
      </c>
      <c r="F992" s="85" t="s">
        <v>338</v>
      </c>
      <c r="G992" s="85">
        <v>43620</v>
      </c>
      <c r="H992" s="85" t="s">
        <v>338</v>
      </c>
      <c r="I992" s="84" t="s">
        <v>1191</v>
      </c>
      <c r="J992" s="84">
        <v>2</v>
      </c>
      <c r="L992" s="84">
        <v>0</v>
      </c>
      <c r="M992" s="85">
        <v>43616</v>
      </c>
      <c r="N992" s="85" t="s">
        <v>265</v>
      </c>
      <c r="O992" s="86" t="s">
        <v>340</v>
      </c>
      <c r="P992" s="84" t="s">
        <v>26</v>
      </c>
      <c r="Q992" s="86" t="s">
        <v>139</v>
      </c>
      <c r="R992" s="86" t="s">
        <v>2912</v>
      </c>
      <c r="S992" s="87" t="s">
        <v>1111</v>
      </c>
      <c r="T992" s="87" t="s">
        <v>2913</v>
      </c>
      <c r="U992" s="88">
        <v>47000</v>
      </c>
      <c r="V992" s="88">
        <v>50760</v>
      </c>
      <c r="W992" s="88">
        <v>47000</v>
      </c>
      <c r="X992" s="88">
        <v>50760</v>
      </c>
      <c r="Z992" s="88">
        <v>0</v>
      </c>
      <c r="AA992" s="85">
        <v>43619</v>
      </c>
      <c r="AB992" s="85">
        <v>43619</v>
      </c>
      <c r="AD992" s="84">
        <v>0</v>
      </c>
      <c r="AG992" s="84">
        <v>0</v>
      </c>
      <c r="AJ992" s="84">
        <v>0</v>
      </c>
      <c r="AN992" s="84" t="s">
        <v>338</v>
      </c>
      <c r="AR992" s="85">
        <v>43620</v>
      </c>
      <c r="AS992" s="84">
        <v>6001679765</v>
      </c>
      <c r="AT992" s="85">
        <v>43620</v>
      </c>
      <c r="AU992" s="84" t="s">
        <v>2636</v>
      </c>
      <c r="AV992" s="85">
        <v>43623</v>
      </c>
      <c r="AW992" s="123">
        <v>43646</v>
      </c>
      <c r="AX992" s="123">
        <v>43666</v>
      </c>
      <c r="AY992" s="132">
        <v>45120</v>
      </c>
      <c r="AZ992" s="132">
        <f>ROUNDDOWN(AY992+(AY992*MASTER!$A$2/100),0)</f>
        <v>48729</v>
      </c>
      <c r="BA992" s="84" t="s">
        <v>286</v>
      </c>
      <c r="BB992" s="88">
        <v>28000</v>
      </c>
      <c r="BC992" s="88">
        <v>30240</v>
      </c>
      <c r="BD992" s="84" t="s">
        <v>2466</v>
      </c>
      <c r="BG992" s="88">
        <v>0</v>
      </c>
      <c r="BK992" s="88">
        <v>0</v>
      </c>
      <c r="BS992" s="88">
        <v>0</v>
      </c>
      <c r="BV992" s="89">
        <v>50760</v>
      </c>
      <c r="BW992" s="89">
        <v>30240</v>
      </c>
      <c r="BX992" s="89">
        <v>43616</v>
      </c>
      <c r="BY992" s="89">
        <v>20520</v>
      </c>
      <c r="BZ992" s="112">
        <v>40.425531914893611</v>
      </c>
      <c r="CK992" s="88">
        <v>0</v>
      </c>
    </row>
    <row r="993" spans="1:89" x14ac:dyDescent="0.15">
      <c r="A993" s="84">
        <v>2</v>
      </c>
      <c r="B993" s="85">
        <v>43640</v>
      </c>
      <c r="C993" s="85">
        <v>43652</v>
      </c>
      <c r="D993" s="85" t="s">
        <v>374</v>
      </c>
      <c r="E993" s="85">
        <v>43655</v>
      </c>
      <c r="F993" s="85">
        <v>43659</v>
      </c>
      <c r="G993" s="85">
        <v>43655</v>
      </c>
      <c r="H993" s="85">
        <v>43655</v>
      </c>
      <c r="I993" s="84" t="s">
        <v>401</v>
      </c>
      <c r="J993" s="84">
        <v>1</v>
      </c>
      <c r="L993" s="84">
        <v>0</v>
      </c>
      <c r="M993" s="85">
        <v>43616</v>
      </c>
      <c r="N993" s="85" t="s">
        <v>265</v>
      </c>
      <c r="O993" s="86" t="s">
        <v>340</v>
      </c>
      <c r="P993" s="84" t="s">
        <v>26</v>
      </c>
      <c r="Q993" s="86" t="s">
        <v>139</v>
      </c>
      <c r="R993" s="86" t="s">
        <v>2914</v>
      </c>
      <c r="S993" s="87" t="s">
        <v>1120</v>
      </c>
      <c r="T993" s="87" t="s">
        <v>763</v>
      </c>
      <c r="U993" s="88">
        <v>23900</v>
      </c>
      <c r="V993" s="88">
        <v>25812</v>
      </c>
      <c r="W993" s="88">
        <v>14700</v>
      </c>
      <c r="X993" s="88">
        <v>15876</v>
      </c>
      <c r="Y993" s="88">
        <v>9200</v>
      </c>
      <c r="Z993" s="88">
        <v>9936</v>
      </c>
      <c r="AA993" s="85">
        <v>43651</v>
      </c>
      <c r="AB993" s="85">
        <v>43652</v>
      </c>
      <c r="AC993" s="85">
        <v>43652</v>
      </c>
      <c r="AD993" s="84">
        <v>0</v>
      </c>
      <c r="AG993" s="84">
        <v>0</v>
      </c>
      <c r="AJ993" s="84">
        <v>0</v>
      </c>
      <c r="AM993" s="84" t="s">
        <v>290</v>
      </c>
      <c r="AN993" s="84" t="s">
        <v>2915</v>
      </c>
      <c r="AR993" s="85">
        <v>43636</v>
      </c>
      <c r="AS993" s="84">
        <v>6001685703</v>
      </c>
      <c r="AT993" s="85">
        <v>43636</v>
      </c>
      <c r="AU993" s="84" t="s">
        <v>2916</v>
      </c>
      <c r="AV993" s="85">
        <v>43652</v>
      </c>
      <c r="AW993" s="123">
        <v>43677</v>
      </c>
      <c r="AX993" s="123">
        <v>43697</v>
      </c>
      <c r="AY993" s="132">
        <v>22944</v>
      </c>
      <c r="AZ993" s="132">
        <v>24780</v>
      </c>
      <c r="BA993" s="84" t="s">
        <v>778</v>
      </c>
      <c r="BC993" s="88">
        <v>0</v>
      </c>
      <c r="BG993" s="88">
        <v>0</v>
      </c>
      <c r="BI993" s="84" t="s">
        <v>434</v>
      </c>
      <c r="BJ993" s="88">
        <v>5980</v>
      </c>
      <c r="BK993" s="88">
        <v>6458.4</v>
      </c>
      <c r="BL993" s="84" t="s">
        <v>2637</v>
      </c>
      <c r="BS993" s="88">
        <v>0</v>
      </c>
      <c r="BV993" s="89">
        <v>15876</v>
      </c>
      <c r="BW993" s="89">
        <v>6458.4</v>
      </c>
      <c r="BX993" s="89">
        <v>43616</v>
      </c>
      <c r="BY993" s="89">
        <v>9417.6</v>
      </c>
      <c r="BZ993" s="112">
        <v>59.319727891156461</v>
      </c>
      <c r="CK993" s="88">
        <v>0</v>
      </c>
    </row>
    <row r="994" spans="1:89" x14ac:dyDescent="0.15">
      <c r="A994" s="84">
        <v>2</v>
      </c>
      <c r="B994" s="85">
        <v>43633</v>
      </c>
      <c r="C994" s="85">
        <v>43642</v>
      </c>
      <c r="E994" s="85">
        <v>43649</v>
      </c>
      <c r="F994" s="85" t="s">
        <v>338</v>
      </c>
      <c r="G994" s="85">
        <v>43643</v>
      </c>
      <c r="H994" s="85" t="s">
        <v>338</v>
      </c>
      <c r="I994" s="84" t="s">
        <v>401</v>
      </c>
      <c r="J994" s="84">
        <v>2</v>
      </c>
      <c r="L994" s="84">
        <v>0</v>
      </c>
      <c r="M994" s="85">
        <v>43616</v>
      </c>
      <c r="N994" s="85" t="s">
        <v>265</v>
      </c>
      <c r="O994" s="86" t="s">
        <v>340</v>
      </c>
      <c r="P994" s="84" t="s">
        <v>26</v>
      </c>
      <c r="Q994" s="86" t="s">
        <v>139</v>
      </c>
      <c r="R994" s="86" t="s">
        <v>2917</v>
      </c>
      <c r="S994" s="87" t="s">
        <v>1154</v>
      </c>
      <c r="T994" s="87" t="s">
        <v>2918</v>
      </c>
      <c r="U994" s="88">
        <v>24000</v>
      </c>
      <c r="V994" s="88">
        <v>25920</v>
      </c>
      <c r="W994" s="88">
        <v>24000</v>
      </c>
      <c r="X994" s="88">
        <v>25920</v>
      </c>
      <c r="Z994" s="88">
        <v>0</v>
      </c>
      <c r="AA994" s="85">
        <v>43642</v>
      </c>
      <c r="AB994" s="85">
        <v>43642</v>
      </c>
      <c r="AD994" s="84">
        <v>0</v>
      </c>
      <c r="AG994" s="84">
        <v>0</v>
      </c>
      <c r="AJ994" s="84">
        <v>0</v>
      </c>
      <c r="AM994" s="84" t="s">
        <v>290</v>
      </c>
      <c r="AN994" s="84" t="s">
        <v>2919</v>
      </c>
      <c r="AR994" s="85">
        <v>43628</v>
      </c>
      <c r="AS994" s="84">
        <v>6001682970</v>
      </c>
      <c r="AT994" s="85">
        <v>43629</v>
      </c>
      <c r="AU994" s="84" t="s">
        <v>2845</v>
      </c>
      <c r="AV994" s="85">
        <v>43642</v>
      </c>
      <c r="AW994" s="123">
        <v>43646</v>
      </c>
      <c r="AX994" s="123">
        <v>43666</v>
      </c>
      <c r="AY994" s="132">
        <v>23040</v>
      </c>
      <c r="AZ994" s="132">
        <f>ROUNDDOWN(AY994+(AY994*MASTER!$A$2/100),0)</f>
        <v>24883</v>
      </c>
      <c r="BA994" s="84" t="s">
        <v>778</v>
      </c>
      <c r="BC994" s="88">
        <v>0</v>
      </c>
      <c r="BG994" s="88">
        <v>0</v>
      </c>
      <c r="BK994" s="88">
        <v>0</v>
      </c>
      <c r="BS994" s="88">
        <v>0</v>
      </c>
      <c r="BV994" s="89">
        <v>25920</v>
      </c>
      <c r="BW994" s="89">
        <v>0</v>
      </c>
      <c r="BX994" s="89">
        <v>43616</v>
      </c>
      <c r="BY994" s="89">
        <v>25920</v>
      </c>
      <c r="BZ994" s="112">
        <v>100</v>
      </c>
      <c r="CK994" s="88">
        <v>0</v>
      </c>
    </row>
    <row r="995" spans="1:89" s="151" customFormat="1" x14ac:dyDescent="0.15">
      <c r="A995" s="141">
        <v>3</v>
      </c>
      <c r="B995" s="142"/>
      <c r="C995" s="142" t="s">
        <v>338</v>
      </c>
      <c r="D995" s="142"/>
      <c r="E995" s="142"/>
      <c r="F995" s="142" t="s">
        <v>338</v>
      </c>
      <c r="G995" s="142"/>
      <c r="H995" s="142" t="s">
        <v>338</v>
      </c>
      <c r="I995" s="141"/>
      <c r="J995" s="141">
        <v>1</v>
      </c>
      <c r="K995" s="142"/>
      <c r="L995" s="141">
        <v>0</v>
      </c>
      <c r="M995" s="142">
        <v>43616</v>
      </c>
      <c r="N995" s="142" t="s">
        <v>265</v>
      </c>
      <c r="O995" s="143" t="s">
        <v>340</v>
      </c>
      <c r="P995" s="141" t="s">
        <v>26</v>
      </c>
      <c r="Q995" s="143" t="s">
        <v>139</v>
      </c>
      <c r="R995" s="143" t="s">
        <v>2920</v>
      </c>
      <c r="S995" s="144" t="s">
        <v>1226</v>
      </c>
      <c r="T995" s="144" t="s">
        <v>640</v>
      </c>
      <c r="U995" s="145">
        <v>1413500</v>
      </c>
      <c r="V995" s="145">
        <v>1526580</v>
      </c>
      <c r="W995" s="145">
        <v>1326000</v>
      </c>
      <c r="X995" s="145">
        <v>1432080</v>
      </c>
      <c r="Y995" s="145">
        <v>87500</v>
      </c>
      <c r="Z995" s="145">
        <v>94500</v>
      </c>
      <c r="AA995" s="142"/>
      <c r="AB995" s="142"/>
      <c r="AC995" s="142"/>
      <c r="AD995" s="141">
        <v>0</v>
      </c>
      <c r="AE995" s="141"/>
      <c r="AF995" s="141"/>
      <c r="AG995" s="141">
        <v>0</v>
      </c>
      <c r="AH995" s="141"/>
      <c r="AI995" s="141"/>
      <c r="AJ995" s="141">
        <v>0</v>
      </c>
      <c r="AK995" s="141"/>
      <c r="AL995" s="141"/>
      <c r="AM995" s="141" t="s">
        <v>290</v>
      </c>
      <c r="AN995" s="141" t="s">
        <v>3825</v>
      </c>
      <c r="AO995" s="142"/>
      <c r="AP995" s="141"/>
      <c r="AQ995" s="141"/>
      <c r="AR995" s="142"/>
      <c r="AS995" s="141"/>
      <c r="AT995" s="142"/>
      <c r="AU995" s="141"/>
      <c r="AV995" s="142"/>
      <c r="AW995" s="146"/>
      <c r="AX995" s="146"/>
      <c r="AY995" s="147">
        <v>1356960</v>
      </c>
      <c r="AZ995" s="147">
        <f>ROUNDDOWN(AY995+(AY995*MASTER!$A$2/100),0)</f>
        <v>1465516</v>
      </c>
      <c r="BA995" s="141"/>
      <c r="BB995" s="145"/>
      <c r="BC995" s="145">
        <v>0</v>
      </c>
      <c r="BD995" s="141"/>
      <c r="BE995" s="141"/>
      <c r="BF995" s="145"/>
      <c r="BG995" s="145">
        <v>0</v>
      </c>
      <c r="BH995" s="141"/>
      <c r="BI995" s="141"/>
      <c r="BJ995" s="145"/>
      <c r="BK995" s="145">
        <v>0</v>
      </c>
      <c r="BL995" s="141"/>
      <c r="BM995" s="145"/>
      <c r="BN995" s="145"/>
      <c r="BO995" s="145"/>
      <c r="BP995" s="145"/>
      <c r="BQ995" s="145"/>
      <c r="BR995" s="145"/>
      <c r="BS995" s="145">
        <v>0</v>
      </c>
      <c r="BT995" s="148"/>
      <c r="BU995" s="148"/>
      <c r="BV995" s="149">
        <v>1432080</v>
      </c>
      <c r="BW995" s="149">
        <v>0</v>
      </c>
      <c r="BX995" s="149">
        <v>43616</v>
      </c>
      <c r="BY995" s="149">
        <v>1432080</v>
      </c>
      <c r="BZ995" s="150">
        <v>100</v>
      </c>
      <c r="CA995" s="141"/>
      <c r="CB995" s="141"/>
      <c r="CC995" s="141"/>
      <c r="CD995" s="144" t="s">
        <v>3824</v>
      </c>
      <c r="CE995" s="142"/>
      <c r="CF995" s="142"/>
      <c r="CG995" s="142"/>
      <c r="CH995" s="142"/>
      <c r="CI995" s="142"/>
      <c r="CJ995" s="142"/>
      <c r="CK995" s="145"/>
    </row>
    <row r="996" spans="1:89" s="151" customFormat="1" x14ac:dyDescent="0.15">
      <c r="A996" s="141">
        <v>3</v>
      </c>
      <c r="B996" s="142"/>
      <c r="C996" s="142" t="s">
        <v>338</v>
      </c>
      <c r="D996" s="142"/>
      <c r="E996" s="142"/>
      <c r="F996" s="142" t="s">
        <v>338</v>
      </c>
      <c r="G996" s="142"/>
      <c r="H996" s="142" t="s">
        <v>338</v>
      </c>
      <c r="I996" s="141"/>
      <c r="J996" s="141">
        <v>2</v>
      </c>
      <c r="K996" s="142"/>
      <c r="L996" s="141">
        <v>0</v>
      </c>
      <c r="M996" s="142">
        <v>43616</v>
      </c>
      <c r="N996" s="142" t="s">
        <v>264</v>
      </c>
      <c r="O996" s="143" t="s">
        <v>340</v>
      </c>
      <c r="P996" s="141" t="s">
        <v>272</v>
      </c>
      <c r="Q996" s="143" t="s">
        <v>139</v>
      </c>
      <c r="R996" s="143" t="s">
        <v>2921</v>
      </c>
      <c r="S996" s="144" t="s">
        <v>387</v>
      </c>
      <c r="T996" s="144" t="s">
        <v>3954</v>
      </c>
      <c r="U996" s="145">
        <v>320000</v>
      </c>
      <c r="V996" s="145">
        <v>345600</v>
      </c>
      <c r="W996" s="145">
        <v>320000</v>
      </c>
      <c r="X996" s="145">
        <v>345600</v>
      </c>
      <c r="Y996" s="145"/>
      <c r="Z996" s="145">
        <v>0</v>
      </c>
      <c r="AA996" s="142"/>
      <c r="AB996" s="142"/>
      <c r="AC996" s="142"/>
      <c r="AD996" s="141">
        <v>0</v>
      </c>
      <c r="AE996" s="141"/>
      <c r="AF996" s="141"/>
      <c r="AG996" s="141">
        <v>0</v>
      </c>
      <c r="AH996" s="141"/>
      <c r="AI996" s="141"/>
      <c r="AJ996" s="141">
        <v>0</v>
      </c>
      <c r="AK996" s="141"/>
      <c r="AL996" s="141"/>
      <c r="AM996" s="141"/>
      <c r="AN996" s="141"/>
      <c r="AO996" s="142"/>
      <c r="AP996" s="141"/>
      <c r="AQ996" s="141"/>
      <c r="AR996" s="142"/>
      <c r="AS996" s="141"/>
      <c r="AT996" s="142"/>
      <c r="AU996" s="141"/>
      <c r="AV996" s="142"/>
      <c r="AW996" s="146"/>
      <c r="AX996" s="146"/>
      <c r="AY996" s="147">
        <v>320000</v>
      </c>
      <c r="AZ996" s="147">
        <f>ROUNDDOWN(AY996+(AY996*MASTER!$A$2/100),0)</f>
        <v>345600</v>
      </c>
      <c r="BA996" s="141"/>
      <c r="BB996" s="145"/>
      <c r="BC996" s="145">
        <v>0</v>
      </c>
      <c r="BD996" s="141"/>
      <c r="BE996" s="141"/>
      <c r="BF996" s="145"/>
      <c r="BG996" s="145">
        <v>0</v>
      </c>
      <c r="BH996" s="141"/>
      <c r="BI996" s="141"/>
      <c r="BJ996" s="145"/>
      <c r="BK996" s="145">
        <v>0</v>
      </c>
      <c r="BL996" s="141"/>
      <c r="BM996" s="145"/>
      <c r="BN996" s="145"/>
      <c r="BO996" s="145"/>
      <c r="BP996" s="145"/>
      <c r="BQ996" s="145"/>
      <c r="BR996" s="145"/>
      <c r="BS996" s="145">
        <v>0</v>
      </c>
      <c r="BT996" s="148"/>
      <c r="BU996" s="148"/>
      <c r="BV996" s="149">
        <v>345600</v>
      </c>
      <c r="BW996" s="149">
        <v>0</v>
      </c>
      <c r="BX996" s="149">
        <v>43616</v>
      </c>
      <c r="BY996" s="149">
        <v>345600</v>
      </c>
      <c r="BZ996" s="150">
        <v>100</v>
      </c>
      <c r="CA996" s="141"/>
      <c r="CB996" s="141"/>
      <c r="CC996" s="141"/>
      <c r="CD996" s="144"/>
      <c r="CE996" s="142"/>
      <c r="CF996" s="142"/>
      <c r="CG996" s="142"/>
      <c r="CH996" s="142"/>
      <c r="CI996" s="142"/>
      <c r="CJ996" s="142"/>
      <c r="CK996" s="145"/>
    </row>
    <row r="997" spans="1:89" x14ac:dyDescent="0.15">
      <c r="A997" s="84">
        <v>2</v>
      </c>
      <c r="B997" s="85">
        <v>43633</v>
      </c>
      <c r="C997" s="85">
        <v>43644</v>
      </c>
      <c r="D997" s="85">
        <v>43647</v>
      </c>
      <c r="E997" s="85">
        <v>43648</v>
      </c>
      <c r="F997" s="85">
        <v>43651</v>
      </c>
      <c r="G997" s="85">
        <v>43647</v>
      </c>
      <c r="H997" s="85">
        <v>43647</v>
      </c>
      <c r="I997" s="84" t="s">
        <v>1191</v>
      </c>
      <c r="J997" s="84">
        <v>1</v>
      </c>
      <c r="L997" s="84">
        <v>0</v>
      </c>
      <c r="M997" s="85">
        <v>43619</v>
      </c>
      <c r="N997" s="85" t="s">
        <v>265</v>
      </c>
      <c r="O997" s="86" t="s">
        <v>340</v>
      </c>
      <c r="P997" s="84" t="s">
        <v>26</v>
      </c>
      <c r="Q997" s="86" t="s">
        <v>140</v>
      </c>
      <c r="R997" s="86" t="s">
        <v>2922</v>
      </c>
      <c r="S997" s="87" t="s">
        <v>725</v>
      </c>
      <c r="T997" s="87" t="s">
        <v>1360</v>
      </c>
      <c r="U997" s="88">
        <v>76200</v>
      </c>
      <c r="V997" s="88">
        <v>82296</v>
      </c>
      <c r="W997" s="88">
        <v>47000</v>
      </c>
      <c r="X997" s="88">
        <v>50760</v>
      </c>
      <c r="Y997" s="88">
        <v>29200</v>
      </c>
      <c r="Z997" s="88">
        <v>31536</v>
      </c>
      <c r="AA997" s="85">
        <v>43643</v>
      </c>
      <c r="AB997" s="85">
        <v>43644</v>
      </c>
      <c r="AC997" s="85">
        <v>43644</v>
      </c>
      <c r="AD997" s="84">
        <v>0</v>
      </c>
      <c r="AG997" s="84">
        <v>0</v>
      </c>
      <c r="AJ997" s="84">
        <v>0</v>
      </c>
      <c r="AM997" s="84" t="s">
        <v>290</v>
      </c>
      <c r="AN997" s="84" t="s">
        <v>2923</v>
      </c>
      <c r="AR997" s="85">
        <v>43630</v>
      </c>
      <c r="AS997" s="84">
        <v>6001683768</v>
      </c>
      <c r="AT997" s="85">
        <v>43630</v>
      </c>
      <c r="AU997" s="84" t="s">
        <v>2838</v>
      </c>
      <c r="AV997" s="85">
        <v>43644</v>
      </c>
      <c r="AW997" s="123">
        <v>43646</v>
      </c>
      <c r="AX997" s="123">
        <v>43666</v>
      </c>
      <c r="AY997" s="132">
        <v>73152</v>
      </c>
      <c r="AZ997" s="132">
        <f>ROUNDDOWN(AY997+(AY997*MASTER!$A$2/100),0)</f>
        <v>79004</v>
      </c>
      <c r="BA997" s="84" t="s">
        <v>778</v>
      </c>
      <c r="BC997" s="88">
        <v>0</v>
      </c>
      <c r="BG997" s="88">
        <v>0</v>
      </c>
      <c r="BI997" s="84" t="s">
        <v>276</v>
      </c>
      <c r="BJ997" s="88">
        <v>18980</v>
      </c>
      <c r="BK997" s="88">
        <v>20498.400000000001</v>
      </c>
      <c r="BL997" s="84" t="s">
        <v>2660</v>
      </c>
      <c r="BS997" s="88">
        <v>0</v>
      </c>
      <c r="BV997" s="89">
        <v>50760</v>
      </c>
      <c r="BW997" s="89">
        <v>20498.400000000001</v>
      </c>
      <c r="BX997" s="89">
        <v>43619</v>
      </c>
      <c r="BY997" s="89">
        <v>30261.599999999999</v>
      </c>
      <c r="BZ997" s="112">
        <v>59.617021276595736</v>
      </c>
      <c r="CK997" s="88">
        <v>0</v>
      </c>
    </row>
    <row r="998" spans="1:89" x14ac:dyDescent="0.15">
      <c r="A998" s="84">
        <v>2</v>
      </c>
      <c r="B998" s="85">
        <v>43640</v>
      </c>
      <c r="C998" s="85">
        <v>43650</v>
      </c>
      <c r="D998" s="85">
        <v>43679</v>
      </c>
      <c r="E998" s="85">
        <v>43655</v>
      </c>
      <c r="F998" s="85">
        <v>43657</v>
      </c>
      <c r="G998" s="85">
        <v>43654</v>
      </c>
      <c r="H998" s="85">
        <v>43653</v>
      </c>
      <c r="I998" s="84" t="s">
        <v>401</v>
      </c>
      <c r="J998" s="84">
        <v>2</v>
      </c>
      <c r="L998" s="84">
        <v>0</v>
      </c>
      <c r="M998" s="85">
        <v>43619</v>
      </c>
      <c r="N998" s="85" t="s">
        <v>265</v>
      </c>
      <c r="O998" s="86" t="s">
        <v>340</v>
      </c>
      <c r="P998" s="84" t="s">
        <v>26</v>
      </c>
      <c r="Q998" s="86" t="s">
        <v>140</v>
      </c>
      <c r="R998" s="86" t="s">
        <v>2924</v>
      </c>
      <c r="S998" s="87" t="s">
        <v>685</v>
      </c>
      <c r="T998" s="87" t="s">
        <v>2231</v>
      </c>
      <c r="U998" s="88">
        <v>253060</v>
      </c>
      <c r="V998" s="88">
        <v>273304.8</v>
      </c>
      <c r="W998" s="88">
        <v>253060</v>
      </c>
      <c r="X998" s="88">
        <v>273304.8</v>
      </c>
      <c r="Z998" s="88">
        <v>0</v>
      </c>
      <c r="AA998" s="85">
        <v>43649</v>
      </c>
      <c r="AB998" s="85">
        <v>43650</v>
      </c>
      <c r="AC998" s="85">
        <v>43650</v>
      </c>
      <c r="AD998" s="84">
        <v>0</v>
      </c>
      <c r="AG998" s="84">
        <v>0</v>
      </c>
      <c r="AJ998" s="84">
        <v>0</v>
      </c>
      <c r="AM998" s="84" t="s">
        <v>290</v>
      </c>
      <c r="AN998" s="84" t="s">
        <v>2925</v>
      </c>
      <c r="AR998" s="85">
        <v>43633</v>
      </c>
      <c r="AS998" s="84">
        <v>6001684158</v>
      </c>
      <c r="AT998" s="85">
        <v>43634</v>
      </c>
      <c r="AU998" s="84" t="s">
        <v>2926</v>
      </c>
      <c r="AV998" s="85">
        <v>43650</v>
      </c>
      <c r="AW998" s="123">
        <v>43677</v>
      </c>
      <c r="AX998" s="123">
        <v>43697</v>
      </c>
      <c r="AY998" s="132">
        <v>242937</v>
      </c>
      <c r="AZ998" s="132">
        <v>262372</v>
      </c>
      <c r="BA998" s="84" t="s">
        <v>400</v>
      </c>
      <c r="BB998" s="88">
        <v>94800</v>
      </c>
      <c r="BC998" s="88">
        <v>102384</v>
      </c>
      <c r="BD998" s="84" t="s">
        <v>2637</v>
      </c>
      <c r="BG998" s="88">
        <v>0</v>
      </c>
      <c r="BK998" s="88">
        <v>0</v>
      </c>
      <c r="BS998" s="88">
        <v>0</v>
      </c>
      <c r="BV998" s="89">
        <v>273304.8</v>
      </c>
      <c r="BW998" s="89">
        <v>102384</v>
      </c>
      <c r="BX998" s="89">
        <v>43619</v>
      </c>
      <c r="BY998" s="89">
        <v>170920.8</v>
      </c>
      <c r="BZ998" s="112">
        <v>62.53852841223425</v>
      </c>
      <c r="CK998" s="88">
        <v>0</v>
      </c>
    </row>
    <row r="999" spans="1:89" x14ac:dyDescent="0.15">
      <c r="A999" s="84">
        <v>2</v>
      </c>
      <c r="B999" s="85">
        <v>43628</v>
      </c>
      <c r="C999" s="85">
        <v>43628</v>
      </c>
      <c r="D999" s="85">
        <v>43623</v>
      </c>
      <c r="E999" s="85">
        <v>43623</v>
      </c>
      <c r="F999" s="85" t="s">
        <v>338</v>
      </c>
      <c r="G999" s="85">
        <v>43623</v>
      </c>
      <c r="H999" s="85" t="s">
        <v>338</v>
      </c>
      <c r="I999" s="84" t="s">
        <v>380</v>
      </c>
      <c r="J999" s="84">
        <v>2</v>
      </c>
      <c r="L999" s="84">
        <v>0</v>
      </c>
      <c r="M999" s="85">
        <v>43619</v>
      </c>
      <c r="N999" s="85" t="s">
        <v>265</v>
      </c>
      <c r="O999" s="86" t="s">
        <v>340</v>
      </c>
      <c r="P999" s="84" t="s">
        <v>6</v>
      </c>
      <c r="Q999" s="86" t="s">
        <v>140</v>
      </c>
      <c r="R999" s="86" t="s">
        <v>2927</v>
      </c>
      <c r="S999" s="87" t="s">
        <v>1411</v>
      </c>
      <c r="T999" s="87" t="s">
        <v>342</v>
      </c>
      <c r="U999" s="88">
        <v>35000</v>
      </c>
      <c r="V999" s="88">
        <v>37800</v>
      </c>
      <c r="W999" s="88">
        <v>35000</v>
      </c>
      <c r="X999" s="88">
        <v>37800</v>
      </c>
      <c r="Z999" s="88">
        <v>0</v>
      </c>
      <c r="AA999" s="85">
        <v>43622</v>
      </c>
      <c r="AB999" s="85">
        <v>43622</v>
      </c>
      <c r="AD999" s="84">
        <v>0</v>
      </c>
      <c r="AG999" s="84">
        <v>0</v>
      </c>
      <c r="AJ999" s="84">
        <v>0</v>
      </c>
      <c r="AN999" s="84" t="s">
        <v>338</v>
      </c>
      <c r="AR999" s="85">
        <v>43627</v>
      </c>
      <c r="AS999" s="84">
        <v>6001682585</v>
      </c>
      <c r="AT999" s="85">
        <v>43627</v>
      </c>
      <c r="AU999" s="84" t="s">
        <v>2832</v>
      </c>
      <c r="AV999" s="85">
        <v>43628</v>
      </c>
      <c r="AW999" s="123">
        <v>43646</v>
      </c>
      <c r="AX999" s="123">
        <v>43666</v>
      </c>
      <c r="AY999" s="132">
        <v>33600</v>
      </c>
      <c r="AZ999" s="132">
        <f>ROUNDDOWN(AY999+(AY999*MASTER!$A$2/100),0)</f>
        <v>36288</v>
      </c>
      <c r="BA999" s="84" t="s">
        <v>543</v>
      </c>
      <c r="BB999" s="88">
        <v>30000</v>
      </c>
      <c r="BC999" s="88">
        <v>32400</v>
      </c>
      <c r="BD999" s="84" t="s">
        <v>2466</v>
      </c>
      <c r="BG999" s="88">
        <v>0</v>
      </c>
      <c r="BK999" s="88">
        <v>0</v>
      </c>
      <c r="BS999" s="88">
        <v>0</v>
      </c>
      <c r="BV999" s="89">
        <v>37800</v>
      </c>
      <c r="BW999" s="89">
        <v>32400</v>
      </c>
      <c r="BX999" s="89">
        <v>43619</v>
      </c>
      <c r="BY999" s="89">
        <v>5400</v>
      </c>
      <c r="BZ999" s="112">
        <v>14.285714285714285</v>
      </c>
      <c r="CK999" s="88">
        <v>0</v>
      </c>
    </row>
    <row r="1000" spans="1:89" x14ac:dyDescent="0.15">
      <c r="A1000" s="84">
        <v>2</v>
      </c>
      <c r="B1000" s="85">
        <v>43628</v>
      </c>
      <c r="C1000" s="85">
        <v>43628</v>
      </c>
      <c r="D1000" s="85">
        <v>43623</v>
      </c>
      <c r="E1000" s="85">
        <v>43623</v>
      </c>
      <c r="F1000" s="85" t="s">
        <v>338</v>
      </c>
      <c r="G1000" s="85">
        <v>43623</v>
      </c>
      <c r="H1000" s="85" t="s">
        <v>338</v>
      </c>
      <c r="I1000" s="84" t="s">
        <v>380</v>
      </c>
      <c r="J1000" s="84">
        <v>2</v>
      </c>
      <c r="L1000" s="84">
        <v>0</v>
      </c>
      <c r="M1000" s="85">
        <v>43619</v>
      </c>
      <c r="N1000" s="85" t="s">
        <v>265</v>
      </c>
      <c r="O1000" s="86" t="s">
        <v>340</v>
      </c>
      <c r="P1000" s="84" t="s">
        <v>6</v>
      </c>
      <c r="Q1000" s="86" t="s">
        <v>140</v>
      </c>
      <c r="R1000" s="86" t="s">
        <v>2928</v>
      </c>
      <c r="S1000" s="87" t="s">
        <v>415</v>
      </c>
      <c r="T1000" s="87" t="s">
        <v>342</v>
      </c>
      <c r="U1000" s="88">
        <v>35000</v>
      </c>
      <c r="V1000" s="88">
        <v>37800</v>
      </c>
      <c r="W1000" s="88">
        <v>35000</v>
      </c>
      <c r="X1000" s="88">
        <v>37800</v>
      </c>
      <c r="Z1000" s="88">
        <v>0</v>
      </c>
      <c r="AA1000" s="85">
        <v>43622</v>
      </c>
      <c r="AB1000" s="85">
        <v>43622</v>
      </c>
      <c r="AD1000" s="84">
        <v>0</v>
      </c>
      <c r="AG1000" s="84">
        <v>0</v>
      </c>
      <c r="AJ1000" s="84">
        <v>0</v>
      </c>
      <c r="AN1000" s="84" t="s">
        <v>338</v>
      </c>
      <c r="AR1000" s="85">
        <v>43627</v>
      </c>
      <c r="AS1000" s="84">
        <v>6001682585</v>
      </c>
      <c r="AT1000" s="85">
        <v>43627</v>
      </c>
      <c r="AU1000" s="84" t="s">
        <v>2832</v>
      </c>
      <c r="AV1000" s="85">
        <v>43628</v>
      </c>
      <c r="AW1000" s="123">
        <v>43646</v>
      </c>
      <c r="AX1000" s="123">
        <v>43666</v>
      </c>
      <c r="AY1000" s="132">
        <v>33600</v>
      </c>
      <c r="AZ1000" s="132">
        <f>ROUNDDOWN(AY1000+(AY1000*MASTER!$A$2/100),0)</f>
        <v>36288</v>
      </c>
      <c r="BA1000" s="84" t="s">
        <v>543</v>
      </c>
      <c r="BB1000" s="88">
        <v>26000</v>
      </c>
      <c r="BC1000" s="88">
        <v>28080</v>
      </c>
      <c r="BD1000" s="84" t="s">
        <v>2466</v>
      </c>
      <c r="BG1000" s="88">
        <v>0</v>
      </c>
      <c r="BK1000" s="88">
        <v>0</v>
      </c>
      <c r="BS1000" s="88">
        <v>0</v>
      </c>
      <c r="BV1000" s="89">
        <v>37800</v>
      </c>
      <c r="BW1000" s="89">
        <v>28080</v>
      </c>
      <c r="BX1000" s="89">
        <v>43619</v>
      </c>
      <c r="BY1000" s="89">
        <v>9720</v>
      </c>
      <c r="BZ1000" s="112">
        <v>25.714285714285712</v>
      </c>
      <c r="CK1000" s="88">
        <v>0</v>
      </c>
    </row>
    <row r="1001" spans="1:89" x14ac:dyDescent="0.15">
      <c r="A1001" s="84">
        <v>2</v>
      </c>
      <c r="B1001" s="85">
        <v>43630</v>
      </c>
      <c r="C1001" s="85">
        <v>43630</v>
      </c>
      <c r="D1001" s="85">
        <v>43620</v>
      </c>
      <c r="E1001" s="85">
        <v>43620</v>
      </c>
      <c r="F1001" s="85" t="s">
        <v>338</v>
      </c>
      <c r="G1001" s="85">
        <v>43620</v>
      </c>
      <c r="H1001" s="85" t="s">
        <v>338</v>
      </c>
      <c r="I1001" s="84" t="s">
        <v>380</v>
      </c>
      <c r="J1001" s="84">
        <v>2</v>
      </c>
      <c r="L1001" s="84">
        <v>0</v>
      </c>
      <c r="M1001" s="85">
        <v>43619</v>
      </c>
      <c r="N1001" s="85" t="s">
        <v>265</v>
      </c>
      <c r="O1001" s="86" t="s">
        <v>340</v>
      </c>
      <c r="P1001" s="84" t="s">
        <v>6</v>
      </c>
      <c r="Q1001" s="86" t="s">
        <v>140</v>
      </c>
      <c r="R1001" s="86" t="s">
        <v>2929</v>
      </c>
      <c r="S1001" s="87" t="s">
        <v>449</v>
      </c>
      <c r="T1001" s="87" t="s">
        <v>342</v>
      </c>
      <c r="U1001" s="88">
        <v>35000</v>
      </c>
      <c r="V1001" s="88">
        <v>37800</v>
      </c>
      <c r="W1001" s="88">
        <v>35000</v>
      </c>
      <c r="X1001" s="88">
        <v>37800</v>
      </c>
      <c r="Z1001" s="88">
        <v>0</v>
      </c>
      <c r="AA1001" s="85">
        <v>43619</v>
      </c>
      <c r="AB1001" s="85">
        <v>43619</v>
      </c>
      <c r="AD1001" s="84">
        <v>0</v>
      </c>
      <c r="AG1001" s="84">
        <v>0</v>
      </c>
      <c r="AJ1001" s="84">
        <v>0</v>
      </c>
      <c r="AR1001" s="85">
        <v>43628</v>
      </c>
      <c r="AS1001" s="84">
        <v>6001682970</v>
      </c>
      <c r="AT1001" s="85">
        <v>43629</v>
      </c>
      <c r="AU1001" s="84" t="s">
        <v>2845</v>
      </c>
      <c r="AV1001" s="85">
        <v>43630</v>
      </c>
      <c r="AW1001" s="123">
        <v>43646</v>
      </c>
      <c r="AX1001" s="123">
        <v>43666</v>
      </c>
      <c r="AY1001" s="132">
        <v>33600</v>
      </c>
      <c r="AZ1001" s="132">
        <f>ROUNDDOWN(AY1001+(AY1001*MASTER!$A$2/100),0)</f>
        <v>36288</v>
      </c>
      <c r="BA1001" s="84" t="s">
        <v>286</v>
      </c>
      <c r="BB1001" s="88">
        <v>32000</v>
      </c>
      <c r="BC1001" s="88">
        <v>34560</v>
      </c>
      <c r="BD1001" s="84" t="s">
        <v>2466</v>
      </c>
      <c r="BG1001" s="88">
        <v>0</v>
      </c>
      <c r="BK1001" s="88">
        <v>0</v>
      </c>
      <c r="BS1001" s="88">
        <v>0</v>
      </c>
      <c r="BV1001" s="89">
        <v>37800</v>
      </c>
      <c r="BW1001" s="89">
        <v>34560</v>
      </c>
      <c r="BX1001" s="89">
        <v>43619</v>
      </c>
      <c r="BY1001" s="89">
        <v>3240</v>
      </c>
      <c r="BZ1001" s="112">
        <v>8.5714285714285712</v>
      </c>
    </row>
    <row r="1002" spans="1:89" s="151" customFormat="1" x14ac:dyDescent="0.15">
      <c r="A1002" s="141">
        <v>3</v>
      </c>
      <c r="B1002" s="142"/>
      <c r="C1002" s="142" t="s">
        <v>338</v>
      </c>
      <c r="D1002" s="142"/>
      <c r="E1002" s="142"/>
      <c r="F1002" s="142" t="s">
        <v>338</v>
      </c>
      <c r="G1002" s="142"/>
      <c r="H1002" s="142" t="s">
        <v>338</v>
      </c>
      <c r="I1002" s="141"/>
      <c r="J1002" s="141">
        <v>3</v>
      </c>
      <c r="K1002" s="142"/>
      <c r="L1002" s="141">
        <v>0</v>
      </c>
      <c r="M1002" s="142">
        <v>43620</v>
      </c>
      <c r="N1002" s="142" t="s">
        <v>265</v>
      </c>
      <c r="O1002" s="143" t="s">
        <v>340</v>
      </c>
      <c r="P1002" s="141" t="s">
        <v>6</v>
      </c>
      <c r="Q1002" s="143" t="s">
        <v>140</v>
      </c>
      <c r="R1002" s="143" t="s">
        <v>2930</v>
      </c>
      <c r="S1002" s="144" t="s">
        <v>598</v>
      </c>
      <c r="T1002" s="144" t="s">
        <v>2136</v>
      </c>
      <c r="U1002" s="145">
        <v>15000</v>
      </c>
      <c r="V1002" s="145">
        <v>16200</v>
      </c>
      <c r="W1002" s="145"/>
      <c r="X1002" s="145">
        <v>0</v>
      </c>
      <c r="Y1002" s="145">
        <v>15000</v>
      </c>
      <c r="Z1002" s="145">
        <v>16200</v>
      </c>
      <c r="AA1002" s="142"/>
      <c r="AB1002" s="142"/>
      <c r="AC1002" s="142"/>
      <c r="AD1002" s="141">
        <v>0</v>
      </c>
      <c r="AE1002" s="141"/>
      <c r="AF1002" s="141"/>
      <c r="AG1002" s="141">
        <v>0</v>
      </c>
      <c r="AH1002" s="141"/>
      <c r="AI1002" s="141"/>
      <c r="AJ1002" s="141">
        <v>0</v>
      </c>
      <c r="AK1002" s="141"/>
      <c r="AL1002" s="141"/>
      <c r="AM1002" s="141"/>
      <c r="AN1002" s="141"/>
      <c r="AO1002" s="142"/>
      <c r="AP1002" s="141"/>
      <c r="AQ1002" s="141"/>
      <c r="AR1002" s="142"/>
      <c r="AS1002" s="141"/>
      <c r="AT1002" s="142"/>
      <c r="AU1002" s="141"/>
      <c r="AV1002" s="142"/>
      <c r="AW1002" s="146"/>
      <c r="AX1002" s="146"/>
      <c r="AY1002" s="147">
        <v>14400</v>
      </c>
      <c r="AZ1002" s="147">
        <f>ROUNDDOWN(AY1002+(AY1002*MASTER!$A$2/100),0)</f>
        <v>15552</v>
      </c>
      <c r="BA1002" s="141"/>
      <c r="BB1002" s="145"/>
      <c r="BC1002" s="145">
        <v>0</v>
      </c>
      <c r="BD1002" s="141"/>
      <c r="BE1002" s="141"/>
      <c r="BF1002" s="145"/>
      <c r="BG1002" s="145">
        <v>0</v>
      </c>
      <c r="BH1002" s="141"/>
      <c r="BI1002" s="141"/>
      <c r="BJ1002" s="145"/>
      <c r="BK1002" s="145">
        <v>0</v>
      </c>
      <c r="BL1002" s="141"/>
      <c r="BM1002" s="145"/>
      <c r="BN1002" s="145"/>
      <c r="BO1002" s="145"/>
      <c r="BP1002" s="145"/>
      <c r="BQ1002" s="145"/>
      <c r="BR1002" s="145"/>
      <c r="BS1002" s="145">
        <v>0</v>
      </c>
      <c r="BT1002" s="148"/>
      <c r="BU1002" s="148"/>
      <c r="BV1002" s="149">
        <v>0</v>
      </c>
      <c r="BW1002" s="149">
        <v>0</v>
      </c>
      <c r="BX1002" s="149">
        <v>43620</v>
      </c>
      <c r="BY1002" s="149">
        <v>0</v>
      </c>
      <c r="BZ1002" s="150" t="s">
        <v>338</v>
      </c>
      <c r="CA1002" s="141"/>
      <c r="CB1002" s="141"/>
      <c r="CC1002" s="141"/>
      <c r="CD1002" s="144"/>
      <c r="CE1002" s="142"/>
      <c r="CF1002" s="142"/>
      <c r="CG1002" s="142"/>
      <c r="CH1002" s="142"/>
      <c r="CI1002" s="142"/>
      <c r="CJ1002" s="142"/>
      <c r="CK1002" s="145"/>
    </row>
    <row r="1003" spans="1:89" x14ac:dyDescent="0.15">
      <c r="A1003" s="84">
        <v>1</v>
      </c>
      <c r="B1003" s="85">
        <v>43640</v>
      </c>
      <c r="C1003" s="85">
        <v>43641</v>
      </c>
      <c r="F1003" s="85" t="s">
        <v>338</v>
      </c>
      <c r="H1003" s="85" t="s">
        <v>338</v>
      </c>
      <c r="J1003" s="84">
        <v>2</v>
      </c>
      <c r="K1003" s="85">
        <v>43634</v>
      </c>
      <c r="L1003" s="84" t="s">
        <v>818</v>
      </c>
      <c r="M1003" s="85">
        <v>43620</v>
      </c>
      <c r="N1003" s="85" t="s">
        <v>265</v>
      </c>
      <c r="O1003" s="86" t="s">
        <v>340</v>
      </c>
      <c r="P1003" s="84" t="s">
        <v>26</v>
      </c>
      <c r="Q1003" s="86" t="s">
        <v>140</v>
      </c>
      <c r="R1003" s="86" t="s">
        <v>2931</v>
      </c>
      <c r="S1003" s="87" t="s">
        <v>351</v>
      </c>
      <c r="T1003" s="87" t="s">
        <v>2932</v>
      </c>
      <c r="U1003" s="88">
        <v>74000</v>
      </c>
      <c r="V1003" s="88">
        <v>79920</v>
      </c>
      <c r="W1003" s="88">
        <v>74000</v>
      </c>
      <c r="X1003" s="88">
        <v>79920</v>
      </c>
      <c r="Z1003" s="88">
        <v>0</v>
      </c>
      <c r="AA1003" s="85">
        <v>43552</v>
      </c>
      <c r="AB1003" s="85">
        <v>43621</v>
      </c>
      <c r="AD1003" s="84">
        <v>0</v>
      </c>
      <c r="AG1003" s="84">
        <v>0</v>
      </c>
      <c r="AJ1003" s="84">
        <v>0</v>
      </c>
      <c r="AR1003" s="85">
        <v>43637</v>
      </c>
      <c r="AS1003" s="84">
        <v>6001686375</v>
      </c>
      <c r="AT1003" s="85">
        <v>43637</v>
      </c>
      <c r="AU1003" s="84" t="s">
        <v>2933</v>
      </c>
      <c r="AV1003" s="85">
        <v>43641</v>
      </c>
      <c r="AW1003" s="123">
        <v>43646</v>
      </c>
      <c r="AX1003" s="123">
        <v>43666</v>
      </c>
      <c r="AY1003" s="132">
        <v>71040</v>
      </c>
      <c r="AZ1003" s="132">
        <f>ROUNDDOWN(AY1003+(AY1003*MASTER!$A$2/100),0)</f>
        <v>76723</v>
      </c>
      <c r="BC1003" s="88">
        <v>0</v>
      </c>
      <c r="BG1003" s="88">
        <v>0</v>
      </c>
      <c r="BK1003" s="88">
        <v>0</v>
      </c>
      <c r="BS1003" s="88">
        <v>0</v>
      </c>
      <c r="BV1003" s="89">
        <v>79920</v>
      </c>
      <c r="BW1003" s="89">
        <v>0</v>
      </c>
      <c r="BX1003" s="89">
        <v>0</v>
      </c>
      <c r="BY1003" s="89">
        <v>43634</v>
      </c>
      <c r="BZ1003" s="112">
        <v>100</v>
      </c>
    </row>
    <row r="1004" spans="1:89" x14ac:dyDescent="0.15">
      <c r="A1004" s="84">
        <v>2</v>
      </c>
      <c r="B1004" s="85">
        <v>43640</v>
      </c>
      <c r="C1004" s="85">
        <v>43651</v>
      </c>
      <c r="D1004" s="85">
        <v>43685</v>
      </c>
      <c r="E1004" s="85">
        <v>43655</v>
      </c>
      <c r="F1004" s="85">
        <v>43658</v>
      </c>
      <c r="G1004" s="85">
        <v>43651</v>
      </c>
      <c r="H1004" s="85">
        <v>43654</v>
      </c>
      <c r="I1004" s="84" t="s">
        <v>401</v>
      </c>
      <c r="J1004" s="84">
        <v>1</v>
      </c>
      <c r="L1004" s="84">
        <v>0</v>
      </c>
      <c r="M1004" s="85">
        <v>43621</v>
      </c>
      <c r="N1004" s="85" t="s">
        <v>265</v>
      </c>
      <c r="O1004" s="86" t="s">
        <v>340</v>
      </c>
      <c r="P1004" s="84" t="s">
        <v>26</v>
      </c>
      <c r="Q1004" s="86" t="s">
        <v>140</v>
      </c>
      <c r="R1004" s="86" t="s">
        <v>2934</v>
      </c>
      <c r="S1004" s="87" t="s">
        <v>2935</v>
      </c>
      <c r="T1004" s="87" t="s">
        <v>2015</v>
      </c>
      <c r="U1004" s="88">
        <v>59200</v>
      </c>
      <c r="V1004" s="88">
        <v>63936</v>
      </c>
      <c r="W1004" s="88">
        <v>47000</v>
      </c>
      <c r="X1004" s="88">
        <v>50760</v>
      </c>
      <c r="Y1004" s="88">
        <v>12200</v>
      </c>
      <c r="Z1004" s="88">
        <v>13176</v>
      </c>
      <c r="AA1004" s="85">
        <v>43649</v>
      </c>
      <c r="AB1004" s="85">
        <v>43651</v>
      </c>
      <c r="AC1004" s="85">
        <v>43651</v>
      </c>
      <c r="AD1004" s="84">
        <v>0</v>
      </c>
      <c r="AG1004" s="84">
        <v>0</v>
      </c>
      <c r="AJ1004" s="84">
        <v>0</v>
      </c>
      <c r="AM1004" s="84" t="s">
        <v>290</v>
      </c>
      <c r="AN1004" s="84" t="s">
        <v>2936</v>
      </c>
      <c r="AR1004" s="85">
        <v>43636</v>
      </c>
      <c r="AS1004" s="84">
        <v>6001685703</v>
      </c>
      <c r="AT1004" s="85">
        <v>43636</v>
      </c>
      <c r="AU1004" s="84" t="s">
        <v>2916</v>
      </c>
      <c r="AV1004" s="85">
        <v>43651</v>
      </c>
      <c r="AW1004" s="123">
        <v>43677</v>
      </c>
      <c r="AX1004" s="123">
        <v>43697</v>
      </c>
      <c r="AY1004" s="132">
        <v>56832</v>
      </c>
      <c r="AZ1004" s="132">
        <v>61379</v>
      </c>
      <c r="BA1004" s="84" t="s">
        <v>477</v>
      </c>
      <c r="BB1004" s="88">
        <v>42000</v>
      </c>
      <c r="BC1004" s="88">
        <v>45360</v>
      </c>
      <c r="BD1004" s="84" t="s">
        <v>2637</v>
      </c>
      <c r="BG1004" s="88">
        <v>0</v>
      </c>
      <c r="BI1004" s="84" t="s">
        <v>434</v>
      </c>
      <c r="BJ1004" s="88">
        <v>7930</v>
      </c>
      <c r="BK1004" s="88">
        <v>8564.4</v>
      </c>
      <c r="BL1004" s="84" t="s">
        <v>2637</v>
      </c>
      <c r="BS1004" s="88">
        <v>0</v>
      </c>
      <c r="BV1004" s="89">
        <v>50760</v>
      </c>
      <c r="BW1004" s="89">
        <v>53924.4</v>
      </c>
      <c r="BX1004" s="89">
        <v>43621</v>
      </c>
      <c r="BY1004" s="89">
        <v>-3164.4</v>
      </c>
      <c r="BZ1004" s="112">
        <v>-6.2340425531914923</v>
      </c>
      <c r="CK1004" s="88">
        <v>0</v>
      </c>
    </row>
    <row r="1005" spans="1:89" x14ac:dyDescent="0.15">
      <c r="A1005" s="84">
        <v>2</v>
      </c>
      <c r="B1005" s="85">
        <v>43637</v>
      </c>
      <c r="C1005" s="85">
        <v>43643</v>
      </c>
      <c r="D1005" s="85">
        <v>43663</v>
      </c>
      <c r="E1005" s="85">
        <v>43648</v>
      </c>
      <c r="F1005" s="85">
        <v>43650</v>
      </c>
      <c r="G1005" s="85">
        <v>43643</v>
      </c>
      <c r="H1005" s="85">
        <v>43646</v>
      </c>
      <c r="I1005" s="84" t="s">
        <v>1191</v>
      </c>
      <c r="J1005" s="84">
        <v>1</v>
      </c>
      <c r="L1005" s="84">
        <v>0</v>
      </c>
      <c r="M1005" s="85">
        <v>43621</v>
      </c>
      <c r="N1005" s="85" t="s">
        <v>265</v>
      </c>
      <c r="O1005" s="86" t="s">
        <v>340</v>
      </c>
      <c r="P1005" s="84" t="s">
        <v>26</v>
      </c>
      <c r="Q1005" s="86" t="s">
        <v>140</v>
      </c>
      <c r="R1005" s="86" t="s">
        <v>2937</v>
      </c>
      <c r="S1005" s="87" t="s">
        <v>800</v>
      </c>
      <c r="T1005" s="87" t="s">
        <v>1371</v>
      </c>
      <c r="U1005" s="88">
        <v>59000</v>
      </c>
      <c r="V1005" s="88">
        <v>63720</v>
      </c>
      <c r="W1005" s="88">
        <v>47000</v>
      </c>
      <c r="X1005" s="88">
        <v>50760</v>
      </c>
      <c r="Y1005" s="88">
        <v>12000</v>
      </c>
      <c r="Z1005" s="88">
        <v>12960</v>
      </c>
      <c r="AA1005" s="85">
        <v>43641</v>
      </c>
      <c r="AB1005" s="85">
        <v>43643</v>
      </c>
      <c r="AC1005" s="85">
        <v>43643</v>
      </c>
      <c r="AD1005" s="84">
        <v>0</v>
      </c>
      <c r="AG1005" s="84">
        <v>0</v>
      </c>
      <c r="AJ1005" s="84">
        <v>0</v>
      </c>
      <c r="AM1005" s="84" t="s">
        <v>290</v>
      </c>
      <c r="AN1005" s="84" t="s">
        <v>2938</v>
      </c>
      <c r="AR1005" s="85">
        <v>43636</v>
      </c>
      <c r="AS1005" s="84">
        <v>6001685703</v>
      </c>
      <c r="AT1005" s="85">
        <v>43636</v>
      </c>
      <c r="AU1005" s="84" t="s">
        <v>2916</v>
      </c>
      <c r="AV1005" s="85">
        <v>43643</v>
      </c>
      <c r="AW1005" s="123">
        <v>43646</v>
      </c>
      <c r="AX1005" s="123">
        <v>43666</v>
      </c>
      <c r="AY1005" s="132">
        <v>56640</v>
      </c>
      <c r="AZ1005" s="132">
        <f>ROUNDDOWN(AY1005+(AY1005*MASTER!$A$2/100),0)</f>
        <v>61171</v>
      </c>
      <c r="BA1005" s="84" t="s">
        <v>14</v>
      </c>
      <c r="BB1005" s="88">
        <v>28000</v>
      </c>
      <c r="BC1005" s="88">
        <v>30240</v>
      </c>
      <c r="BD1005" s="84" t="s">
        <v>2637</v>
      </c>
      <c r="BG1005" s="88">
        <v>0</v>
      </c>
      <c r="BI1005" s="84" t="s">
        <v>276</v>
      </c>
      <c r="BJ1005" s="88">
        <v>7800</v>
      </c>
      <c r="BK1005" s="88">
        <v>8424</v>
      </c>
      <c r="BL1005" s="84" t="s">
        <v>2660</v>
      </c>
      <c r="BS1005" s="88">
        <v>0</v>
      </c>
      <c r="BV1005" s="89">
        <v>50760</v>
      </c>
      <c r="BW1005" s="89">
        <v>38664</v>
      </c>
      <c r="BX1005" s="89">
        <v>43621</v>
      </c>
      <c r="BY1005" s="89">
        <v>12096</v>
      </c>
      <c r="BZ1005" s="112">
        <v>23.829787234042556</v>
      </c>
      <c r="CK1005" s="88">
        <v>0</v>
      </c>
    </row>
    <row r="1006" spans="1:89" x14ac:dyDescent="0.15">
      <c r="A1006" s="84">
        <v>1</v>
      </c>
      <c r="B1006" s="85">
        <v>43670</v>
      </c>
      <c r="C1006" s="85">
        <v>43671</v>
      </c>
      <c r="F1006" s="85" t="s">
        <v>338</v>
      </c>
      <c r="H1006" s="85" t="s">
        <v>338</v>
      </c>
      <c r="J1006" s="84">
        <v>2</v>
      </c>
      <c r="L1006" s="84">
        <v>0</v>
      </c>
      <c r="M1006" s="85">
        <v>43621</v>
      </c>
      <c r="N1006" s="85" t="s">
        <v>265</v>
      </c>
      <c r="O1006" s="86" t="s">
        <v>340</v>
      </c>
      <c r="P1006" s="84" t="s">
        <v>272</v>
      </c>
      <c r="Q1006" s="86" t="s">
        <v>140</v>
      </c>
      <c r="R1006" s="86" t="s">
        <v>2939</v>
      </c>
      <c r="S1006" s="87" t="s">
        <v>598</v>
      </c>
      <c r="T1006" s="87" t="s">
        <v>2089</v>
      </c>
      <c r="U1006" s="88">
        <v>3000</v>
      </c>
      <c r="V1006" s="88">
        <v>3240</v>
      </c>
      <c r="W1006" s="88">
        <v>3000</v>
      </c>
      <c r="X1006" s="88">
        <v>3240</v>
      </c>
      <c r="Z1006" s="88">
        <v>0</v>
      </c>
      <c r="AA1006" s="85">
        <v>43620</v>
      </c>
      <c r="AD1006" s="84">
        <v>0</v>
      </c>
      <c r="AG1006" s="84">
        <v>0</v>
      </c>
      <c r="AJ1006" s="84">
        <v>0</v>
      </c>
      <c r="AR1006" s="85">
        <v>43669</v>
      </c>
      <c r="AS1006" s="84">
        <v>6001696209</v>
      </c>
      <c r="AT1006" s="85">
        <v>43669</v>
      </c>
      <c r="AU1006" s="84" t="s">
        <v>2940</v>
      </c>
      <c r="AV1006" s="85">
        <v>43671</v>
      </c>
      <c r="AW1006" s="123">
        <v>43677</v>
      </c>
      <c r="AX1006" s="123">
        <v>43697</v>
      </c>
      <c r="AY1006" s="132">
        <v>2880</v>
      </c>
      <c r="AZ1006" s="132">
        <f>ROUNDDOWN(AY1006+(AY1006*MASTER!$A$2/100),0)</f>
        <v>3110</v>
      </c>
      <c r="BC1006" s="88">
        <v>0</v>
      </c>
      <c r="BG1006" s="88">
        <v>0</v>
      </c>
      <c r="BK1006" s="88">
        <v>0</v>
      </c>
      <c r="BS1006" s="88">
        <v>0</v>
      </c>
      <c r="BV1006" s="89">
        <v>3240</v>
      </c>
      <c r="BW1006" s="89">
        <v>0</v>
      </c>
      <c r="BX1006" s="89">
        <v>43621</v>
      </c>
      <c r="BY1006" s="89">
        <v>3240</v>
      </c>
      <c r="BZ1006" s="112">
        <v>100</v>
      </c>
    </row>
    <row r="1007" spans="1:89" x14ac:dyDescent="0.15">
      <c r="A1007" s="84">
        <v>1</v>
      </c>
      <c r="B1007" s="85">
        <v>43670</v>
      </c>
      <c r="C1007" s="85">
        <v>43671</v>
      </c>
      <c r="F1007" s="85" t="s">
        <v>338</v>
      </c>
      <c r="H1007" s="85" t="s">
        <v>338</v>
      </c>
      <c r="J1007" s="84">
        <v>2</v>
      </c>
      <c r="L1007" s="84">
        <v>0</v>
      </c>
      <c r="M1007" s="85">
        <v>43621</v>
      </c>
      <c r="N1007" s="85" t="s">
        <v>265</v>
      </c>
      <c r="O1007" s="86" t="s">
        <v>340</v>
      </c>
      <c r="P1007" s="84" t="s">
        <v>272</v>
      </c>
      <c r="Q1007" s="86" t="s">
        <v>140</v>
      </c>
      <c r="R1007" s="86" t="s">
        <v>2941</v>
      </c>
      <c r="S1007" s="87" t="s">
        <v>598</v>
      </c>
      <c r="T1007" s="87" t="s">
        <v>3828</v>
      </c>
      <c r="U1007" s="88">
        <v>3000</v>
      </c>
      <c r="V1007" s="88">
        <v>3240</v>
      </c>
      <c r="W1007" s="88">
        <v>3000</v>
      </c>
      <c r="X1007" s="88">
        <v>3240</v>
      </c>
      <c r="Z1007" s="88">
        <v>0</v>
      </c>
      <c r="AA1007" s="85">
        <v>43620</v>
      </c>
      <c r="AD1007" s="84">
        <v>0</v>
      </c>
      <c r="AG1007" s="84">
        <v>0</v>
      </c>
      <c r="AJ1007" s="84">
        <v>0</v>
      </c>
      <c r="AR1007" s="85">
        <v>43669</v>
      </c>
      <c r="AS1007" s="84">
        <v>6001696209</v>
      </c>
      <c r="AT1007" s="85">
        <v>43669</v>
      </c>
      <c r="AU1007" s="84" t="s">
        <v>2940</v>
      </c>
      <c r="AV1007" s="85">
        <v>43671</v>
      </c>
      <c r="AW1007" s="123">
        <v>43677</v>
      </c>
      <c r="AX1007" s="123">
        <v>43697</v>
      </c>
      <c r="AY1007" s="132">
        <v>2880</v>
      </c>
      <c r="AZ1007" s="132">
        <f>ROUNDDOWN(AY1007+(AY1007*MASTER!$A$2/100),0)</f>
        <v>3110</v>
      </c>
      <c r="BC1007" s="88">
        <v>0</v>
      </c>
      <c r="BG1007" s="88">
        <v>0</v>
      </c>
      <c r="BK1007" s="88">
        <v>0</v>
      </c>
      <c r="BS1007" s="88">
        <v>0</v>
      </c>
      <c r="BV1007" s="89">
        <v>3240</v>
      </c>
      <c r="BW1007" s="89">
        <v>0</v>
      </c>
      <c r="BX1007" s="89">
        <v>43621</v>
      </c>
      <c r="BY1007" s="89">
        <v>3240</v>
      </c>
      <c r="BZ1007" s="112">
        <v>100</v>
      </c>
    </row>
    <row r="1008" spans="1:89" x14ac:dyDescent="0.15">
      <c r="A1008" s="84">
        <v>2</v>
      </c>
      <c r="B1008" s="85">
        <v>43628</v>
      </c>
      <c r="C1008" s="85">
        <v>43644</v>
      </c>
      <c r="E1008" s="85">
        <v>43654</v>
      </c>
      <c r="F1008" s="85">
        <v>43651</v>
      </c>
      <c r="G1008" s="85">
        <v>43650</v>
      </c>
      <c r="H1008" s="85">
        <v>43647</v>
      </c>
      <c r="I1008" s="84" t="s">
        <v>401</v>
      </c>
      <c r="J1008" s="84">
        <v>1</v>
      </c>
      <c r="L1008" s="84">
        <v>0</v>
      </c>
      <c r="M1008" s="85">
        <v>43622</v>
      </c>
      <c r="N1008" s="85" t="s">
        <v>265</v>
      </c>
      <c r="O1008" s="86" t="s">
        <v>340</v>
      </c>
      <c r="P1008" s="84" t="s">
        <v>26</v>
      </c>
      <c r="Q1008" s="86" t="s">
        <v>140</v>
      </c>
      <c r="R1008" s="86" t="s">
        <v>2942</v>
      </c>
      <c r="S1008" s="87" t="s">
        <v>2629</v>
      </c>
      <c r="T1008" s="87" t="s">
        <v>2864</v>
      </c>
      <c r="U1008" s="88">
        <v>180000</v>
      </c>
      <c r="V1008" s="88">
        <v>194400</v>
      </c>
      <c r="W1008" s="88">
        <v>115000</v>
      </c>
      <c r="X1008" s="88">
        <v>124200</v>
      </c>
      <c r="Y1008" s="88">
        <v>65000</v>
      </c>
      <c r="Z1008" s="88">
        <v>70200</v>
      </c>
      <c r="AA1008" s="85">
        <v>43643</v>
      </c>
      <c r="AB1008" s="85">
        <v>43644</v>
      </c>
      <c r="AC1008" s="85">
        <v>43644</v>
      </c>
      <c r="AD1008" s="84">
        <v>0</v>
      </c>
      <c r="AG1008" s="84">
        <v>0</v>
      </c>
      <c r="AJ1008" s="84">
        <v>0</v>
      </c>
      <c r="AN1008" s="84" t="s">
        <v>338</v>
      </c>
      <c r="AR1008" s="85">
        <v>43627</v>
      </c>
      <c r="AS1008" s="84">
        <v>6001682585</v>
      </c>
      <c r="AT1008" s="85">
        <v>43627</v>
      </c>
      <c r="AU1008" s="84" t="s">
        <v>2832</v>
      </c>
      <c r="AV1008" s="85">
        <v>43644</v>
      </c>
      <c r="AW1008" s="123">
        <v>43646</v>
      </c>
      <c r="AX1008" s="123">
        <v>43666</v>
      </c>
      <c r="AY1008" s="132">
        <v>172800</v>
      </c>
      <c r="AZ1008" s="132">
        <f>ROUNDDOWN(AY1008+(AY1008*MASTER!$A$2/100),0)</f>
        <v>186624</v>
      </c>
      <c r="BA1008" s="84" t="s">
        <v>286</v>
      </c>
      <c r="BB1008" s="88">
        <v>67000</v>
      </c>
      <c r="BC1008" s="88">
        <v>72360</v>
      </c>
      <c r="BD1008" s="84" t="s">
        <v>2637</v>
      </c>
      <c r="BG1008" s="88">
        <v>0</v>
      </c>
      <c r="BI1008" s="84" t="s">
        <v>276</v>
      </c>
      <c r="BJ1008" s="88">
        <v>42250</v>
      </c>
      <c r="BK1008" s="88">
        <v>45630</v>
      </c>
      <c r="BL1008" s="84" t="s">
        <v>2660</v>
      </c>
      <c r="BS1008" s="88">
        <v>0</v>
      </c>
      <c r="BV1008" s="89">
        <v>124200</v>
      </c>
      <c r="BW1008" s="89">
        <v>117990</v>
      </c>
      <c r="BX1008" s="89">
        <v>43622</v>
      </c>
      <c r="BY1008" s="89">
        <v>6210</v>
      </c>
      <c r="BZ1008" s="112">
        <v>5</v>
      </c>
      <c r="CK1008" s="88">
        <v>0</v>
      </c>
    </row>
    <row r="1009" spans="1:89" x14ac:dyDescent="0.15">
      <c r="A1009" s="84">
        <v>2</v>
      </c>
      <c r="B1009" s="85">
        <v>43628</v>
      </c>
      <c r="C1009" s="85">
        <v>43644</v>
      </c>
      <c r="E1009" s="85">
        <v>43654</v>
      </c>
      <c r="F1009" s="85">
        <v>43651</v>
      </c>
      <c r="G1009" s="85">
        <v>43650</v>
      </c>
      <c r="H1009" s="85">
        <v>43647</v>
      </c>
      <c r="I1009" s="84" t="s">
        <v>401</v>
      </c>
      <c r="J1009" s="84">
        <v>1</v>
      </c>
      <c r="L1009" s="84">
        <v>0</v>
      </c>
      <c r="M1009" s="85">
        <v>43622</v>
      </c>
      <c r="N1009" s="85" t="s">
        <v>265</v>
      </c>
      <c r="O1009" s="86" t="s">
        <v>340</v>
      </c>
      <c r="P1009" s="84" t="s">
        <v>26</v>
      </c>
      <c r="Q1009" s="86" t="s">
        <v>140</v>
      </c>
      <c r="R1009" s="86" t="s">
        <v>2943</v>
      </c>
      <c r="S1009" s="87" t="s">
        <v>2629</v>
      </c>
      <c r="T1009" s="87" t="s">
        <v>2876</v>
      </c>
      <c r="U1009" s="88">
        <v>95000</v>
      </c>
      <c r="V1009" s="88">
        <v>102600</v>
      </c>
      <c r="W1009" s="88">
        <v>80000</v>
      </c>
      <c r="X1009" s="88">
        <v>86400</v>
      </c>
      <c r="Y1009" s="88">
        <v>15000</v>
      </c>
      <c r="Z1009" s="88">
        <v>16200</v>
      </c>
      <c r="AA1009" s="85">
        <v>43643</v>
      </c>
      <c r="AB1009" s="85">
        <v>43644</v>
      </c>
      <c r="AC1009" s="85">
        <v>43644</v>
      </c>
      <c r="AD1009" s="84">
        <v>0</v>
      </c>
      <c r="AG1009" s="84">
        <v>0</v>
      </c>
      <c r="AJ1009" s="84">
        <v>0</v>
      </c>
      <c r="AN1009" s="84" t="s">
        <v>338</v>
      </c>
      <c r="AR1009" s="85">
        <v>43627</v>
      </c>
      <c r="AS1009" s="84">
        <v>6001682585</v>
      </c>
      <c r="AT1009" s="85">
        <v>43627</v>
      </c>
      <c r="AU1009" s="84" t="s">
        <v>2832</v>
      </c>
      <c r="AV1009" s="85">
        <v>43644</v>
      </c>
      <c r="AW1009" s="123">
        <v>43646</v>
      </c>
      <c r="AX1009" s="123">
        <v>43666</v>
      </c>
      <c r="AY1009" s="132">
        <v>91200</v>
      </c>
      <c r="AZ1009" s="132">
        <f>ROUNDDOWN(AY1009+(AY1009*MASTER!$A$2/100),0)</f>
        <v>98496</v>
      </c>
      <c r="BA1009" s="84" t="s">
        <v>778</v>
      </c>
      <c r="BC1009" s="88">
        <v>0</v>
      </c>
      <c r="BG1009" s="88">
        <v>0</v>
      </c>
      <c r="BI1009" s="84" t="s">
        <v>276</v>
      </c>
      <c r="BJ1009" s="88">
        <v>9750</v>
      </c>
      <c r="BK1009" s="88">
        <v>10530</v>
      </c>
      <c r="BL1009" s="84" t="s">
        <v>2660</v>
      </c>
      <c r="BS1009" s="88">
        <v>0</v>
      </c>
      <c r="BV1009" s="89">
        <v>86400</v>
      </c>
      <c r="BW1009" s="89">
        <v>10530</v>
      </c>
      <c r="BX1009" s="89">
        <v>43622</v>
      </c>
      <c r="BY1009" s="89">
        <v>75870</v>
      </c>
      <c r="BZ1009" s="112">
        <v>87.8125</v>
      </c>
      <c r="CK1009" s="88">
        <v>0</v>
      </c>
    </row>
    <row r="1010" spans="1:89" s="151" customFormat="1" x14ac:dyDescent="0.15">
      <c r="A1010" s="141">
        <v>3</v>
      </c>
      <c r="B1010" s="142"/>
      <c r="C1010" s="142" t="s">
        <v>338</v>
      </c>
      <c r="D1010" s="142"/>
      <c r="E1010" s="142"/>
      <c r="F1010" s="142" t="s">
        <v>338</v>
      </c>
      <c r="G1010" s="142"/>
      <c r="H1010" s="142" t="s">
        <v>338</v>
      </c>
      <c r="I1010" s="141"/>
      <c r="J1010" s="141">
        <v>4</v>
      </c>
      <c r="K1010" s="142"/>
      <c r="L1010" s="141">
        <v>0</v>
      </c>
      <c r="M1010" s="142">
        <v>43622</v>
      </c>
      <c r="N1010" s="142" t="s">
        <v>264</v>
      </c>
      <c r="O1010" s="143" t="s">
        <v>340</v>
      </c>
      <c r="P1010" s="141" t="s">
        <v>272</v>
      </c>
      <c r="Q1010" s="143" t="s">
        <v>140</v>
      </c>
      <c r="R1010" s="143" t="s">
        <v>2944</v>
      </c>
      <c r="S1010" s="144" t="s">
        <v>387</v>
      </c>
      <c r="T1010" s="144" t="s">
        <v>2945</v>
      </c>
      <c r="U1010" s="145">
        <v>0</v>
      </c>
      <c r="V1010" s="145">
        <v>0</v>
      </c>
      <c r="W1010" s="145"/>
      <c r="X1010" s="145">
        <v>0</v>
      </c>
      <c r="Y1010" s="145"/>
      <c r="Z1010" s="145">
        <v>0</v>
      </c>
      <c r="AA1010" s="142"/>
      <c r="AB1010" s="142"/>
      <c r="AC1010" s="142"/>
      <c r="AD1010" s="141">
        <v>0</v>
      </c>
      <c r="AE1010" s="141"/>
      <c r="AF1010" s="141"/>
      <c r="AG1010" s="141">
        <v>0</v>
      </c>
      <c r="AH1010" s="141"/>
      <c r="AI1010" s="141"/>
      <c r="AJ1010" s="141">
        <v>0</v>
      </c>
      <c r="AK1010" s="141"/>
      <c r="AL1010" s="141"/>
      <c r="AM1010" s="141"/>
      <c r="AN1010" s="141"/>
      <c r="AO1010" s="142"/>
      <c r="AP1010" s="141"/>
      <c r="AQ1010" s="141"/>
      <c r="AR1010" s="142"/>
      <c r="AS1010" s="141"/>
      <c r="AT1010" s="142"/>
      <c r="AU1010" s="141"/>
      <c r="AV1010" s="142"/>
      <c r="AW1010" s="146"/>
      <c r="AX1010" s="146"/>
      <c r="AY1010" s="147">
        <v>0</v>
      </c>
      <c r="AZ1010" s="132">
        <f>ROUNDDOWN(AY1010+(AY1010*MASTER!$A$2/100),0)</f>
        <v>0</v>
      </c>
      <c r="BA1010" s="141"/>
      <c r="BB1010" s="145"/>
      <c r="BC1010" s="145">
        <v>0</v>
      </c>
      <c r="BD1010" s="141"/>
      <c r="BE1010" s="141"/>
      <c r="BF1010" s="145"/>
      <c r="BG1010" s="145">
        <v>0</v>
      </c>
      <c r="BH1010" s="141"/>
      <c r="BI1010" s="141"/>
      <c r="BJ1010" s="145"/>
      <c r="BK1010" s="145">
        <v>0</v>
      </c>
      <c r="BL1010" s="141"/>
      <c r="BM1010" s="145"/>
      <c r="BN1010" s="145"/>
      <c r="BO1010" s="145"/>
      <c r="BP1010" s="145"/>
      <c r="BQ1010" s="145"/>
      <c r="BR1010" s="145"/>
      <c r="BS1010" s="145">
        <v>0</v>
      </c>
      <c r="BT1010" s="148"/>
      <c r="BU1010" s="148"/>
      <c r="BV1010" s="149">
        <v>0</v>
      </c>
      <c r="BW1010" s="149">
        <v>0</v>
      </c>
      <c r="BX1010" s="149">
        <v>43622</v>
      </c>
      <c r="BY1010" s="149">
        <v>0</v>
      </c>
      <c r="BZ1010" s="150" t="s">
        <v>338</v>
      </c>
      <c r="CA1010" s="141" t="s">
        <v>2946</v>
      </c>
      <c r="CB1010" s="141"/>
      <c r="CC1010" s="141"/>
      <c r="CD1010" s="144"/>
      <c r="CE1010" s="142"/>
      <c r="CF1010" s="142"/>
      <c r="CG1010" s="142"/>
      <c r="CH1010" s="142"/>
      <c r="CI1010" s="142"/>
      <c r="CJ1010" s="142"/>
      <c r="CK1010" s="145"/>
    </row>
    <row r="1011" spans="1:89" x14ac:dyDescent="0.15">
      <c r="A1011" s="84">
        <v>2</v>
      </c>
      <c r="B1011" s="85">
        <v>43633</v>
      </c>
      <c r="C1011" s="85">
        <v>43633</v>
      </c>
      <c r="D1011" s="85">
        <v>43644</v>
      </c>
      <c r="E1011" s="85">
        <v>43634</v>
      </c>
      <c r="F1011" s="85">
        <v>43638</v>
      </c>
      <c r="G1011" s="85">
        <v>43633</v>
      </c>
      <c r="H1011" s="85">
        <v>43634</v>
      </c>
      <c r="I1011" s="84" t="s">
        <v>1191</v>
      </c>
      <c r="J1011" s="84">
        <v>2</v>
      </c>
      <c r="L1011" s="84">
        <v>0</v>
      </c>
      <c r="M1011" s="85">
        <v>43622</v>
      </c>
      <c r="N1011" s="85" t="s">
        <v>265</v>
      </c>
      <c r="O1011" s="86" t="s">
        <v>340</v>
      </c>
      <c r="P1011" s="84" t="s">
        <v>26</v>
      </c>
      <c r="Q1011" s="86" t="s">
        <v>140</v>
      </c>
      <c r="R1011" s="86" t="s">
        <v>2947</v>
      </c>
      <c r="S1011" s="87" t="s">
        <v>1103</v>
      </c>
      <c r="T1011" s="87" t="s">
        <v>2948</v>
      </c>
      <c r="U1011" s="88">
        <v>130500</v>
      </c>
      <c r="V1011" s="88">
        <v>140940</v>
      </c>
      <c r="W1011" s="88">
        <v>130500</v>
      </c>
      <c r="X1011" s="88">
        <v>140940</v>
      </c>
      <c r="Z1011" s="88">
        <v>0</v>
      </c>
      <c r="AA1011" s="85">
        <v>43630</v>
      </c>
      <c r="AB1011" s="85">
        <v>43631</v>
      </c>
      <c r="AC1011" s="85">
        <v>43631</v>
      </c>
      <c r="AD1011" s="84">
        <v>0</v>
      </c>
      <c r="AG1011" s="84">
        <v>0</v>
      </c>
      <c r="AJ1011" s="84">
        <v>0</v>
      </c>
      <c r="AR1011" s="85">
        <v>43630</v>
      </c>
      <c r="AS1011" s="84">
        <v>6001683768</v>
      </c>
      <c r="AT1011" s="85">
        <v>43630</v>
      </c>
      <c r="AU1011" s="84" t="s">
        <v>2838</v>
      </c>
      <c r="AV1011" s="85">
        <v>43633</v>
      </c>
      <c r="AW1011" s="123">
        <v>43646</v>
      </c>
      <c r="AX1011" s="123">
        <v>43666</v>
      </c>
      <c r="AY1011" s="132">
        <v>125280</v>
      </c>
      <c r="AZ1011" s="132">
        <f>ROUNDDOWN(AY1011+(AY1011*MASTER!$A$2/100),0)</f>
        <v>135302</v>
      </c>
      <c r="BA1011" s="84" t="s">
        <v>543</v>
      </c>
      <c r="BB1011" s="88">
        <v>44000</v>
      </c>
      <c r="BC1011" s="88">
        <v>47520</v>
      </c>
      <c r="BD1011" s="84" t="s">
        <v>2466</v>
      </c>
      <c r="BG1011" s="88">
        <v>0</v>
      </c>
      <c r="BK1011" s="88">
        <v>0</v>
      </c>
      <c r="BS1011" s="88">
        <v>0</v>
      </c>
      <c r="BV1011" s="89">
        <v>140940</v>
      </c>
      <c r="BW1011" s="89">
        <v>47520</v>
      </c>
      <c r="BX1011" s="89">
        <v>43622</v>
      </c>
      <c r="BY1011" s="89">
        <v>93420</v>
      </c>
      <c r="BZ1011" s="112">
        <v>66.283524904214559</v>
      </c>
    </row>
    <row r="1012" spans="1:89" x14ac:dyDescent="0.15">
      <c r="A1012" s="84">
        <v>1</v>
      </c>
      <c r="B1012" s="85">
        <v>43627</v>
      </c>
      <c r="C1012" s="85">
        <v>43636</v>
      </c>
      <c r="F1012" s="85" t="s">
        <v>338</v>
      </c>
      <c r="H1012" s="85" t="s">
        <v>338</v>
      </c>
      <c r="J1012" s="84">
        <v>2</v>
      </c>
      <c r="L1012" s="84">
        <v>0</v>
      </c>
      <c r="M1012" s="85">
        <v>43622</v>
      </c>
      <c r="N1012" s="85" t="s">
        <v>265</v>
      </c>
      <c r="O1012" s="86" t="s">
        <v>340</v>
      </c>
      <c r="P1012" s="84" t="s">
        <v>269</v>
      </c>
      <c r="Q1012" s="86" t="s">
        <v>140</v>
      </c>
      <c r="R1012" s="86" t="s">
        <v>2949</v>
      </c>
      <c r="S1012" s="87" t="s">
        <v>377</v>
      </c>
      <c r="T1012" s="87" t="s">
        <v>2950</v>
      </c>
      <c r="U1012" s="88">
        <v>66000</v>
      </c>
      <c r="V1012" s="88">
        <v>71280</v>
      </c>
      <c r="W1012" s="88">
        <v>66000</v>
      </c>
      <c r="X1012" s="88">
        <v>71280</v>
      </c>
      <c r="Z1012" s="88">
        <v>0</v>
      </c>
      <c r="AD1012" s="84">
        <v>0</v>
      </c>
      <c r="AG1012" s="84">
        <v>0</v>
      </c>
      <c r="AJ1012" s="84">
        <v>0</v>
      </c>
      <c r="AR1012" s="85">
        <v>43626</v>
      </c>
      <c r="AS1012" s="84">
        <v>6001682218</v>
      </c>
      <c r="AT1012" s="85">
        <v>43626</v>
      </c>
      <c r="AU1012" s="84" t="s">
        <v>2787</v>
      </c>
      <c r="AV1012" s="85">
        <v>43636</v>
      </c>
      <c r="AW1012" s="123">
        <v>43646</v>
      </c>
      <c r="AX1012" s="123">
        <v>43666</v>
      </c>
      <c r="AY1012" s="132">
        <v>63360</v>
      </c>
      <c r="AZ1012" s="132">
        <f>ROUNDDOWN(AY1012+(AY1012*MASTER!$A$2/100),0)</f>
        <v>68428</v>
      </c>
      <c r="BC1012" s="88">
        <v>0</v>
      </c>
      <c r="BG1012" s="88">
        <v>0</v>
      </c>
      <c r="BK1012" s="88">
        <v>0</v>
      </c>
      <c r="BS1012" s="88">
        <v>0</v>
      </c>
      <c r="BV1012" s="89">
        <v>71280</v>
      </c>
      <c r="BW1012" s="89">
        <v>0</v>
      </c>
      <c r="BX1012" s="89">
        <v>43622</v>
      </c>
      <c r="BY1012" s="89">
        <v>71280</v>
      </c>
      <c r="BZ1012" s="112">
        <v>100</v>
      </c>
      <c r="CK1012" s="88">
        <v>0</v>
      </c>
    </row>
    <row r="1013" spans="1:89" s="151" customFormat="1" x14ac:dyDescent="0.15">
      <c r="A1013" s="141">
        <v>3</v>
      </c>
      <c r="B1013" s="142"/>
      <c r="C1013" s="142" t="s">
        <v>338</v>
      </c>
      <c r="D1013" s="142"/>
      <c r="E1013" s="142"/>
      <c r="F1013" s="142" t="s">
        <v>338</v>
      </c>
      <c r="G1013" s="142"/>
      <c r="H1013" s="142" t="s">
        <v>338</v>
      </c>
      <c r="I1013" s="141"/>
      <c r="J1013" s="141">
        <v>2</v>
      </c>
      <c r="K1013" s="142"/>
      <c r="L1013" s="141">
        <v>0</v>
      </c>
      <c r="M1013" s="142">
        <v>43622</v>
      </c>
      <c r="N1013" s="142" t="s">
        <v>265</v>
      </c>
      <c r="O1013" s="143" t="s">
        <v>340</v>
      </c>
      <c r="P1013" s="141" t="s">
        <v>26</v>
      </c>
      <c r="Q1013" s="143" t="s">
        <v>140</v>
      </c>
      <c r="R1013" s="143" t="s">
        <v>2951</v>
      </c>
      <c r="S1013" s="144" t="s">
        <v>562</v>
      </c>
      <c r="T1013" s="144" t="s">
        <v>2952</v>
      </c>
      <c r="U1013" s="145">
        <v>49500</v>
      </c>
      <c r="V1013" s="145">
        <v>53460</v>
      </c>
      <c r="W1013" s="145">
        <v>49500</v>
      </c>
      <c r="X1013" s="145">
        <v>53460</v>
      </c>
      <c r="Y1013" s="145"/>
      <c r="Z1013" s="145">
        <v>0</v>
      </c>
      <c r="AA1013" s="142"/>
      <c r="AB1013" s="142"/>
      <c r="AC1013" s="142"/>
      <c r="AD1013" s="141">
        <v>0</v>
      </c>
      <c r="AE1013" s="141"/>
      <c r="AF1013" s="141"/>
      <c r="AG1013" s="141">
        <v>0</v>
      </c>
      <c r="AH1013" s="141"/>
      <c r="AI1013" s="141"/>
      <c r="AJ1013" s="141">
        <v>0</v>
      </c>
      <c r="AK1013" s="141"/>
      <c r="AL1013" s="141"/>
      <c r="AM1013" s="141"/>
      <c r="AN1013" s="141" t="s">
        <v>338</v>
      </c>
      <c r="AO1013" s="142"/>
      <c r="AP1013" s="141"/>
      <c r="AQ1013" s="141"/>
      <c r="AR1013" s="142"/>
      <c r="AS1013" s="141"/>
      <c r="AT1013" s="142"/>
      <c r="AU1013" s="141"/>
      <c r="AV1013" s="142"/>
      <c r="AW1013" s="146"/>
      <c r="AX1013" s="146"/>
      <c r="AY1013" s="147">
        <v>47520</v>
      </c>
      <c r="AZ1013" s="132">
        <f>ROUNDDOWN(AY1013+(AY1013*MASTER!$A$2/100),0)</f>
        <v>51321</v>
      </c>
      <c r="BA1013" s="141"/>
      <c r="BB1013" s="145"/>
      <c r="BC1013" s="145">
        <v>0</v>
      </c>
      <c r="BD1013" s="141"/>
      <c r="BE1013" s="141"/>
      <c r="BF1013" s="145"/>
      <c r="BG1013" s="145">
        <v>0</v>
      </c>
      <c r="BH1013" s="141"/>
      <c r="BI1013" s="141"/>
      <c r="BJ1013" s="145"/>
      <c r="BK1013" s="145">
        <v>0</v>
      </c>
      <c r="BL1013" s="141"/>
      <c r="BM1013" s="145"/>
      <c r="BN1013" s="145"/>
      <c r="BO1013" s="145"/>
      <c r="BP1013" s="145"/>
      <c r="BQ1013" s="145"/>
      <c r="BR1013" s="145"/>
      <c r="BS1013" s="145">
        <v>0</v>
      </c>
      <c r="BT1013" s="148"/>
      <c r="BU1013" s="148"/>
      <c r="BV1013" s="149">
        <v>53460</v>
      </c>
      <c r="BW1013" s="149">
        <v>0</v>
      </c>
      <c r="BX1013" s="149">
        <v>43622</v>
      </c>
      <c r="BY1013" s="149">
        <v>53460</v>
      </c>
      <c r="BZ1013" s="150">
        <v>100</v>
      </c>
      <c r="CA1013" s="141"/>
      <c r="CB1013" s="141"/>
      <c r="CC1013" s="141"/>
      <c r="CD1013" s="144"/>
      <c r="CE1013" s="142"/>
      <c r="CF1013" s="142"/>
      <c r="CG1013" s="142"/>
      <c r="CH1013" s="142"/>
      <c r="CI1013" s="142"/>
      <c r="CJ1013" s="142"/>
      <c r="CK1013" s="145">
        <v>0</v>
      </c>
    </row>
    <row r="1014" spans="1:89" s="151" customFormat="1" x14ac:dyDescent="0.15">
      <c r="A1014" s="141">
        <v>3</v>
      </c>
      <c r="B1014" s="142"/>
      <c r="C1014" s="142" t="s">
        <v>338</v>
      </c>
      <c r="D1014" s="142"/>
      <c r="E1014" s="142"/>
      <c r="F1014" s="142" t="s">
        <v>338</v>
      </c>
      <c r="G1014" s="142"/>
      <c r="H1014" s="142" t="s">
        <v>338</v>
      </c>
      <c r="I1014" s="141"/>
      <c r="J1014" s="141">
        <v>2</v>
      </c>
      <c r="K1014" s="142"/>
      <c r="L1014" s="141">
        <v>0</v>
      </c>
      <c r="M1014" s="142">
        <v>43622</v>
      </c>
      <c r="N1014" s="142" t="s">
        <v>265</v>
      </c>
      <c r="O1014" s="143" t="s">
        <v>340</v>
      </c>
      <c r="P1014" s="141" t="s">
        <v>26</v>
      </c>
      <c r="Q1014" s="143" t="s">
        <v>140</v>
      </c>
      <c r="R1014" s="143" t="s">
        <v>2953</v>
      </c>
      <c r="S1014" s="144" t="s">
        <v>562</v>
      </c>
      <c r="T1014" s="144" t="s">
        <v>2954</v>
      </c>
      <c r="U1014" s="145">
        <v>16800</v>
      </c>
      <c r="V1014" s="145">
        <v>18144</v>
      </c>
      <c r="W1014" s="145">
        <v>16800</v>
      </c>
      <c r="X1014" s="145">
        <v>18144</v>
      </c>
      <c r="Y1014" s="145"/>
      <c r="Z1014" s="145">
        <v>0</v>
      </c>
      <c r="AA1014" s="142"/>
      <c r="AB1014" s="142"/>
      <c r="AC1014" s="142"/>
      <c r="AD1014" s="141">
        <v>0</v>
      </c>
      <c r="AE1014" s="141"/>
      <c r="AF1014" s="141"/>
      <c r="AG1014" s="141">
        <v>0</v>
      </c>
      <c r="AH1014" s="141"/>
      <c r="AI1014" s="141"/>
      <c r="AJ1014" s="141">
        <v>0</v>
      </c>
      <c r="AK1014" s="141"/>
      <c r="AL1014" s="141"/>
      <c r="AM1014" s="141"/>
      <c r="AN1014" s="141" t="s">
        <v>338</v>
      </c>
      <c r="AO1014" s="142"/>
      <c r="AP1014" s="141"/>
      <c r="AQ1014" s="141"/>
      <c r="AR1014" s="142"/>
      <c r="AS1014" s="141"/>
      <c r="AT1014" s="142"/>
      <c r="AU1014" s="141"/>
      <c r="AV1014" s="142"/>
      <c r="AW1014" s="146"/>
      <c r="AX1014" s="146"/>
      <c r="AY1014" s="147">
        <v>16128</v>
      </c>
      <c r="AZ1014" s="132">
        <f>ROUNDDOWN(AY1014+(AY1014*MASTER!$A$2/100),0)</f>
        <v>17418</v>
      </c>
      <c r="BA1014" s="141"/>
      <c r="BB1014" s="145"/>
      <c r="BC1014" s="145">
        <v>0</v>
      </c>
      <c r="BD1014" s="141"/>
      <c r="BE1014" s="141"/>
      <c r="BF1014" s="145"/>
      <c r="BG1014" s="145">
        <v>0</v>
      </c>
      <c r="BH1014" s="141"/>
      <c r="BI1014" s="141"/>
      <c r="BJ1014" s="145"/>
      <c r="BK1014" s="145">
        <v>0</v>
      </c>
      <c r="BL1014" s="141"/>
      <c r="BM1014" s="145"/>
      <c r="BN1014" s="145"/>
      <c r="BO1014" s="145"/>
      <c r="BP1014" s="145"/>
      <c r="BQ1014" s="145"/>
      <c r="BR1014" s="145"/>
      <c r="BS1014" s="145">
        <v>0</v>
      </c>
      <c r="BT1014" s="148"/>
      <c r="BU1014" s="148"/>
      <c r="BV1014" s="149">
        <v>18144</v>
      </c>
      <c r="BW1014" s="149">
        <v>0</v>
      </c>
      <c r="BX1014" s="149">
        <v>43622</v>
      </c>
      <c r="BY1014" s="149">
        <v>18144</v>
      </c>
      <c r="BZ1014" s="150">
        <v>100</v>
      </c>
      <c r="CA1014" s="141"/>
      <c r="CB1014" s="141"/>
      <c r="CC1014" s="141"/>
      <c r="CD1014" s="144"/>
      <c r="CE1014" s="142"/>
      <c r="CF1014" s="142"/>
      <c r="CG1014" s="142"/>
      <c r="CH1014" s="142"/>
      <c r="CI1014" s="142"/>
      <c r="CJ1014" s="142"/>
      <c r="CK1014" s="145">
        <v>0</v>
      </c>
    </row>
    <row r="1015" spans="1:89" s="151" customFormat="1" x14ac:dyDescent="0.15">
      <c r="A1015" s="141">
        <v>3</v>
      </c>
      <c r="B1015" s="142"/>
      <c r="C1015" s="142" t="s">
        <v>338</v>
      </c>
      <c r="D1015" s="142"/>
      <c r="E1015" s="142"/>
      <c r="F1015" s="142" t="s">
        <v>338</v>
      </c>
      <c r="G1015" s="142"/>
      <c r="H1015" s="142" t="s">
        <v>338</v>
      </c>
      <c r="I1015" s="141"/>
      <c r="J1015" s="141">
        <v>2</v>
      </c>
      <c r="K1015" s="142"/>
      <c r="L1015" s="141">
        <v>0</v>
      </c>
      <c r="M1015" s="142">
        <v>43622</v>
      </c>
      <c r="N1015" s="142" t="s">
        <v>264</v>
      </c>
      <c r="O1015" s="143" t="s">
        <v>340</v>
      </c>
      <c r="P1015" s="141" t="s">
        <v>272</v>
      </c>
      <c r="Q1015" s="143" t="s">
        <v>140</v>
      </c>
      <c r="R1015" s="143" t="s">
        <v>2955</v>
      </c>
      <c r="S1015" s="144" t="s">
        <v>387</v>
      </c>
      <c r="T1015" s="144" t="s">
        <v>2956</v>
      </c>
      <c r="U1015" s="145">
        <v>930000</v>
      </c>
      <c r="V1015" s="145">
        <v>1004400</v>
      </c>
      <c r="W1015" s="145">
        <v>930000</v>
      </c>
      <c r="X1015" s="145">
        <v>1004400</v>
      </c>
      <c r="Y1015" s="145"/>
      <c r="Z1015" s="145">
        <v>0</v>
      </c>
      <c r="AA1015" s="142"/>
      <c r="AB1015" s="142"/>
      <c r="AC1015" s="142"/>
      <c r="AD1015" s="141">
        <v>0</v>
      </c>
      <c r="AE1015" s="141"/>
      <c r="AF1015" s="141"/>
      <c r="AG1015" s="141">
        <v>0</v>
      </c>
      <c r="AH1015" s="141"/>
      <c r="AI1015" s="141"/>
      <c r="AJ1015" s="141">
        <v>0</v>
      </c>
      <c r="AK1015" s="141"/>
      <c r="AL1015" s="141"/>
      <c r="AM1015" s="141"/>
      <c r="AN1015" s="141"/>
      <c r="AO1015" s="142"/>
      <c r="AP1015" s="141"/>
      <c r="AQ1015" s="141"/>
      <c r="AR1015" s="142"/>
      <c r="AS1015" s="141"/>
      <c r="AT1015" s="142"/>
      <c r="AU1015" s="141"/>
      <c r="AV1015" s="142"/>
      <c r="AW1015" s="146"/>
      <c r="AX1015" s="146"/>
      <c r="AY1015" s="147">
        <v>930000</v>
      </c>
      <c r="AZ1015" s="132">
        <f>ROUNDDOWN(AY1015+(AY1015*MASTER!$A$2/100),0)</f>
        <v>1004400</v>
      </c>
      <c r="BA1015" s="141"/>
      <c r="BB1015" s="145"/>
      <c r="BC1015" s="145">
        <v>0</v>
      </c>
      <c r="BD1015" s="141"/>
      <c r="BE1015" s="141"/>
      <c r="BF1015" s="145"/>
      <c r="BG1015" s="145">
        <v>0</v>
      </c>
      <c r="BH1015" s="141"/>
      <c r="BI1015" s="141"/>
      <c r="BJ1015" s="145"/>
      <c r="BK1015" s="145">
        <v>0</v>
      </c>
      <c r="BL1015" s="141"/>
      <c r="BM1015" s="145"/>
      <c r="BN1015" s="145"/>
      <c r="BO1015" s="145"/>
      <c r="BP1015" s="145"/>
      <c r="BQ1015" s="145"/>
      <c r="BR1015" s="145"/>
      <c r="BS1015" s="145">
        <v>0</v>
      </c>
      <c r="BT1015" s="148"/>
      <c r="BU1015" s="148"/>
      <c r="BV1015" s="149">
        <v>1004400</v>
      </c>
      <c r="BW1015" s="149">
        <v>0</v>
      </c>
      <c r="BX1015" s="149">
        <v>43622</v>
      </c>
      <c r="BY1015" s="149">
        <v>1004400</v>
      </c>
      <c r="BZ1015" s="150">
        <v>100</v>
      </c>
      <c r="CA1015" s="141"/>
      <c r="CB1015" s="141"/>
      <c r="CC1015" s="141"/>
      <c r="CD1015" s="144"/>
      <c r="CE1015" s="142"/>
      <c r="CF1015" s="142"/>
      <c r="CG1015" s="142"/>
      <c r="CH1015" s="142"/>
      <c r="CI1015" s="142"/>
      <c r="CJ1015" s="142"/>
      <c r="CK1015" s="145">
        <v>0</v>
      </c>
    </row>
    <row r="1016" spans="1:89" x14ac:dyDescent="0.15">
      <c r="A1016" s="84">
        <v>2</v>
      </c>
      <c r="B1016" s="85">
        <v>43640</v>
      </c>
      <c r="C1016" s="85">
        <v>43651</v>
      </c>
      <c r="D1016" s="85">
        <v>43676</v>
      </c>
      <c r="E1016" s="85">
        <v>43655</v>
      </c>
      <c r="F1016" s="85">
        <v>43658</v>
      </c>
      <c r="G1016" s="85">
        <v>43651</v>
      </c>
      <c r="H1016" s="85">
        <v>43654</v>
      </c>
      <c r="I1016" s="84" t="s">
        <v>401</v>
      </c>
      <c r="J1016" s="84">
        <v>1</v>
      </c>
      <c r="L1016" s="84">
        <v>0</v>
      </c>
      <c r="M1016" s="85">
        <v>43622</v>
      </c>
      <c r="N1016" s="85" t="s">
        <v>265</v>
      </c>
      <c r="O1016" s="86" t="s">
        <v>340</v>
      </c>
      <c r="P1016" s="84" t="s">
        <v>26</v>
      </c>
      <c r="Q1016" s="86" t="s">
        <v>140</v>
      </c>
      <c r="R1016" s="86" t="s">
        <v>2957</v>
      </c>
      <c r="S1016" s="87" t="s">
        <v>575</v>
      </c>
      <c r="T1016" s="87" t="s">
        <v>636</v>
      </c>
      <c r="U1016" s="88">
        <v>59000</v>
      </c>
      <c r="V1016" s="88">
        <v>63720</v>
      </c>
      <c r="W1016" s="88">
        <v>47000</v>
      </c>
      <c r="X1016" s="88">
        <v>50760</v>
      </c>
      <c r="Y1016" s="88">
        <v>12000</v>
      </c>
      <c r="Z1016" s="88">
        <v>12960</v>
      </c>
      <c r="AA1016" s="85">
        <v>43650</v>
      </c>
      <c r="AB1016" s="85">
        <v>43651</v>
      </c>
      <c r="AC1016" s="85">
        <v>43651</v>
      </c>
      <c r="AD1016" s="84">
        <v>0</v>
      </c>
      <c r="AG1016" s="84">
        <v>0</v>
      </c>
      <c r="AJ1016" s="84">
        <v>0</v>
      </c>
      <c r="AM1016" s="84" t="s">
        <v>290</v>
      </c>
      <c r="AN1016" s="84" t="s">
        <v>2958</v>
      </c>
      <c r="AR1016" s="85">
        <v>43636</v>
      </c>
      <c r="AS1016" s="84">
        <v>6001685703</v>
      </c>
      <c r="AT1016" s="85">
        <v>43636</v>
      </c>
      <c r="AU1016" s="84" t="s">
        <v>2916</v>
      </c>
      <c r="AV1016" s="85">
        <v>43651</v>
      </c>
      <c r="AW1016" s="123">
        <v>43677</v>
      </c>
      <c r="AX1016" s="123">
        <v>43697</v>
      </c>
      <c r="AY1016" s="132">
        <v>56640</v>
      </c>
      <c r="AZ1016" s="132">
        <f>ROUNDDOWN(AY1016+(AY1016*MASTER!$A$2/100),0)</f>
        <v>61171</v>
      </c>
      <c r="BA1016" s="84" t="s">
        <v>543</v>
      </c>
      <c r="BB1016" s="88">
        <v>32000</v>
      </c>
      <c r="BC1016" s="88">
        <v>34560</v>
      </c>
      <c r="BD1016" s="84" t="s">
        <v>2637</v>
      </c>
      <c r="BG1016" s="88">
        <v>0</v>
      </c>
      <c r="BI1016" s="84" t="s">
        <v>434</v>
      </c>
      <c r="BJ1016" s="88">
        <v>7800</v>
      </c>
      <c r="BK1016" s="88">
        <v>8424</v>
      </c>
      <c r="BL1016" s="84" t="s">
        <v>2637</v>
      </c>
      <c r="BS1016" s="88">
        <v>0</v>
      </c>
      <c r="BV1016" s="89">
        <v>50760</v>
      </c>
      <c r="BW1016" s="89">
        <v>42984</v>
      </c>
      <c r="BX1016" s="89">
        <v>43622</v>
      </c>
      <c r="BY1016" s="89">
        <v>7776</v>
      </c>
      <c r="BZ1016" s="112">
        <v>15.319148936170212</v>
      </c>
      <c r="CK1016" s="88">
        <v>0</v>
      </c>
    </row>
    <row r="1017" spans="1:89" x14ac:dyDescent="0.15">
      <c r="A1017" s="84">
        <v>2</v>
      </c>
      <c r="B1017" s="85">
        <v>43647</v>
      </c>
      <c r="C1017" s="85">
        <v>43656</v>
      </c>
      <c r="D1017" s="85" t="s">
        <v>374</v>
      </c>
      <c r="E1017" s="85">
        <v>43658</v>
      </c>
      <c r="F1017" s="85">
        <v>43663</v>
      </c>
      <c r="G1017" s="85">
        <v>43658</v>
      </c>
      <c r="H1017" s="85">
        <v>43659</v>
      </c>
      <c r="I1017" s="84" t="s">
        <v>1191</v>
      </c>
      <c r="J1017" s="84">
        <v>1</v>
      </c>
      <c r="L1017" s="84">
        <v>0</v>
      </c>
      <c r="M1017" s="85">
        <v>43622</v>
      </c>
      <c r="N1017" s="85" t="s">
        <v>265</v>
      </c>
      <c r="O1017" s="86" t="s">
        <v>340</v>
      </c>
      <c r="P1017" s="84" t="s">
        <v>26</v>
      </c>
      <c r="Q1017" s="86" t="s">
        <v>140</v>
      </c>
      <c r="R1017" s="86" t="s">
        <v>2959</v>
      </c>
      <c r="S1017" s="87" t="s">
        <v>1935</v>
      </c>
      <c r="T1017" s="87" t="s">
        <v>2960</v>
      </c>
      <c r="U1017" s="88">
        <v>23900</v>
      </c>
      <c r="V1017" s="88">
        <v>25812</v>
      </c>
      <c r="W1017" s="88">
        <v>14700</v>
      </c>
      <c r="X1017" s="88">
        <v>15876</v>
      </c>
      <c r="Y1017" s="88">
        <v>9200</v>
      </c>
      <c r="Z1017" s="88">
        <v>9936</v>
      </c>
      <c r="AA1017" s="85">
        <v>43654</v>
      </c>
      <c r="AB1017" s="85">
        <v>43656</v>
      </c>
      <c r="AC1017" s="85">
        <v>43656</v>
      </c>
      <c r="AD1017" s="84">
        <v>0</v>
      </c>
      <c r="AG1017" s="84">
        <v>0</v>
      </c>
      <c r="AJ1017" s="84">
        <v>0</v>
      </c>
      <c r="AM1017" s="84" t="s">
        <v>290</v>
      </c>
      <c r="AN1017" s="84" t="s">
        <v>2961</v>
      </c>
      <c r="AR1017" s="85">
        <v>43636</v>
      </c>
      <c r="AS1017" s="84">
        <v>6001685703</v>
      </c>
      <c r="AT1017" s="85">
        <v>43636</v>
      </c>
      <c r="AU1017" s="84" t="s">
        <v>2916</v>
      </c>
      <c r="AV1017" s="85">
        <v>43656</v>
      </c>
      <c r="AW1017" s="123">
        <v>43677</v>
      </c>
      <c r="AX1017" s="123">
        <v>43697</v>
      </c>
      <c r="AY1017" s="132">
        <v>22944</v>
      </c>
      <c r="AZ1017" s="132">
        <v>24780</v>
      </c>
      <c r="BA1017" s="84" t="s">
        <v>778</v>
      </c>
      <c r="BC1017" s="88">
        <v>0</v>
      </c>
      <c r="BG1017" s="88">
        <v>0</v>
      </c>
      <c r="BI1017" s="84" t="s">
        <v>276</v>
      </c>
      <c r="BJ1017" s="88">
        <v>5980</v>
      </c>
      <c r="BK1017" s="88">
        <v>6458.4</v>
      </c>
      <c r="BL1017" s="84" t="s">
        <v>2660</v>
      </c>
      <c r="BS1017" s="88">
        <v>0</v>
      </c>
      <c r="BV1017" s="89">
        <v>15876</v>
      </c>
      <c r="BW1017" s="89">
        <v>6458.4</v>
      </c>
      <c r="BX1017" s="89">
        <v>43622</v>
      </c>
      <c r="BY1017" s="89">
        <v>9417.6</v>
      </c>
      <c r="BZ1017" s="112">
        <v>59.319727891156461</v>
      </c>
      <c r="CK1017" s="88">
        <v>0</v>
      </c>
    </row>
    <row r="1018" spans="1:89" x14ac:dyDescent="0.15">
      <c r="A1018" s="84">
        <v>1</v>
      </c>
      <c r="B1018" s="85">
        <v>43663</v>
      </c>
      <c r="C1018" s="85">
        <v>43658</v>
      </c>
      <c r="F1018" s="85" t="s">
        <v>338</v>
      </c>
      <c r="H1018" s="85" t="s">
        <v>338</v>
      </c>
      <c r="J1018" s="84">
        <v>2</v>
      </c>
      <c r="L1018" s="84">
        <v>0</v>
      </c>
      <c r="M1018" s="85">
        <v>43623</v>
      </c>
      <c r="N1018" s="85" t="s">
        <v>265</v>
      </c>
      <c r="O1018" s="86" t="s">
        <v>340</v>
      </c>
      <c r="P1018" s="84" t="s">
        <v>26</v>
      </c>
      <c r="Q1018" s="86" t="s">
        <v>140</v>
      </c>
      <c r="R1018" s="86" t="s">
        <v>2962</v>
      </c>
      <c r="S1018" s="87" t="s">
        <v>351</v>
      </c>
      <c r="T1018" s="87" t="s">
        <v>2963</v>
      </c>
      <c r="U1018" s="88">
        <v>103000</v>
      </c>
      <c r="V1018" s="88">
        <v>111240</v>
      </c>
      <c r="W1018" s="88">
        <v>103000</v>
      </c>
      <c r="X1018" s="88">
        <v>111240</v>
      </c>
      <c r="Z1018" s="88">
        <v>0</v>
      </c>
      <c r="AA1018" s="85">
        <v>43626</v>
      </c>
      <c r="AB1018" s="85">
        <v>43627</v>
      </c>
      <c r="AD1018" s="84">
        <v>0</v>
      </c>
      <c r="AG1018" s="84">
        <v>0</v>
      </c>
      <c r="AJ1018" s="84">
        <v>0</v>
      </c>
      <c r="AR1018" s="85">
        <v>43657</v>
      </c>
      <c r="AS1018" s="84">
        <v>6001692766</v>
      </c>
      <c r="AT1018" s="85">
        <v>43662</v>
      </c>
      <c r="AU1018" s="84" t="s">
        <v>2964</v>
      </c>
      <c r="AV1018" s="85">
        <v>43658</v>
      </c>
      <c r="AW1018" s="123">
        <v>43677</v>
      </c>
      <c r="AX1018" s="123">
        <v>43697</v>
      </c>
      <c r="AY1018" s="132">
        <v>98880</v>
      </c>
      <c r="AZ1018" s="132">
        <f>ROUNDDOWN(AY1018+(AY1018*MASTER!$A$2/100),0)</f>
        <v>106790</v>
      </c>
      <c r="BC1018" s="88">
        <v>0</v>
      </c>
      <c r="BG1018" s="88">
        <v>0</v>
      </c>
      <c r="BK1018" s="88">
        <v>0</v>
      </c>
      <c r="BS1018" s="88">
        <v>0</v>
      </c>
      <c r="BV1018" s="89">
        <v>111240</v>
      </c>
      <c r="BW1018" s="89">
        <v>0</v>
      </c>
      <c r="BX1018" s="89">
        <v>43623</v>
      </c>
      <c r="BY1018" s="89">
        <v>111240</v>
      </c>
      <c r="BZ1018" s="112">
        <v>100</v>
      </c>
    </row>
    <row r="1019" spans="1:89" x14ac:dyDescent="0.15">
      <c r="A1019" s="84">
        <v>2</v>
      </c>
      <c r="B1019" s="85">
        <v>43662</v>
      </c>
      <c r="C1019" s="85">
        <v>43669</v>
      </c>
      <c r="D1019" s="85">
        <v>43705</v>
      </c>
      <c r="E1019" s="85">
        <v>43670</v>
      </c>
      <c r="F1019" s="85">
        <v>43676</v>
      </c>
      <c r="G1019" s="85">
        <v>43669</v>
      </c>
      <c r="H1019" s="85">
        <v>43672</v>
      </c>
      <c r="I1019" s="84" t="s">
        <v>401</v>
      </c>
      <c r="J1019" s="84">
        <v>1</v>
      </c>
      <c r="L1019" s="84">
        <v>0</v>
      </c>
      <c r="M1019" s="85">
        <v>43623</v>
      </c>
      <c r="N1019" s="85" t="s">
        <v>265</v>
      </c>
      <c r="O1019" s="86" t="s">
        <v>340</v>
      </c>
      <c r="P1019" s="84" t="s">
        <v>26</v>
      </c>
      <c r="Q1019" s="86" t="s">
        <v>140</v>
      </c>
      <c r="R1019" s="86" t="s">
        <v>2965</v>
      </c>
      <c r="S1019" s="87" t="s">
        <v>1329</v>
      </c>
      <c r="T1019" s="87" t="s">
        <v>797</v>
      </c>
      <c r="U1019" s="88">
        <v>59200</v>
      </c>
      <c r="V1019" s="88">
        <v>63936</v>
      </c>
      <c r="W1019" s="88">
        <v>47000</v>
      </c>
      <c r="X1019" s="88">
        <v>50760</v>
      </c>
      <c r="Y1019" s="88">
        <v>12200</v>
      </c>
      <c r="Z1019" s="88">
        <v>13176</v>
      </c>
      <c r="AA1019" s="85">
        <v>43667</v>
      </c>
      <c r="AB1019" s="85">
        <v>43669</v>
      </c>
      <c r="AC1019" s="85">
        <v>43669</v>
      </c>
      <c r="AD1019" s="84">
        <v>0</v>
      </c>
      <c r="AG1019" s="84">
        <v>0</v>
      </c>
      <c r="AJ1019" s="84">
        <v>0</v>
      </c>
      <c r="AM1019" s="84" t="s">
        <v>290</v>
      </c>
      <c r="AN1019" s="84" t="s">
        <v>2966</v>
      </c>
      <c r="AR1019" s="85">
        <v>43654</v>
      </c>
      <c r="AS1019" s="84">
        <v>6001691451</v>
      </c>
      <c r="AT1019" s="85">
        <v>43654</v>
      </c>
      <c r="AU1019" s="84" t="s">
        <v>2967</v>
      </c>
      <c r="AV1019" s="85">
        <v>43669</v>
      </c>
      <c r="AW1019" s="123">
        <v>43677</v>
      </c>
      <c r="AX1019" s="123">
        <v>43697</v>
      </c>
      <c r="AY1019" s="132">
        <v>56832</v>
      </c>
      <c r="AZ1019" s="132">
        <v>61379</v>
      </c>
      <c r="BA1019" s="84" t="s">
        <v>286</v>
      </c>
      <c r="BB1019" s="88">
        <v>30000</v>
      </c>
      <c r="BC1019" s="88">
        <v>32400</v>
      </c>
      <c r="BD1019" s="84" t="s">
        <v>2849</v>
      </c>
      <c r="BG1019" s="88">
        <v>0</v>
      </c>
      <c r="BI1019" s="84" t="s">
        <v>434</v>
      </c>
      <c r="BJ1019" s="88">
        <v>7930</v>
      </c>
      <c r="BK1019" s="88">
        <v>8564.4</v>
      </c>
      <c r="BL1019" s="84" t="s">
        <v>2849</v>
      </c>
      <c r="BS1019" s="88">
        <v>0</v>
      </c>
      <c r="BV1019" s="89">
        <v>50760</v>
      </c>
      <c r="BW1019" s="89">
        <v>40964.400000000001</v>
      </c>
      <c r="BX1019" s="89">
        <v>43623</v>
      </c>
      <c r="BY1019" s="89">
        <v>9795.6</v>
      </c>
      <c r="BZ1019" s="112">
        <v>19.297872340425528</v>
      </c>
      <c r="CK1019" s="88">
        <v>0</v>
      </c>
    </row>
    <row r="1020" spans="1:89" s="151" customFormat="1" x14ac:dyDescent="0.15">
      <c r="A1020" s="141">
        <v>3</v>
      </c>
      <c r="B1020" s="142"/>
      <c r="C1020" s="142" t="s">
        <v>338</v>
      </c>
      <c r="D1020" s="142"/>
      <c r="E1020" s="142"/>
      <c r="F1020" s="142" t="s">
        <v>338</v>
      </c>
      <c r="G1020" s="142"/>
      <c r="H1020" s="142" t="s">
        <v>338</v>
      </c>
      <c r="I1020" s="141"/>
      <c r="J1020" s="141">
        <v>4</v>
      </c>
      <c r="K1020" s="142"/>
      <c r="L1020" s="141">
        <v>0</v>
      </c>
      <c r="M1020" s="142">
        <v>43623</v>
      </c>
      <c r="N1020" s="142" t="s">
        <v>264</v>
      </c>
      <c r="O1020" s="143" t="s">
        <v>340</v>
      </c>
      <c r="P1020" s="141" t="s">
        <v>272</v>
      </c>
      <c r="Q1020" s="143" t="s">
        <v>140</v>
      </c>
      <c r="R1020" s="143" t="s">
        <v>2968</v>
      </c>
      <c r="S1020" s="144" t="s">
        <v>387</v>
      </c>
      <c r="T1020" s="144" t="s">
        <v>2969</v>
      </c>
      <c r="U1020" s="145">
        <v>0</v>
      </c>
      <c r="V1020" s="145">
        <v>0</v>
      </c>
      <c r="W1020" s="145"/>
      <c r="X1020" s="145">
        <v>0</v>
      </c>
      <c r="Y1020" s="145"/>
      <c r="Z1020" s="145">
        <v>0</v>
      </c>
      <c r="AA1020" s="142"/>
      <c r="AB1020" s="142"/>
      <c r="AC1020" s="142"/>
      <c r="AD1020" s="141">
        <v>0</v>
      </c>
      <c r="AE1020" s="141"/>
      <c r="AF1020" s="141"/>
      <c r="AG1020" s="141">
        <v>0</v>
      </c>
      <c r="AH1020" s="141"/>
      <c r="AI1020" s="141"/>
      <c r="AJ1020" s="141">
        <v>0</v>
      </c>
      <c r="AK1020" s="141"/>
      <c r="AL1020" s="141"/>
      <c r="AM1020" s="141"/>
      <c r="AN1020" s="141"/>
      <c r="AO1020" s="142"/>
      <c r="AP1020" s="141"/>
      <c r="AQ1020" s="141"/>
      <c r="AR1020" s="142"/>
      <c r="AS1020" s="141"/>
      <c r="AT1020" s="142"/>
      <c r="AU1020" s="141"/>
      <c r="AV1020" s="142"/>
      <c r="AW1020" s="146"/>
      <c r="AX1020" s="146"/>
      <c r="AY1020" s="147">
        <v>0</v>
      </c>
      <c r="AZ1020" s="132">
        <f>ROUNDDOWN(AY1020+(AY1020*MASTER!$A$2/100),0)</f>
        <v>0</v>
      </c>
      <c r="BA1020" s="141"/>
      <c r="BB1020" s="145"/>
      <c r="BC1020" s="145">
        <v>0</v>
      </c>
      <c r="BD1020" s="141"/>
      <c r="BE1020" s="141"/>
      <c r="BF1020" s="145"/>
      <c r="BG1020" s="145">
        <v>0</v>
      </c>
      <c r="BH1020" s="141"/>
      <c r="BI1020" s="141"/>
      <c r="BJ1020" s="145"/>
      <c r="BK1020" s="145">
        <v>0</v>
      </c>
      <c r="BL1020" s="141"/>
      <c r="BM1020" s="145"/>
      <c r="BN1020" s="145"/>
      <c r="BO1020" s="145"/>
      <c r="BP1020" s="145"/>
      <c r="BQ1020" s="145"/>
      <c r="BR1020" s="145"/>
      <c r="BS1020" s="145">
        <v>0</v>
      </c>
      <c r="BT1020" s="148"/>
      <c r="BU1020" s="148"/>
      <c r="BV1020" s="149">
        <v>0</v>
      </c>
      <c r="BW1020" s="149">
        <v>0</v>
      </c>
      <c r="BX1020" s="149">
        <v>43623</v>
      </c>
      <c r="BY1020" s="149">
        <v>0</v>
      </c>
      <c r="BZ1020" s="150" t="s">
        <v>338</v>
      </c>
      <c r="CA1020" s="141" t="s">
        <v>2970</v>
      </c>
      <c r="CB1020" s="141"/>
      <c r="CC1020" s="141"/>
      <c r="CD1020" s="144"/>
      <c r="CE1020" s="142"/>
      <c r="CF1020" s="142"/>
      <c r="CG1020" s="142"/>
      <c r="CH1020" s="142"/>
      <c r="CI1020" s="142"/>
      <c r="CJ1020" s="142"/>
      <c r="CK1020" s="145"/>
    </row>
    <row r="1021" spans="1:89" x14ac:dyDescent="0.15">
      <c r="A1021" s="84">
        <v>1</v>
      </c>
      <c r="B1021" s="85">
        <v>43663</v>
      </c>
      <c r="C1021" s="85">
        <v>43658</v>
      </c>
      <c r="F1021" s="85" t="s">
        <v>338</v>
      </c>
      <c r="H1021" s="85" t="s">
        <v>338</v>
      </c>
      <c r="J1021" s="84">
        <v>2</v>
      </c>
      <c r="L1021" s="84">
        <v>0</v>
      </c>
      <c r="M1021" s="85">
        <v>43623</v>
      </c>
      <c r="N1021" s="85" t="s">
        <v>265</v>
      </c>
      <c r="O1021" s="86" t="s">
        <v>340</v>
      </c>
      <c r="P1021" s="84" t="s">
        <v>26</v>
      </c>
      <c r="Q1021" s="86" t="s">
        <v>140</v>
      </c>
      <c r="R1021" s="86" t="s">
        <v>2971</v>
      </c>
      <c r="S1021" s="87" t="s">
        <v>351</v>
      </c>
      <c r="T1021" s="87" t="s">
        <v>2972</v>
      </c>
      <c r="U1021" s="88">
        <v>25000</v>
      </c>
      <c r="V1021" s="88">
        <v>27000</v>
      </c>
      <c r="W1021" s="88">
        <v>25000</v>
      </c>
      <c r="X1021" s="88">
        <v>27000</v>
      </c>
      <c r="Z1021" s="88">
        <v>0</v>
      </c>
      <c r="AD1021" s="84">
        <v>0</v>
      </c>
      <c r="AG1021" s="84">
        <v>0</v>
      </c>
      <c r="AJ1021" s="84">
        <v>0</v>
      </c>
      <c r="AR1021" s="85">
        <v>43657</v>
      </c>
      <c r="AS1021" s="84">
        <v>6001692766</v>
      </c>
      <c r="AT1021" s="85">
        <v>43662</v>
      </c>
      <c r="AU1021" s="84" t="s">
        <v>2964</v>
      </c>
      <c r="AV1021" s="85">
        <v>43658</v>
      </c>
      <c r="AW1021" s="123">
        <v>43677</v>
      </c>
      <c r="AX1021" s="123">
        <v>43697</v>
      </c>
      <c r="AY1021" s="132">
        <v>24000</v>
      </c>
      <c r="AZ1021" s="132">
        <f>ROUNDDOWN(AY1021+(AY1021*MASTER!$A$2/100),0)</f>
        <v>25920</v>
      </c>
      <c r="BC1021" s="88">
        <v>0</v>
      </c>
      <c r="BG1021" s="88">
        <v>0</v>
      </c>
      <c r="BK1021" s="88">
        <v>0</v>
      </c>
      <c r="BS1021" s="88">
        <v>0</v>
      </c>
      <c r="BV1021" s="89">
        <v>27000</v>
      </c>
      <c r="BW1021" s="89">
        <v>0</v>
      </c>
      <c r="BX1021" s="89">
        <v>43623</v>
      </c>
      <c r="BY1021" s="89">
        <v>27000</v>
      </c>
      <c r="BZ1021" s="112">
        <v>100</v>
      </c>
    </row>
    <row r="1022" spans="1:89" x14ac:dyDescent="0.15">
      <c r="A1022" s="84">
        <v>1</v>
      </c>
      <c r="B1022" s="85">
        <v>43630</v>
      </c>
      <c r="C1022" s="85">
        <v>43630</v>
      </c>
      <c r="F1022" s="85" t="s">
        <v>338</v>
      </c>
      <c r="H1022" s="85" t="s">
        <v>338</v>
      </c>
      <c r="J1022" s="84">
        <v>2</v>
      </c>
      <c r="L1022" s="84">
        <v>0</v>
      </c>
      <c r="M1022" s="85">
        <v>43623</v>
      </c>
      <c r="N1022" s="85" t="s">
        <v>265</v>
      </c>
      <c r="O1022" s="86" t="s">
        <v>340</v>
      </c>
      <c r="P1022" s="84" t="s">
        <v>26</v>
      </c>
      <c r="Q1022" s="86" t="s">
        <v>140</v>
      </c>
      <c r="R1022" s="86" t="s">
        <v>2973</v>
      </c>
      <c r="S1022" s="87" t="s">
        <v>351</v>
      </c>
      <c r="T1022" s="87" t="s">
        <v>2974</v>
      </c>
      <c r="U1022" s="88">
        <v>125000</v>
      </c>
      <c r="V1022" s="88">
        <v>135000</v>
      </c>
      <c r="W1022" s="88">
        <v>125000</v>
      </c>
      <c r="X1022" s="88">
        <v>135000</v>
      </c>
      <c r="Z1022" s="88">
        <v>0</v>
      </c>
      <c r="AA1022" s="85">
        <v>43628</v>
      </c>
      <c r="AD1022" s="84">
        <v>0</v>
      </c>
      <c r="AG1022" s="84">
        <v>0</v>
      </c>
      <c r="AJ1022" s="84">
        <v>0</v>
      </c>
      <c r="AR1022" s="85">
        <v>43630</v>
      </c>
      <c r="AS1022" s="84">
        <v>6001683769</v>
      </c>
      <c r="AT1022" s="85">
        <v>43630</v>
      </c>
      <c r="AU1022" s="84" t="s">
        <v>2975</v>
      </c>
      <c r="AV1022" s="85">
        <v>43630</v>
      </c>
      <c r="AW1022" s="123">
        <v>43646</v>
      </c>
      <c r="AX1022" s="123">
        <v>43666</v>
      </c>
      <c r="AY1022" s="132">
        <v>120000</v>
      </c>
      <c r="AZ1022" s="132">
        <f>ROUNDDOWN(AY1022+(AY1022*MASTER!$A$2/100),0)</f>
        <v>129600</v>
      </c>
      <c r="BC1022" s="88">
        <v>0</v>
      </c>
      <c r="BG1022" s="88">
        <v>0</v>
      </c>
      <c r="BK1022" s="88">
        <v>0</v>
      </c>
      <c r="BS1022" s="88">
        <v>0</v>
      </c>
      <c r="BV1022" s="89">
        <v>135000</v>
      </c>
      <c r="BW1022" s="89">
        <v>0</v>
      </c>
      <c r="BX1022" s="89">
        <v>43623</v>
      </c>
      <c r="BY1022" s="89">
        <v>135000</v>
      </c>
      <c r="BZ1022" s="112">
        <v>100</v>
      </c>
    </row>
    <row r="1023" spans="1:89" x14ac:dyDescent="0.15">
      <c r="A1023" s="84">
        <v>2</v>
      </c>
      <c r="B1023" s="85">
        <v>43630</v>
      </c>
      <c r="C1023" s="85">
        <v>43636</v>
      </c>
      <c r="D1023" s="85">
        <v>43627</v>
      </c>
      <c r="E1023" s="85">
        <v>43627</v>
      </c>
      <c r="F1023" s="85" t="s">
        <v>338</v>
      </c>
      <c r="G1023" s="85">
        <v>43627</v>
      </c>
      <c r="H1023" s="85" t="s">
        <v>338</v>
      </c>
      <c r="I1023" s="84" t="s">
        <v>380</v>
      </c>
      <c r="J1023" s="84">
        <v>2</v>
      </c>
      <c r="L1023" s="84">
        <v>0</v>
      </c>
      <c r="M1023" s="85">
        <v>43626</v>
      </c>
      <c r="N1023" s="85" t="s">
        <v>265</v>
      </c>
      <c r="O1023" s="86" t="s">
        <v>340</v>
      </c>
      <c r="P1023" s="84" t="s">
        <v>26</v>
      </c>
      <c r="Q1023" s="86" t="s">
        <v>140</v>
      </c>
      <c r="R1023" s="86" t="s">
        <v>2976</v>
      </c>
      <c r="S1023" s="87" t="s">
        <v>2977</v>
      </c>
      <c r="T1023" s="87" t="s">
        <v>342</v>
      </c>
      <c r="U1023" s="88">
        <v>35000</v>
      </c>
      <c r="V1023" s="88">
        <v>37800</v>
      </c>
      <c r="W1023" s="88">
        <v>35000</v>
      </c>
      <c r="X1023" s="88">
        <v>37800</v>
      </c>
      <c r="Z1023" s="88">
        <v>0</v>
      </c>
      <c r="AA1023" s="85">
        <v>43626</v>
      </c>
      <c r="AB1023" s="85">
        <v>43626</v>
      </c>
      <c r="AD1023" s="84">
        <v>0</v>
      </c>
      <c r="AG1023" s="84">
        <v>0</v>
      </c>
      <c r="AJ1023" s="84">
        <v>0</v>
      </c>
      <c r="AR1023" s="85">
        <v>43628</v>
      </c>
      <c r="AS1023" s="84">
        <v>6001682970</v>
      </c>
      <c r="AT1023" s="85">
        <v>43629</v>
      </c>
      <c r="AU1023" s="84" t="s">
        <v>2845</v>
      </c>
      <c r="AV1023" s="85">
        <v>43636</v>
      </c>
      <c r="AW1023" s="123">
        <v>43646</v>
      </c>
      <c r="AX1023" s="123">
        <v>43666</v>
      </c>
      <c r="AY1023" s="132">
        <v>33600</v>
      </c>
      <c r="AZ1023" s="132">
        <f>ROUNDDOWN(AY1023+(AY1023*MASTER!$A$2/100),0)</f>
        <v>36288</v>
      </c>
      <c r="BA1023" s="84" t="s">
        <v>286</v>
      </c>
      <c r="BB1023" s="88">
        <v>34000</v>
      </c>
      <c r="BC1023" s="88">
        <v>36720</v>
      </c>
      <c r="BD1023" s="84" t="s">
        <v>2466</v>
      </c>
      <c r="BG1023" s="88">
        <v>0</v>
      </c>
      <c r="BK1023" s="88">
        <v>0</v>
      </c>
      <c r="BS1023" s="88">
        <v>0</v>
      </c>
      <c r="BV1023" s="89">
        <v>37800</v>
      </c>
      <c r="BW1023" s="89">
        <v>36720</v>
      </c>
      <c r="BX1023" s="89">
        <v>43626</v>
      </c>
      <c r="BY1023" s="89">
        <v>1080</v>
      </c>
      <c r="BZ1023" s="112">
        <v>2.8571428571428572</v>
      </c>
    </row>
    <row r="1024" spans="1:89" x14ac:dyDescent="0.15">
      <c r="A1024" s="84">
        <v>1</v>
      </c>
      <c r="B1024" s="85">
        <v>43675</v>
      </c>
      <c r="C1024" s="85">
        <v>43683</v>
      </c>
      <c r="D1024" s="85" t="s">
        <v>374</v>
      </c>
      <c r="E1024" s="85">
        <v>43686</v>
      </c>
      <c r="F1024" s="85">
        <v>43690</v>
      </c>
      <c r="G1024" s="85">
        <v>43685</v>
      </c>
      <c r="H1024" s="85">
        <v>43686</v>
      </c>
      <c r="I1024" s="84" t="s">
        <v>401</v>
      </c>
      <c r="J1024" s="84">
        <v>1</v>
      </c>
      <c r="L1024" s="84">
        <v>0</v>
      </c>
      <c r="M1024" s="85">
        <v>43627</v>
      </c>
      <c r="N1024" s="85" t="s">
        <v>265</v>
      </c>
      <c r="O1024" s="86" t="s">
        <v>340</v>
      </c>
      <c r="P1024" s="84" t="s">
        <v>26</v>
      </c>
      <c r="Q1024" s="86" t="s">
        <v>140</v>
      </c>
      <c r="R1024" s="86" t="s">
        <v>2978</v>
      </c>
      <c r="S1024" s="87" t="s">
        <v>403</v>
      </c>
      <c r="T1024" s="87" t="s">
        <v>2979</v>
      </c>
      <c r="U1024" s="88">
        <v>23900</v>
      </c>
      <c r="V1024" s="88">
        <v>25812</v>
      </c>
      <c r="W1024" s="88">
        <v>14700</v>
      </c>
      <c r="X1024" s="88">
        <v>15876</v>
      </c>
      <c r="Y1024" s="88">
        <v>9200</v>
      </c>
      <c r="Z1024" s="88">
        <v>9936</v>
      </c>
      <c r="AA1024" s="85">
        <v>43682</v>
      </c>
      <c r="AB1024" s="85">
        <v>43683</v>
      </c>
      <c r="AC1024" s="85">
        <v>43683</v>
      </c>
      <c r="AD1024" s="84">
        <v>0</v>
      </c>
      <c r="AG1024" s="84">
        <v>0</v>
      </c>
      <c r="AJ1024" s="84">
        <v>0</v>
      </c>
      <c r="AM1024" s="84" t="s">
        <v>290</v>
      </c>
      <c r="AN1024" s="84" t="s">
        <v>2980</v>
      </c>
      <c r="AR1024" s="85">
        <v>43640</v>
      </c>
      <c r="AS1024" s="84">
        <v>6001687099</v>
      </c>
      <c r="AT1024" s="85">
        <v>43641</v>
      </c>
      <c r="AU1024" s="84" t="s">
        <v>2842</v>
      </c>
      <c r="AV1024" s="85">
        <v>43683</v>
      </c>
      <c r="AW1024" s="123">
        <v>43708</v>
      </c>
      <c r="AX1024" s="123">
        <v>43728</v>
      </c>
      <c r="AY1024" s="132">
        <v>22944</v>
      </c>
      <c r="AZ1024" s="132">
        <v>24780</v>
      </c>
      <c r="BA1024" s="84" t="s">
        <v>778</v>
      </c>
      <c r="BC1024" s="88">
        <v>0</v>
      </c>
      <c r="BG1024" s="88">
        <v>0</v>
      </c>
      <c r="BI1024" s="84" t="s">
        <v>276</v>
      </c>
      <c r="BJ1024" s="88">
        <v>5980</v>
      </c>
      <c r="BK1024" s="88">
        <v>6458.4</v>
      </c>
      <c r="BL1024" s="84" t="s">
        <v>3158</v>
      </c>
      <c r="BS1024" s="88">
        <v>0</v>
      </c>
      <c r="BV1024" s="89">
        <v>15876</v>
      </c>
      <c r="BW1024" s="89">
        <v>6458.4</v>
      </c>
      <c r="BX1024" s="89">
        <v>43627</v>
      </c>
      <c r="BY1024" s="89">
        <v>9417.6</v>
      </c>
      <c r="BZ1024" s="112">
        <v>59.319727891156461</v>
      </c>
      <c r="CK1024" s="88">
        <v>0</v>
      </c>
    </row>
    <row r="1025" spans="1:89" x14ac:dyDescent="0.15">
      <c r="A1025" s="84">
        <v>2</v>
      </c>
      <c r="B1025" s="85">
        <v>43640</v>
      </c>
      <c r="C1025" s="85">
        <v>43648</v>
      </c>
      <c r="D1025" s="85" t="s">
        <v>374</v>
      </c>
      <c r="E1025" s="85">
        <v>43654</v>
      </c>
      <c r="F1025" s="85">
        <v>43655</v>
      </c>
      <c r="G1025" s="85">
        <v>43654</v>
      </c>
      <c r="H1025" s="85">
        <v>43651</v>
      </c>
      <c r="I1025" s="84" t="s">
        <v>401</v>
      </c>
      <c r="J1025" s="84">
        <v>1</v>
      </c>
      <c r="L1025" s="84">
        <v>0</v>
      </c>
      <c r="M1025" s="85">
        <v>43627</v>
      </c>
      <c r="N1025" s="85" t="s">
        <v>265</v>
      </c>
      <c r="O1025" s="86" t="s">
        <v>340</v>
      </c>
      <c r="P1025" s="84" t="s">
        <v>26</v>
      </c>
      <c r="Q1025" s="86" t="s">
        <v>140</v>
      </c>
      <c r="R1025" s="86" t="s">
        <v>2981</v>
      </c>
      <c r="S1025" s="87" t="s">
        <v>1103</v>
      </c>
      <c r="T1025" s="87" t="s">
        <v>1773</v>
      </c>
      <c r="U1025" s="88">
        <v>23900</v>
      </c>
      <c r="V1025" s="88">
        <v>25812</v>
      </c>
      <c r="W1025" s="88">
        <v>14700</v>
      </c>
      <c r="X1025" s="88">
        <v>15876</v>
      </c>
      <c r="Y1025" s="88">
        <v>9200</v>
      </c>
      <c r="Z1025" s="88">
        <v>9936</v>
      </c>
      <c r="AA1025" s="85">
        <v>43647</v>
      </c>
      <c r="AB1025" s="85">
        <v>43648</v>
      </c>
      <c r="AC1025" s="85">
        <v>43648</v>
      </c>
      <c r="AD1025" s="84">
        <v>0</v>
      </c>
      <c r="AG1025" s="84">
        <v>0</v>
      </c>
      <c r="AJ1025" s="84">
        <v>0</v>
      </c>
      <c r="AM1025" s="84" t="s">
        <v>290</v>
      </c>
      <c r="AN1025" s="84" t="s">
        <v>2982</v>
      </c>
      <c r="AR1025" s="85">
        <v>43635</v>
      </c>
      <c r="AS1025" s="84">
        <v>6001685421</v>
      </c>
      <c r="AT1025" s="85">
        <v>43636</v>
      </c>
      <c r="AU1025" s="84" t="s">
        <v>2602</v>
      </c>
      <c r="AV1025" s="85">
        <v>43648</v>
      </c>
      <c r="AW1025" s="123">
        <v>43677</v>
      </c>
      <c r="AX1025" s="123">
        <v>43697</v>
      </c>
      <c r="AY1025" s="132">
        <v>22944</v>
      </c>
      <c r="AZ1025" s="132">
        <v>24780</v>
      </c>
      <c r="BA1025" s="84" t="s">
        <v>778</v>
      </c>
      <c r="BC1025" s="88">
        <v>0</v>
      </c>
      <c r="BG1025" s="88">
        <v>0</v>
      </c>
      <c r="BI1025" s="84" t="s">
        <v>276</v>
      </c>
      <c r="BJ1025" s="88">
        <v>5980</v>
      </c>
      <c r="BK1025" s="88">
        <v>6458.4</v>
      </c>
      <c r="BL1025" s="84" t="s">
        <v>2660</v>
      </c>
      <c r="BS1025" s="88">
        <v>0</v>
      </c>
      <c r="BV1025" s="89">
        <v>15876</v>
      </c>
      <c r="BW1025" s="89">
        <v>6458.4</v>
      </c>
      <c r="BX1025" s="89">
        <v>43627</v>
      </c>
      <c r="BY1025" s="89">
        <v>9417.6</v>
      </c>
      <c r="BZ1025" s="112">
        <v>59.319727891156461</v>
      </c>
      <c r="CK1025" s="88">
        <v>0</v>
      </c>
    </row>
    <row r="1026" spans="1:89" x14ac:dyDescent="0.15">
      <c r="A1026" s="84">
        <v>2</v>
      </c>
      <c r="B1026" s="85">
        <v>43650</v>
      </c>
      <c r="C1026" s="85">
        <v>43658</v>
      </c>
      <c r="D1026" s="85">
        <v>43676</v>
      </c>
      <c r="E1026" s="85">
        <v>43662</v>
      </c>
      <c r="F1026" s="85">
        <v>43665</v>
      </c>
      <c r="G1026" s="85">
        <v>43658</v>
      </c>
      <c r="H1026" s="85">
        <v>43661</v>
      </c>
      <c r="I1026" s="84" t="s">
        <v>401</v>
      </c>
      <c r="J1026" s="84">
        <v>1</v>
      </c>
      <c r="L1026" s="84">
        <v>0</v>
      </c>
      <c r="M1026" s="85">
        <v>43627</v>
      </c>
      <c r="N1026" s="85" t="s">
        <v>265</v>
      </c>
      <c r="O1026" s="86" t="s">
        <v>340</v>
      </c>
      <c r="P1026" s="84" t="s">
        <v>26</v>
      </c>
      <c r="Q1026" s="86" t="s">
        <v>140</v>
      </c>
      <c r="R1026" s="86" t="s">
        <v>2983</v>
      </c>
      <c r="S1026" s="87" t="s">
        <v>2984</v>
      </c>
      <c r="T1026" s="87" t="s">
        <v>2985</v>
      </c>
      <c r="U1026" s="88">
        <v>59000</v>
      </c>
      <c r="V1026" s="88">
        <v>63720</v>
      </c>
      <c r="W1026" s="88">
        <v>47000</v>
      </c>
      <c r="X1026" s="88">
        <v>50760</v>
      </c>
      <c r="Y1026" s="88">
        <v>12000</v>
      </c>
      <c r="Z1026" s="88">
        <v>12960</v>
      </c>
      <c r="AA1026" s="85">
        <v>43657</v>
      </c>
      <c r="AB1026" s="85">
        <v>43658</v>
      </c>
      <c r="AC1026" s="85">
        <v>43658</v>
      </c>
      <c r="AD1026" s="84">
        <v>0</v>
      </c>
      <c r="AG1026" s="84">
        <v>0</v>
      </c>
      <c r="AJ1026" s="84">
        <v>0</v>
      </c>
      <c r="AM1026" s="84" t="s">
        <v>290</v>
      </c>
      <c r="AN1026" s="84" t="s">
        <v>2986</v>
      </c>
      <c r="AR1026" s="85">
        <v>43649</v>
      </c>
      <c r="AS1026" s="84">
        <v>6001690025</v>
      </c>
      <c r="AT1026" s="85">
        <v>43649</v>
      </c>
      <c r="AU1026" s="84" t="s">
        <v>2987</v>
      </c>
      <c r="AV1026" s="85">
        <v>43658</v>
      </c>
      <c r="AW1026" s="123">
        <v>43677</v>
      </c>
      <c r="AX1026" s="123">
        <v>43697</v>
      </c>
      <c r="AY1026" s="132">
        <v>56640</v>
      </c>
      <c r="AZ1026" s="132">
        <f>ROUNDDOWN(AY1026+(AY1026*MASTER!$A$2/100),0)</f>
        <v>61171</v>
      </c>
      <c r="BA1026" s="84" t="s">
        <v>543</v>
      </c>
      <c r="BB1026" s="88">
        <v>26000</v>
      </c>
      <c r="BC1026" s="88">
        <v>28080</v>
      </c>
      <c r="BD1026" s="84" t="s">
        <v>2637</v>
      </c>
      <c r="BG1026" s="88">
        <v>0</v>
      </c>
      <c r="BI1026" s="84" t="s">
        <v>434</v>
      </c>
      <c r="BJ1026" s="88">
        <v>7800</v>
      </c>
      <c r="BK1026" s="88">
        <v>8424</v>
      </c>
      <c r="BL1026" s="84" t="s">
        <v>2637</v>
      </c>
      <c r="BS1026" s="88">
        <v>0</v>
      </c>
      <c r="BV1026" s="89">
        <v>50760</v>
      </c>
      <c r="BW1026" s="89">
        <v>36504</v>
      </c>
      <c r="BX1026" s="89">
        <v>43627</v>
      </c>
      <c r="BY1026" s="89">
        <v>14256</v>
      </c>
      <c r="BZ1026" s="112">
        <v>28.085106382978726</v>
      </c>
      <c r="CK1026" s="88">
        <v>0</v>
      </c>
    </row>
    <row r="1027" spans="1:89" x14ac:dyDescent="0.15">
      <c r="A1027" s="84">
        <v>2</v>
      </c>
      <c r="B1027" s="85">
        <v>43647</v>
      </c>
      <c r="C1027" s="85">
        <v>43658</v>
      </c>
      <c r="D1027" s="85" t="s">
        <v>374</v>
      </c>
      <c r="E1027" s="85">
        <v>43662</v>
      </c>
      <c r="F1027" s="85">
        <v>43662</v>
      </c>
      <c r="G1027" s="85">
        <v>43663</v>
      </c>
      <c r="H1027" s="85">
        <v>43658</v>
      </c>
      <c r="I1027" s="84" t="s">
        <v>401</v>
      </c>
      <c r="J1027" s="84">
        <v>1</v>
      </c>
      <c r="L1027" s="84">
        <v>0</v>
      </c>
      <c r="M1027" s="85">
        <v>43627</v>
      </c>
      <c r="N1027" s="85" t="s">
        <v>265</v>
      </c>
      <c r="O1027" s="86" t="s">
        <v>340</v>
      </c>
      <c r="P1027" s="84" t="s">
        <v>26</v>
      </c>
      <c r="Q1027" s="86" t="s">
        <v>140</v>
      </c>
      <c r="R1027" s="86" t="s">
        <v>2988</v>
      </c>
      <c r="S1027" s="87" t="s">
        <v>382</v>
      </c>
      <c r="T1027" s="87" t="s">
        <v>2989</v>
      </c>
      <c r="U1027" s="88">
        <v>23900</v>
      </c>
      <c r="V1027" s="88">
        <v>25812</v>
      </c>
      <c r="W1027" s="88">
        <v>14700</v>
      </c>
      <c r="X1027" s="88">
        <v>15876</v>
      </c>
      <c r="Y1027" s="88">
        <v>9200</v>
      </c>
      <c r="Z1027" s="88">
        <v>9936</v>
      </c>
      <c r="AA1027" s="85">
        <v>43653</v>
      </c>
      <c r="AB1027" s="85">
        <v>43655</v>
      </c>
      <c r="AC1027" s="85">
        <v>43655</v>
      </c>
      <c r="AD1027" s="84">
        <v>0</v>
      </c>
      <c r="AG1027" s="84">
        <v>0</v>
      </c>
      <c r="AJ1027" s="84">
        <v>0</v>
      </c>
      <c r="AM1027" s="84" t="s">
        <v>290</v>
      </c>
      <c r="AN1027" s="84" t="s">
        <v>2990</v>
      </c>
      <c r="AR1027" s="85">
        <v>43633</v>
      </c>
      <c r="AS1027" s="84">
        <v>6001684158</v>
      </c>
      <c r="AT1027" s="85">
        <v>43634</v>
      </c>
      <c r="AU1027" s="84" t="s">
        <v>2926</v>
      </c>
      <c r="AV1027" s="85">
        <v>43658</v>
      </c>
      <c r="AW1027" s="123">
        <v>43677</v>
      </c>
      <c r="AX1027" s="123">
        <v>43697</v>
      </c>
      <c r="AY1027" s="132">
        <v>22944</v>
      </c>
      <c r="AZ1027" s="132">
        <v>24780</v>
      </c>
      <c r="BA1027" s="84" t="s">
        <v>778</v>
      </c>
      <c r="BC1027" s="88">
        <v>0</v>
      </c>
      <c r="BG1027" s="88">
        <v>0</v>
      </c>
      <c r="BI1027" s="84" t="s">
        <v>276</v>
      </c>
      <c r="BJ1027" s="88">
        <v>5980</v>
      </c>
      <c r="BK1027" s="88">
        <v>6458.4</v>
      </c>
      <c r="BL1027" s="84" t="s">
        <v>2660</v>
      </c>
      <c r="BS1027" s="88">
        <v>0</v>
      </c>
      <c r="BV1027" s="89">
        <v>15876</v>
      </c>
      <c r="BW1027" s="89">
        <v>6458.4</v>
      </c>
      <c r="BX1027" s="89">
        <v>43627</v>
      </c>
      <c r="BY1027" s="89">
        <v>9417.6</v>
      </c>
      <c r="BZ1027" s="112">
        <v>59.319727891156461</v>
      </c>
      <c r="CK1027" s="88">
        <v>0</v>
      </c>
    </row>
    <row r="1028" spans="1:89" x14ac:dyDescent="0.15">
      <c r="A1028" s="84">
        <v>2</v>
      </c>
      <c r="B1028" s="85">
        <v>43637</v>
      </c>
      <c r="C1028" s="85">
        <v>43636</v>
      </c>
      <c r="D1028" s="85">
        <v>43633</v>
      </c>
      <c r="E1028" s="85">
        <v>43633</v>
      </c>
      <c r="F1028" s="85" t="s">
        <v>338</v>
      </c>
      <c r="G1028" s="85">
        <v>43633</v>
      </c>
      <c r="H1028" s="85" t="s">
        <v>338</v>
      </c>
      <c r="I1028" s="84" t="s">
        <v>380</v>
      </c>
      <c r="J1028" s="84">
        <v>2</v>
      </c>
      <c r="L1028" s="84">
        <v>0</v>
      </c>
      <c r="M1028" s="85">
        <v>43627</v>
      </c>
      <c r="N1028" s="85" t="s">
        <v>265</v>
      </c>
      <c r="O1028" s="86" t="s">
        <v>340</v>
      </c>
      <c r="P1028" s="84" t="s">
        <v>6</v>
      </c>
      <c r="Q1028" s="86" t="s">
        <v>140</v>
      </c>
      <c r="R1028" s="86" t="s">
        <v>2991</v>
      </c>
      <c r="S1028" s="87" t="s">
        <v>1622</v>
      </c>
      <c r="T1028" s="87" t="s">
        <v>342</v>
      </c>
      <c r="U1028" s="88">
        <v>35000</v>
      </c>
      <c r="V1028" s="88">
        <v>37800</v>
      </c>
      <c r="W1028" s="88">
        <v>35000</v>
      </c>
      <c r="X1028" s="88">
        <v>37800</v>
      </c>
      <c r="Z1028" s="88">
        <v>0</v>
      </c>
      <c r="AA1028" s="85">
        <v>43630</v>
      </c>
      <c r="AB1028" s="85">
        <v>43630</v>
      </c>
      <c r="AD1028" s="84">
        <v>0</v>
      </c>
      <c r="AG1028" s="84">
        <v>0</v>
      </c>
      <c r="AJ1028" s="84">
        <v>0</v>
      </c>
      <c r="AN1028" s="84" t="s">
        <v>338</v>
      </c>
      <c r="AR1028" s="85">
        <v>43635</v>
      </c>
      <c r="AS1028" s="84">
        <v>6001685421</v>
      </c>
      <c r="AT1028" s="85">
        <v>43636</v>
      </c>
      <c r="AU1028" s="84" t="s">
        <v>2602</v>
      </c>
      <c r="AV1028" s="85">
        <v>43636</v>
      </c>
      <c r="AW1028" s="123">
        <v>43646</v>
      </c>
      <c r="AX1028" s="123">
        <v>43666</v>
      </c>
      <c r="AY1028" s="132">
        <v>33600</v>
      </c>
      <c r="AZ1028" s="132">
        <f>ROUNDDOWN(AY1028+(AY1028*MASTER!$A$2/100),0)</f>
        <v>36288</v>
      </c>
      <c r="BA1028" s="84" t="s">
        <v>287</v>
      </c>
      <c r="BB1028" s="88">
        <v>42000</v>
      </c>
      <c r="BC1028" s="88">
        <v>45360</v>
      </c>
      <c r="BD1028" s="84" t="s">
        <v>2466</v>
      </c>
      <c r="BG1028" s="88">
        <v>0</v>
      </c>
      <c r="BK1028" s="88">
        <v>0</v>
      </c>
      <c r="BS1028" s="88">
        <v>0</v>
      </c>
      <c r="BV1028" s="89">
        <v>37800</v>
      </c>
      <c r="BW1028" s="89">
        <v>45360</v>
      </c>
      <c r="BX1028" s="89">
        <v>43627</v>
      </c>
      <c r="BY1028" s="89">
        <v>-7560</v>
      </c>
      <c r="BZ1028" s="112">
        <v>-20</v>
      </c>
      <c r="CK1028" s="88">
        <v>0</v>
      </c>
    </row>
    <row r="1029" spans="1:89" x14ac:dyDescent="0.15">
      <c r="A1029" s="84">
        <v>2</v>
      </c>
      <c r="B1029" s="85">
        <v>43635</v>
      </c>
      <c r="C1029" s="85">
        <v>43635</v>
      </c>
      <c r="D1029" s="85">
        <v>43654</v>
      </c>
      <c r="E1029" s="85">
        <v>43640</v>
      </c>
      <c r="F1029" s="85" t="s">
        <v>338</v>
      </c>
      <c r="G1029" s="85">
        <v>43635</v>
      </c>
      <c r="H1029" s="85" t="s">
        <v>338</v>
      </c>
      <c r="I1029" s="84" t="s">
        <v>401</v>
      </c>
      <c r="J1029" s="84">
        <v>2</v>
      </c>
      <c r="L1029" s="84">
        <v>0</v>
      </c>
      <c r="M1029" s="85">
        <v>43627</v>
      </c>
      <c r="N1029" s="85" t="s">
        <v>265</v>
      </c>
      <c r="O1029" s="86" t="s">
        <v>340</v>
      </c>
      <c r="P1029" s="84" t="s">
        <v>26</v>
      </c>
      <c r="Q1029" s="86" t="s">
        <v>140</v>
      </c>
      <c r="R1029" s="86" t="s">
        <v>2992</v>
      </c>
      <c r="S1029" s="87" t="s">
        <v>2993</v>
      </c>
      <c r="T1029" s="87" t="s">
        <v>2994</v>
      </c>
      <c r="U1029" s="88">
        <v>100500</v>
      </c>
      <c r="V1029" s="88">
        <v>108540</v>
      </c>
      <c r="W1029" s="88">
        <v>100500</v>
      </c>
      <c r="X1029" s="88">
        <v>108540</v>
      </c>
      <c r="Z1029" s="88">
        <v>0</v>
      </c>
      <c r="AA1029" s="85">
        <v>43634</v>
      </c>
      <c r="AB1029" s="85">
        <v>43635</v>
      </c>
      <c r="AD1029" s="84">
        <v>0</v>
      </c>
      <c r="AG1029" s="84">
        <v>0</v>
      </c>
      <c r="AJ1029" s="84">
        <v>0</v>
      </c>
      <c r="AR1029" s="85">
        <v>43633</v>
      </c>
      <c r="AS1029" s="84">
        <v>6001684158</v>
      </c>
      <c r="AT1029" s="85">
        <v>43634</v>
      </c>
      <c r="AU1029" s="84" t="s">
        <v>2926</v>
      </c>
      <c r="AV1029" s="85">
        <v>43635</v>
      </c>
      <c r="AW1029" s="123">
        <v>43646</v>
      </c>
      <c r="AX1029" s="123">
        <v>43666</v>
      </c>
      <c r="AY1029" s="132">
        <v>96480</v>
      </c>
      <c r="AZ1029" s="132">
        <f>ROUNDDOWN(AY1029+(AY1029*MASTER!$A$2/100),0)</f>
        <v>104198</v>
      </c>
      <c r="BA1029" s="84" t="s">
        <v>477</v>
      </c>
      <c r="BB1029" s="88">
        <v>44000</v>
      </c>
      <c r="BC1029" s="88">
        <v>47520</v>
      </c>
      <c r="BD1029" s="84" t="s">
        <v>2466</v>
      </c>
      <c r="BG1029" s="88">
        <v>0</v>
      </c>
      <c r="BK1029" s="88">
        <v>0</v>
      </c>
      <c r="BS1029" s="88">
        <v>0</v>
      </c>
      <c r="BV1029" s="89">
        <v>108540</v>
      </c>
      <c r="BW1029" s="89">
        <v>47520</v>
      </c>
      <c r="BX1029" s="89">
        <v>43627</v>
      </c>
      <c r="BY1029" s="89">
        <v>61020</v>
      </c>
      <c r="BZ1029" s="112">
        <v>56.218905472636813</v>
      </c>
    </row>
    <row r="1030" spans="1:89" x14ac:dyDescent="0.15">
      <c r="A1030" s="84">
        <v>2</v>
      </c>
      <c r="B1030" s="85">
        <v>43662</v>
      </c>
      <c r="C1030" s="85">
        <v>43672</v>
      </c>
      <c r="D1030" s="85" t="s">
        <v>374</v>
      </c>
      <c r="E1030" s="85">
        <v>43675</v>
      </c>
      <c r="F1030" s="85">
        <v>43679</v>
      </c>
      <c r="G1030" s="85">
        <v>43675</v>
      </c>
      <c r="H1030" s="85">
        <v>43675</v>
      </c>
      <c r="I1030" s="84" t="s">
        <v>401</v>
      </c>
      <c r="J1030" s="84">
        <v>1</v>
      </c>
      <c r="L1030" s="84">
        <v>0</v>
      </c>
      <c r="M1030" s="85">
        <v>43628</v>
      </c>
      <c r="N1030" s="85" t="s">
        <v>265</v>
      </c>
      <c r="O1030" s="86" t="s">
        <v>340</v>
      </c>
      <c r="P1030" s="84" t="s">
        <v>26</v>
      </c>
      <c r="Q1030" s="86" t="s">
        <v>140</v>
      </c>
      <c r="R1030" s="86" t="s">
        <v>2995</v>
      </c>
      <c r="S1030" s="87" t="s">
        <v>1220</v>
      </c>
      <c r="T1030" s="87" t="s">
        <v>2440</v>
      </c>
      <c r="U1030" s="88">
        <v>23900</v>
      </c>
      <c r="V1030" s="88">
        <v>25812</v>
      </c>
      <c r="W1030" s="88">
        <v>14700</v>
      </c>
      <c r="X1030" s="88">
        <v>15876</v>
      </c>
      <c r="Y1030" s="88">
        <v>9200</v>
      </c>
      <c r="Z1030" s="88">
        <v>9936</v>
      </c>
      <c r="AA1030" s="85">
        <v>43670</v>
      </c>
      <c r="AB1030" s="85">
        <v>43672</v>
      </c>
      <c r="AC1030" s="85">
        <v>43672</v>
      </c>
      <c r="AD1030" s="84">
        <v>0</v>
      </c>
      <c r="AG1030" s="84">
        <v>0</v>
      </c>
      <c r="AJ1030" s="84">
        <v>0</v>
      </c>
      <c r="AM1030" s="84" t="s">
        <v>290</v>
      </c>
      <c r="AN1030" s="84" t="s">
        <v>2996</v>
      </c>
      <c r="AR1030" s="85">
        <v>43643</v>
      </c>
      <c r="AS1030" s="84">
        <v>6001688665</v>
      </c>
      <c r="AT1030" s="85">
        <v>43643</v>
      </c>
      <c r="AU1030" s="84" t="s">
        <v>2997</v>
      </c>
      <c r="AV1030" s="85">
        <v>43672</v>
      </c>
      <c r="AW1030" s="123">
        <v>43677</v>
      </c>
      <c r="AX1030" s="123">
        <v>43697</v>
      </c>
      <c r="AY1030" s="132">
        <v>22944</v>
      </c>
      <c r="AZ1030" s="132">
        <v>24780</v>
      </c>
      <c r="BA1030" s="84" t="s">
        <v>778</v>
      </c>
      <c r="BC1030" s="88">
        <v>0</v>
      </c>
      <c r="BG1030" s="88">
        <v>0</v>
      </c>
      <c r="BI1030" s="84" t="s">
        <v>276</v>
      </c>
      <c r="BJ1030" s="88">
        <v>5980</v>
      </c>
      <c r="BK1030" s="88">
        <v>6458.4</v>
      </c>
      <c r="BL1030" s="84" t="s">
        <v>3158</v>
      </c>
      <c r="BS1030" s="88">
        <v>0</v>
      </c>
      <c r="BV1030" s="89">
        <v>15876</v>
      </c>
      <c r="BW1030" s="89">
        <v>6458.4</v>
      </c>
      <c r="BX1030" s="89">
        <v>43628</v>
      </c>
      <c r="BY1030" s="89">
        <v>9417.6</v>
      </c>
      <c r="BZ1030" s="112">
        <v>59.319727891156461</v>
      </c>
      <c r="CK1030" s="88">
        <v>0</v>
      </c>
    </row>
    <row r="1031" spans="1:89" x14ac:dyDescent="0.15">
      <c r="A1031" s="84">
        <v>1</v>
      </c>
      <c r="B1031" s="85">
        <v>43633</v>
      </c>
      <c r="C1031" s="85">
        <v>43641</v>
      </c>
      <c r="F1031" s="85" t="s">
        <v>338</v>
      </c>
      <c r="H1031" s="85" t="s">
        <v>338</v>
      </c>
      <c r="J1031" s="84">
        <v>2</v>
      </c>
      <c r="L1031" s="84">
        <v>0</v>
      </c>
      <c r="M1031" s="85">
        <v>43628</v>
      </c>
      <c r="N1031" s="85" t="s">
        <v>265</v>
      </c>
      <c r="O1031" s="86" t="s">
        <v>340</v>
      </c>
      <c r="P1031" s="84" t="s">
        <v>271</v>
      </c>
      <c r="Q1031" s="86" t="s">
        <v>140</v>
      </c>
      <c r="R1031" s="86" t="s">
        <v>2998</v>
      </c>
      <c r="S1031" s="87" t="s">
        <v>351</v>
      </c>
      <c r="T1031" s="87" t="s">
        <v>2999</v>
      </c>
      <c r="U1031" s="88">
        <v>1200000</v>
      </c>
      <c r="V1031" s="88">
        <v>1296000</v>
      </c>
      <c r="W1031" s="88">
        <v>1200000</v>
      </c>
      <c r="X1031" s="88">
        <v>1296000</v>
      </c>
      <c r="Z1031" s="88">
        <v>0</v>
      </c>
      <c r="AA1031" s="85" t="s">
        <v>3000</v>
      </c>
      <c r="AD1031" s="84">
        <v>0</v>
      </c>
      <c r="AG1031" s="84">
        <v>0</v>
      </c>
      <c r="AJ1031" s="84">
        <v>0</v>
      </c>
      <c r="AR1031" s="85">
        <v>43630</v>
      </c>
      <c r="AS1031" s="84">
        <v>6001683768</v>
      </c>
      <c r="AT1031" s="85">
        <v>43630</v>
      </c>
      <c r="AU1031" s="84" t="s">
        <v>2838</v>
      </c>
      <c r="AV1031" s="85">
        <v>43641</v>
      </c>
      <c r="AW1031" s="123">
        <v>43646</v>
      </c>
      <c r="AX1031" s="123">
        <v>43666</v>
      </c>
      <c r="AY1031" s="140">
        <v>1200000</v>
      </c>
      <c r="AZ1031" s="132">
        <f>ROUNDDOWN(AY1031+(AY1031*MASTER!$A$2/100),0)</f>
        <v>1296000</v>
      </c>
      <c r="BC1031" s="88">
        <v>0</v>
      </c>
      <c r="BG1031" s="88">
        <v>0</v>
      </c>
      <c r="BK1031" s="88">
        <v>0</v>
      </c>
      <c r="BS1031" s="88">
        <v>0</v>
      </c>
      <c r="BV1031" s="89">
        <v>1296000</v>
      </c>
      <c r="BW1031" s="89">
        <v>0</v>
      </c>
      <c r="BX1031" s="89">
        <v>43628</v>
      </c>
      <c r="BY1031" s="89">
        <v>1296000</v>
      </c>
      <c r="BZ1031" s="112">
        <v>100</v>
      </c>
      <c r="CK1031" s="88">
        <v>0</v>
      </c>
    </row>
    <row r="1032" spans="1:89" x14ac:dyDescent="0.15">
      <c r="A1032" s="84">
        <v>2</v>
      </c>
      <c r="B1032" s="85">
        <v>43669</v>
      </c>
      <c r="C1032" s="85">
        <v>43678</v>
      </c>
      <c r="D1032" s="85">
        <v>43705</v>
      </c>
      <c r="E1032" s="85">
        <v>43683</v>
      </c>
      <c r="F1032" s="85">
        <v>43687</v>
      </c>
      <c r="G1032" s="85">
        <v>43682</v>
      </c>
      <c r="H1032" s="85">
        <v>43683</v>
      </c>
      <c r="I1032" s="84" t="s">
        <v>401</v>
      </c>
      <c r="J1032" s="84">
        <v>1</v>
      </c>
      <c r="L1032" s="84">
        <v>0</v>
      </c>
      <c r="M1032" s="85">
        <v>43628</v>
      </c>
      <c r="N1032" s="85" t="s">
        <v>265</v>
      </c>
      <c r="O1032" s="86" t="s">
        <v>340</v>
      </c>
      <c r="P1032" s="84" t="s">
        <v>26</v>
      </c>
      <c r="Q1032" s="86" t="s">
        <v>140</v>
      </c>
      <c r="R1032" s="86" t="s">
        <v>3001</v>
      </c>
      <c r="S1032" s="87" t="s">
        <v>2585</v>
      </c>
      <c r="T1032" s="87" t="s">
        <v>3002</v>
      </c>
      <c r="U1032" s="88">
        <v>50000</v>
      </c>
      <c r="V1032" s="88">
        <v>54000</v>
      </c>
      <c r="W1032" s="88">
        <v>47000</v>
      </c>
      <c r="X1032" s="88">
        <v>50760</v>
      </c>
      <c r="Y1032" s="88">
        <v>3000</v>
      </c>
      <c r="Z1032" s="88">
        <v>3240</v>
      </c>
      <c r="AA1032" s="85">
        <v>43678</v>
      </c>
      <c r="AB1032" s="85">
        <v>43680</v>
      </c>
      <c r="AC1032" s="85">
        <v>43680</v>
      </c>
      <c r="AD1032" s="84">
        <v>0</v>
      </c>
      <c r="AG1032" s="84">
        <v>0</v>
      </c>
      <c r="AJ1032" s="84">
        <v>0</v>
      </c>
      <c r="AM1032" s="84" t="s">
        <v>290</v>
      </c>
      <c r="AN1032" s="84" t="s">
        <v>3003</v>
      </c>
      <c r="AR1032" s="85">
        <v>43647</v>
      </c>
      <c r="AS1032" s="84">
        <v>6001689326</v>
      </c>
      <c r="AT1032" s="85">
        <v>43647</v>
      </c>
      <c r="AU1032" s="84" t="s">
        <v>3004</v>
      </c>
      <c r="AV1032" s="85">
        <v>43678</v>
      </c>
      <c r="AW1032" s="123">
        <v>43708</v>
      </c>
      <c r="AX1032" s="123">
        <v>43728</v>
      </c>
      <c r="AY1032" s="132">
        <v>48000</v>
      </c>
      <c r="AZ1032" s="132">
        <f>ROUNDDOWN(AY1032+(AY1032*MASTER!$A$2/100),0)</f>
        <v>51840</v>
      </c>
      <c r="BA1032" s="84" t="s">
        <v>543</v>
      </c>
      <c r="BB1032" s="88">
        <v>21000</v>
      </c>
      <c r="BC1032" s="88">
        <v>22680</v>
      </c>
      <c r="BD1032" s="84" t="s">
        <v>2849</v>
      </c>
      <c r="BG1032" s="88">
        <v>0</v>
      </c>
      <c r="BI1032" s="84" t="s">
        <v>434</v>
      </c>
      <c r="BJ1032" s="88">
        <v>1950</v>
      </c>
      <c r="BK1032" s="88">
        <v>2106</v>
      </c>
      <c r="BL1032" s="84" t="s">
        <v>2849</v>
      </c>
      <c r="BS1032" s="88">
        <v>0</v>
      </c>
      <c r="BV1032" s="89">
        <v>50760</v>
      </c>
      <c r="BW1032" s="89">
        <v>24786</v>
      </c>
      <c r="BX1032" s="89">
        <v>43628</v>
      </c>
      <c r="BY1032" s="89">
        <v>25974</v>
      </c>
      <c r="BZ1032" s="112">
        <v>51.170212765957444</v>
      </c>
    </row>
    <row r="1033" spans="1:89" x14ac:dyDescent="0.15">
      <c r="A1033" s="84">
        <v>2</v>
      </c>
      <c r="B1033" s="85">
        <v>43635</v>
      </c>
      <c r="C1033" s="85">
        <v>43643</v>
      </c>
      <c r="D1033" s="85">
        <v>43654</v>
      </c>
      <c r="E1033" s="85">
        <v>43643</v>
      </c>
      <c r="F1033" s="85">
        <v>43650</v>
      </c>
      <c r="G1033" s="85">
        <v>43643</v>
      </c>
      <c r="H1033" s="85">
        <v>43646</v>
      </c>
      <c r="I1033" s="84" t="s">
        <v>401</v>
      </c>
      <c r="J1033" s="84">
        <v>2</v>
      </c>
      <c r="L1033" s="84">
        <v>0</v>
      </c>
      <c r="M1033" s="85">
        <v>43628</v>
      </c>
      <c r="N1033" s="85" t="s">
        <v>265</v>
      </c>
      <c r="O1033" s="86" t="s">
        <v>340</v>
      </c>
      <c r="P1033" s="84" t="s">
        <v>26</v>
      </c>
      <c r="Q1033" s="86" t="s">
        <v>140</v>
      </c>
      <c r="R1033" s="86" t="s">
        <v>3005</v>
      </c>
      <c r="S1033" s="87" t="s">
        <v>747</v>
      </c>
      <c r="T1033" s="87" t="s">
        <v>2994</v>
      </c>
      <c r="U1033" s="88">
        <v>100500</v>
      </c>
      <c r="V1033" s="88">
        <v>108540</v>
      </c>
      <c r="W1033" s="88">
        <v>100500</v>
      </c>
      <c r="X1033" s="88">
        <v>108540</v>
      </c>
      <c r="Z1033" s="88">
        <v>0</v>
      </c>
      <c r="AA1033" s="85">
        <v>43642</v>
      </c>
      <c r="AB1033" s="85">
        <v>43643</v>
      </c>
      <c r="AC1033" s="85">
        <v>43643</v>
      </c>
      <c r="AD1033" s="84">
        <v>0</v>
      </c>
      <c r="AG1033" s="84">
        <v>0</v>
      </c>
      <c r="AJ1033" s="84">
        <v>0</v>
      </c>
      <c r="AR1033" s="85">
        <v>43633</v>
      </c>
      <c r="AS1033" s="84">
        <v>6001684158</v>
      </c>
      <c r="AT1033" s="85">
        <v>43634</v>
      </c>
      <c r="AU1033" s="84" t="s">
        <v>2926</v>
      </c>
      <c r="AV1033" s="85">
        <v>43643</v>
      </c>
      <c r="AW1033" s="123">
        <v>43646</v>
      </c>
      <c r="AX1033" s="123">
        <v>43666</v>
      </c>
      <c r="AY1033" s="132">
        <v>96480</v>
      </c>
      <c r="AZ1033" s="132">
        <f>ROUNDDOWN(AY1033+(AY1033*MASTER!$A$2/100),0)</f>
        <v>104198</v>
      </c>
      <c r="BA1033" s="84" t="s">
        <v>477</v>
      </c>
      <c r="BB1033" s="88">
        <v>54000</v>
      </c>
      <c r="BC1033" s="88">
        <v>58320</v>
      </c>
      <c r="BD1033" s="84" t="s">
        <v>2637</v>
      </c>
      <c r="BG1033" s="88">
        <v>0</v>
      </c>
      <c r="BK1033" s="88">
        <v>0</v>
      </c>
      <c r="BS1033" s="88">
        <v>0</v>
      </c>
      <c r="BV1033" s="89">
        <v>108540</v>
      </c>
      <c r="BW1033" s="89">
        <v>58320</v>
      </c>
      <c r="BX1033" s="89">
        <v>43628</v>
      </c>
      <c r="BY1033" s="89">
        <v>50220</v>
      </c>
      <c r="BZ1033" s="112">
        <v>46.268656716417908</v>
      </c>
    </row>
    <row r="1034" spans="1:89" x14ac:dyDescent="0.15">
      <c r="A1034" s="84">
        <v>1</v>
      </c>
      <c r="B1034" s="85">
        <v>43675</v>
      </c>
      <c r="C1034" s="85">
        <v>43685</v>
      </c>
      <c r="F1034" s="85" t="s">
        <v>338</v>
      </c>
      <c r="H1034" s="85" t="s">
        <v>338</v>
      </c>
      <c r="J1034" s="84">
        <v>3</v>
      </c>
      <c r="L1034" s="84">
        <v>0</v>
      </c>
      <c r="M1034" s="85">
        <v>43629</v>
      </c>
      <c r="N1034" s="85" t="s">
        <v>265</v>
      </c>
      <c r="O1034" s="86" t="s">
        <v>340</v>
      </c>
      <c r="P1034" s="84" t="s">
        <v>6</v>
      </c>
      <c r="Q1034" s="86" t="s">
        <v>140</v>
      </c>
      <c r="R1034" s="86" t="s">
        <v>3006</v>
      </c>
      <c r="S1034" s="87" t="s">
        <v>558</v>
      </c>
      <c r="T1034" s="87" t="s">
        <v>1540</v>
      </c>
      <c r="U1034" s="88">
        <v>9000</v>
      </c>
      <c r="V1034" s="88">
        <v>9720</v>
      </c>
      <c r="X1034" s="88">
        <v>0</v>
      </c>
      <c r="Y1034" s="88">
        <v>9000</v>
      </c>
      <c r="Z1034" s="88">
        <v>9720</v>
      </c>
      <c r="AD1034" s="84">
        <v>0</v>
      </c>
      <c r="AG1034" s="84">
        <v>0</v>
      </c>
      <c r="AJ1034" s="84">
        <v>0</v>
      </c>
      <c r="AR1034" s="85">
        <v>43657</v>
      </c>
      <c r="AS1034" s="84">
        <v>6001692766</v>
      </c>
      <c r="AT1034" s="85">
        <v>43662</v>
      </c>
      <c r="AU1034" s="84" t="s">
        <v>2964</v>
      </c>
      <c r="AV1034" s="85">
        <v>43685</v>
      </c>
      <c r="AW1034" s="123">
        <v>43708</v>
      </c>
      <c r="AX1034" s="123">
        <v>43728</v>
      </c>
      <c r="AY1034" s="132">
        <v>8640</v>
      </c>
      <c r="AZ1034" s="132">
        <f>ROUNDDOWN(AY1034+(AY1034*MASTER!$A$2/100),0)</f>
        <v>9331</v>
      </c>
      <c r="BC1034" s="88">
        <v>0</v>
      </c>
      <c r="BG1034" s="88">
        <v>0</v>
      </c>
      <c r="BK1034" s="88">
        <v>0</v>
      </c>
      <c r="BS1034" s="88">
        <v>0</v>
      </c>
      <c r="BV1034" s="89">
        <v>0</v>
      </c>
      <c r="BW1034" s="89">
        <v>0</v>
      </c>
      <c r="BX1034" s="89">
        <v>43629</v>
      </c>
      <c r="BY1034" s="89">
        <v>0</v>
      </c>
      <c r="BZ1034" s="112" t="s">
        <v>338</v>
      </c>
    </row>
    <row r="1035" spans="1:89" x14ac:dyDescent="0.15">
      <c r="A1035" s="84">
        <v>2</v>
      </c>
      <c r="B1035" s="85">
        <v>43637</v>
      </c>
      <c r="C1035" s="85">
        <v>43636</v>
      </c>
      <c r="D1035" s="85">
        <v>43634</v>
      </c>
      <c r="E1035" s="85">
        <v>43634</v>
      </c>
      <c r="F1035" s="85" t="s">
        <v>338</v>
      </c>
      <c r="G1035" s="85">
        <v>43634</v>
      </c>
      <c r="H1035" s="85" t="s">
        <v>338</v>
      </c>
      <c r="I1035" s="84" t="s">
        <v>380</v>
      </c>
      <c r="J1035" s="84">
        <v>2</v>
      </c>
      <c r="L1035" s="84">
        <v>0</v>
      </c>
      <c r="M1035" s="85">
        <v>43629</v>
      </c>
      <c r="N1035" s="85" t="s">
        <v>265</v>
      </c>
      <c r="O1035" s="86" t="s">
        <v>340</v>
      </c>
      <c r="P1035" s="84" t="s">
        <v>6</v>
      </c>
      <c r="Q1035" s="86" t="s">
        <v>140</v>
      </c>
      <c r="R1035" s="86" t="s">
        <v>3007</v>
      </c>
      <c r="S1035" s="87" t="s">
        <v>2453</v>
      </c>
      <c r="T1035" s="87" t="s">
        <v>342</v>
      </c>
      <c r="U1035" s="88">
        <v>35000</v>
      </c>
      <c r="V1035" s="88">
        <v>37800</v>
      </c>
      <c r="W1035" s="88">
        <v>35000</v>
      </c>
      <c r="X1035" s="88">
        <v>37800</v>
      </c>
      <c r="Z1035" s="88">
        <v>0</v>
      </c>
      <c r="AA1035" s="85">
        <v>43631</v>
      </c>
      <c r="AB1035" s="85">
        <v>43631</v>
      </c>
      <c r="AD1035" s="84">
        <v>0</v>
      </c>
      <c r="AG1035" s="84">
        <v>0</v>
      </c>
      <c r="AJ1035" s="84">
        <v>0</v>
      </c>
      <c r="AR1035" s="85">
        <v>43635</v>
      </c>
      <c r="AS1035" s="84">
        <v>6001685421</v>
      </c>
      <c r="AT1035" s="85">
        <v>43636</v>
      </c>
      <c r="AU1035" s="84" t="s">
        <v>2602</v>
      </c>
      <c r="AV1035" s="85">
        <v>43636</v>
      </c>
      <c r="AW1035" s="123">
        <v>43646</v>
      </c>
      <c r="AX1035" s="123">
        <v>43666</v>
      </c>
      <c r="AY1035" s="132">
        <v>33600</v>
      </c>
      <c r="AZ1035" s="132">
        <f>ROUNDDOWN(AY1035+(AY1035*MASTER!$A$2/100),0)</f>
        <v>36288</v>
      </c>
      <c r="BA1035" s="84" t="s">
        <v>287</v>
      </c>
      <c r="BB1035" s="88">
        <v>28000</v>
      </c>
      <c r="BC1035" s="88">
        <v>30240</v>
      </c>
      <c r="BD1035" s="84" t="s">
        <v>2466</v>
      </c>
      <c r="BG1035" s="88">
        <v>0</v>
      </c>
      <c r="BK1035" s="88">
        <v>0</v>
      </c>
      <c r="BS1035" s="88">
        <v>0</v>
      </c>
      <c r="BV1035" s="89">
        <v>37800</v>
      </c>
      <c r="BW1035" s="89">
        <v>30240</v>
      </c>
      <c r="BX1035" s="89">
        <v>43629</v>
      </c>
      <c r="BY1035" s="89">
        <v>7560</v>
      </c>
      <c r="BZ1035" s="112">
        <v>20</v>
      </c>
    </row>
    <row r="1036" spans="1:89" x14ac:dyDescent="0.15">
      <c r="A1036" s="84">
        <v>2</v>
      </c>
      <c r="B1036" s="85">
        <v>43675</v>
      </c>
      <c r="C1036" s="85">
        <v>43686</v>
      </c>
      <c r="D1036" s="85">
        <v>43705</v>
      </c>
      <c r="E1036" s="85">
        <v>43697</v>
      </c>
      <c r="F1036" s="85">
        <v>43693</v>
      </c>
      <c r="G1036" s="85">
        <v>43696</v>
      </c>
      <c r="H1036" s="85">
        <v>43689</v>
      </c>
      <c r="I1036" s="84" t="s">
        <v>401</v>
      </c>
      <c r="J1036" s="84">
        <v>1</v>
      </c>
      <c r="L1036" s="84">
        <v>0</v>
      </c>
      <c r="M1036" s="85">
        <v>43629</v>
      </c>
      <c r="N1036" s="85" t="s">
        <v>265</v>
      </c>
      <c r="O1036" s="86" t="s">
        <v>340</v>
      </c>
      <c r="P1036" s="84" t="s">
        <v>26</v>
      </c>
      <c r="Q1036" s="86" t="s">
        <v>140</v>
      </c>
      <c r="R1036" s="86" t="s">
        <v>3008</v>
      </c>
      <c r="S1036" s="87" t="s">
        <v>805</v>
      </c>
      <c r="T1036" s="87" t="s">
        <v>606</v>
      </c>
      <c r="U1036" s="88">
        <v>50000</v>
      </c>
      <c r="V1036" s="88">
        <v>54000</v>
      </c>
      <c r="W1036" s="88">
        <v>47000</v>
      </c>
      <c r="X1036" s="88">
        <v>50760</v>
      </c>
      <c r="Y1036" s="88">
        <v>3000</v>
      </c>
      <c r="Z1036" s="88">
        <v>3240</v>
      </c>
      <c r="AA1036" s="85">
        <v>43685</v>
      </c>
      <c r="AB1036" s="85">
        <v>43686</v>
      </c>
      <c r="AC1036" s="85">
        <v>43686</v>
      </c>
      <c r="AD1036" s="84">
        <v>0</v>
      </c>
      <c r="AG1036" s="84">
        <v>0</v>
      </c>
      <c r="AJ1036" s="84">
        <v>0</v>
      </c>
      <c r="AM1036" s="84" t="s">
        <v>290</v>
      </c>
      <c r="AN1036" s="84" t="s">
        <v>3009</v>
      </c>
      <c r="AR1036" s="85">
        <v>43647</v>
      </c>
      <c r="AS1036" s="84">
        <v>6001689326</v>
      </c>
      <c r="AT1036" s="85">
        <v>43647</v>
      </c>
      <c r="AU1036" s="84" t="s">
        <v>3004</v>
      </c>
      <c r="AV1036" s="85">
        <v>43686</v>
      </c>
      <c r="AW1036" s="123">
        <v>43708</v>
      </c>
      <c r="AX1036" s="123">
        <v>43728</v>
      </c>
      <c r="AY1036" s="132">
        <v>48000</v>
      </c>
      <c r="AZ1036" s="132">
        <f>ROUNDDOWN(AY1036+(AY1036*MASTER!$A$2/100),0)</f>
        <v>51840</v>
      </c>
      <c r="BA1036" s="84" t="s">
        <v>286</v>
      </c>
      <c r="BB1036" s="88">
        <v>28000</v>
      </c>
      <c r="BC1036" s="88">
        <v>30240</v>
      </c>
      <c r="BD1036" s="84" t="s">
        <v>2849</v>
      </c>
      <c r="BG1036" s="88">
        <v>0</v>
      </c>
      <c r="BI1036" s="84" t="s">
        <v>434</v>
      </c>
      <c r="BJ1036" s="88">
        <v>1950</v>
      </c>
      <c r="BK1036" s="88">
        <v>2106</v>
      </c>
      <c r="BL1036" s="84" t="s">
        <v>2849</v>
      </c>
      <c r="BS1036" s="88">
        <v>0</v>
      </c>
      <c r="BV1036" s="89">
        <v>50760</v>
      </c>
      <c r="BW1036" s="89">
        <v>32346</v>
      </c>
      <c r="BX1036" s="89">
        <v>43629</v>
      </c>
      <c r="BY1036" s="89">
        <v>18414</v>
      </c>
      <c r="BZ1036" s="112">
        <v>36.276595744680847</v>
      </c>
    </row>
    <row r="1037" spans="1:89" x14ac:dyDescent="0.15">
      <c r="A1037" s="84">
        <v>2</v>
      </c>
      <c r="B1037" s="85">
        <v>43675</v>
      </c>
      <c r="C1037" s="85">
        <v>43687</v>
      </c>
      <c r="D1037" s="85">
        <v>43705</v>
      </c>
      <c r="E1037" s="85">
        <v>43697</v>
      </c>
      <c r="F1037" s="85">
        <v>43694</v>
      </c>
      <c r="G1037" s="85">
        <v>43696</v>
      </c>
      <c r="H1037" s="85">
        <v>43690</v>
      </c>
      <c r="I1037" s="84" t="s">
        <v>401</v>
      </c>
      <c r="J1037" s="84">
        <v>1</v>
      </c>
      <c r="L1037" s="84">
        <v>0</v>
      </c>
      <c r="M1037" s="85">
        <v>43629</v>
      </c>
      <c r="N1037" s="85" t="s">
        <v>265</v>
      </c>
      <c r="O1037" s="86" t="s">
        <v>340</v>
      </c>
      <c r="P1037" s="84" t="s">
        <v>26</v>
      </c>
      <c r="Q1037" s="86" t="s">
        <v>140</v>
      </c>
      <c r="R1037" s="86" t="s">
        <v>3010</v>
      </c>
      <c r="S1037" s="87" t="s">
        <v>1914</v>
      </c>
      <c r="T1037" s="87" t="s">
        <v>1556</v>
      </c>
      <c r="U1037" s="88">
        <v>87500</v>
      </c>
      <c r="V1037" s="88">
        <v>94500</v>
      </c>
      <c r="W1037" s="88">
        <v>75500</v>
      </c>
      <c r="X1037" s="88">
        <v>81540</v>
      </c>
      <c r="Y1037" s="88">
        <v>12000</v>
      </c>
      <c r="Z1037" s="88">
        <v>12960</v>
      </c>
      <c r="AA1037" s="85">
        <v>43684</v>
      </c>
      <c r="AB1037" s="85">
        <v>43687</v>
      </c>
      <c r="AC1037" s="85">
        <v>43687</v>
      </c>
      <c r="AD1037" s="84">
        <v>0</v>
      </c>
      <c r="AG1037" s="84">
        <v>0</v>
      </c>
      <c r="AJ1037" s="84">
        <v>0</v>
      </c>
      <c r="AM1037" s="84" t="s">
        <v>290</v>
      </c>
      <c r="AN1037" s="84" t="s">
        <v>3011</v>
      </c>
      <c r="AR1037" s="85">
        <v>43654</v>
      </c>
      <c r="AS1037" s="84">
        <v>6001691451</v>
      </c>
      <c r="AT1037" s="85">
        <v>43654</v>
      </c>
      <c r="AU1037" s="84" t="s">
        <v>2967</v>
      </c>
      <c r="AV1037" s="85">
        <v>43687</v>
      </c>
      <c r="AW1037" s="123">
        <v>43708</v>
      </c>
      <c r="AX1037" s="123">
        <v>43728</v>
      </c>
      <c r="AY1037" s="132">
        <v>84000</v>
      </c>
      <c r="AZ1037" s="132">
        <f>ROUNDDOWN(AY1037+(AY1037*MASTER!$A$2/100),0)</f>
        <v>90720</v>
      </c>
      <c r="BA1037" s="84" t="s">
        <v>286</v>
      </c>
      <c r="BB1037" s="88">
        <v>30000</v>
      </c>
      <c r="BC1037" s="88">
        <v>32400</v>
      </c>
      <c r="BD1037" s="84" t="s">
        <v>2849</v>
      </c>
      <c r="BG1037" s="88">
        <v>0</v>
      </c>
      <c r="BI1037" s="84" t="s">
        <v>434</v>
      </c>
      <c r="BJ1037" s="88">
        <v>7800</v>
      </c>
      <c r="BK1037" s="88">
        <v>8424</v>
      </c>
      <c r="BL1037" s="84" t="s">
        <v>2849</v>
      </c>
      <c r="BS1037" s="88">
        <v>0</v>
      </c>
      <c r="BV1037" s="89">
        <v>81540</v>
      </c>
      <c r="BW1037" s="89">
        <v>40824</v>
      </c>
      <c r="BX1037" s="89">
        <v>43629</v>
      </c>
      <c r="BY1037" s="89">
        <v>40716</v>
      </c>
      <c r="BZ1037" s="112">
        <v>49.933774834437081</v>
      </c>
    </row>
    <row r="1038" spans="1:89" x14ac:dyDescent="0.15">
      <c r="A1038" s="84">
        <v>1</v>
      </c>
      <c r="C1038" s="85">
        <v>43677</v>
      </c>
      <c r="F1038" s="85" t="s">
        <v>338</v>
      </c>
      <c r="H1038" s="85" t="s">
        <v>338</v>
      </c>
      <c r="J1038" s="84">
        <v>2</v>
      </c>
      <c r="L1038" s="84">
        <v>0</v>
      </c>
      <c r="M1038" s="85">
        <v>43629</v>
      </c>
      <c r="N1038" s="85" t="s">
        <v>264</v>
      </c>
      <c r="O1038" s="86" t="s">
        <v>340</v>
      </c>
      <c r="P1038" s="84" t="s">
        <v>272</v>
      </c>
      <c r="Q1038" s="86" t="s">
        <v>140</v>
      </c>
      <c r="R1038" s="86" t="s">
        <v>3012</v>
      </c>
      <c r="S1038" s="87" t="s">
        <v>387</v>
      </c>
      <c r="T1038" s="87" t="s">
        <v>3013</v>
      </c>
      <c r="U1038" s="88">
        <v>1640000</v>
      </c>
      <c r="V1038" s="88">
        <v>1771200</v>
      </c>
      <c r="W1038" s="88">
        <v>1640000</v>
      </c>
      <c r="X1038" s="88">
        <v>1771200</v>
      </c>
      <c r="Z1038" s="88">
        <v>0</v>
      </c>
      <c r="AD1038" s="84">
        <v>0</v>
      </c>
      <c r="AG1038" s="84">
        <v>0</v>
      </c>
      <c r="AJ1038" s="84">
        <v>0</v>
      </c>
      <c r="AR1038" s="85">
        <v>43634</v>
      </c>
      <c r="AS1038" s="84">
        <v>6001684664</v>
      </c>
      <c r="AT1038" s="85">
        <v>43634</v>
      </c>
      <c r="AU1038" s="84" t="s">
        <v>3014</v>
      </c>
      <c r="AV1038" s="85">
        <v>43677</v>
      </c>
      <c r="AW1038" s="123">
        <v>43677</v>
      </c>
      <c r="AX1038" s="123">
        <v>43697</v>
      </c>
      <c r="AY1038" s="140">
        <v>1640000</v>
      </c>
      <c r="AZ1038" s="132">
        <f>ROUNDDOWN(AY1038+(AY1038*MASTER!$A$2/100),0)</f>
        <v>1771200</v>
      </c>
      <c r="BC1038" s="88">
        <v>0</v>
      </c>
      <c r="BG1038" s="88">
        <v>0</v>
      </c>
      <c r="BK1038" s="88">
        <v>0</v>
      </c>
      <c r="BS1038" s="88">
        <v>0</v>
      </c>
      <c r="BV1038" s="89">
        <v>1771200</v>
      </c>
      <c r="BW1038" s="89">
        <v>0</v>
      </c>
      <c r="BX1038" s="89">
        <v>43629</v>
      </c>
      <c r="BY1038" s="89">
        <v>1771200</v>
      </c>
      <c r="BZ1038" s="112">
        <v>100</v>
      </c>
    </row>
    <row r="1039" spans="1:89" s="151" customFormat="1" x14ac:dyDescent="0.15">
      <c r="A1039" s="141">
        <v>3</v>
      </c>
      <c r="B1039" s="142"/>
      <c r="C1039" s="142" t="s">
        <v>338</v>
      </c>
      <c r="D1039" s="142"/>
      <c r="E1039" s="142"/>
      <c r="F1039" s="142" t="s">
        <v>338</v>
      </c>
      <c r="G1039" s="142"/>
      <c r="H1039" s="142" t="s">
        <v>338</v>
      </c>
      <c r="I1039" s="141"/>
      <c r="J1039" s="141">
        <v>2</v>
      </c>
      <c r="K1039" s="142"/>
      <c r="L1039" s="141">
        <v>0</v>
      </c>
      <c r="M1039" s="142">
        <v>43630</v>
      </c>
      <c r="N1039" s="142" t="s">
        <v>265</v>
      </c>
      <c r="O1039" s="143" t="s">
        <v>340</v>
      </c>
      <c r="P1039" s="141" t="s">
        <v>26</v>
      </c>
      <c r="Q1039" s="143" t="s">
        <v>140</v>
      </c>
      <c r="R1039" s="143" t="s">
        <v>3015</v>
      </c>
      <c r="S1039" s="144" t="s">
        <v>3016</v>
      </c>
      <c r="T1039" s="144" t="s">
        <v>342</v>
      </c>
      <c r="U1039" s="145">
        <v>35000</v>
      </c>
      <c r="V1039" s="145">
        <v>37800</v>
      </c>
      <c r="W1039" s="145">
        <v>35000</v>
      </c>
      <c r="X1039" s="145">
        <v>37800</v>
      </c>
      <c r="Y1039" s="145"/>
      <c r="Z1039" s="145">
        <v>0</v>
      </c>
      <c r="AA1039" s="142">
        <v>43629</v>
      </c>
      <c r="AB1039" s="142"/>
      <c r="AC1039" s="142"/>
      <c r="AD1039" s="141">
        <v>0</v>
      </c>
      <c r="AE1039" s="141"/>
      <c r="AF1039" s="141"/>
      <c r="AG1039" s="141">
        <v>0</v>
      </c>
      <c r="AH1039" s="141"/>
      <c r="AI1039" s="141"/>
      <c r="AJ1039" s="141">
        <v>0</v>
      </c>
      <c r="AK1039" s="141"/>
      <c r="AL1039" s="141"/>
      <c r="AM1039" s="141"/>
      <c r="AN1039" s="141" t="s">
        <v>338</v>
      </c>
      <c r="AO1039" s="142"/>
      <c r="AP1039" s="141"/>
      <c r="AQ1039" s="141"/>
      <c r="AR1039" s="142"/>
      <c r="AS1039" s="141"/>
      <c r="AT1039" s="142"/>
      <c r="AU1039" s="141"/>
      <c r="AV1039" s="142"/>
      <c r="AW1039" s="146"/>
      <c r="AX1039" s="146"/>
      <c r="AY1039" s="147">
        <v>33600</v>
      </c>
      <c r="AZ1039" s="132">
        <f>ROUNDDOWN(AY1039+(AY1039*MASTER!$A$2/100),0)</f>
        <v>36288</v>
      </c>
      <c r="BA1039" s="141"/>
      <c r="BB1039" s="145"/>
      <c r="BC1039" s="145">
        <v>0</v>
      </c>
      <c r="BD1039" s="141"/>
      <c r="BE1039" s="141"/>
      <c r="BF1039" s="145"/>
      <c r="BG1039" s="145">
        <v>0</v>
      </c>
      <c r="BH1039" s="141"/>
      <c r="BI1039" s="141"/>
      <c r="BJ1039" s="145"/>
      <c r="BK1039" s="145">
        <v>0</v>
      </c>
      <c r="BL1039" s="141"/>
      <c r="BM1039" s="145"/>
      <c r="BN1039" s="145"/>
      <c r="BO1039" s="145"/>
      <c r="BP1039" s="145"/>
      <c r="BQ1039" s="145"/>
      <c r="BR1039" s="145"/>
      <c r="BS1039" s="145">
        <v>0</v>
      </c>
      <c r="BT1039" s="148"/>
      <c r="BU1039" s="148"/>
      <c r="BV1039" s="149">
        <v>37800</v>
      </c>
      <c r="BW1039" s="149">
        <v>0</v>
      </c>
      <c r="BX1039" s="149">
        <v>43630</v>
      </c>
      <c r="BY1039" s="149">
        <v>37800</v>
      </c>
      <c r="BZ1039" s="150">
        <v>100</v>
      </c>
      <c r="CA1039" s="141"/>
      <c r="CB1039" s="141"/>
      <c r="CC1039" s="141"/>
      <c r="CD1039" s="144" t="s">
        <v>3017</v>
      </c>
      <c r="CE1039" s="142"/>
      <c r="CF1039" s="142"/>
      <c r="CG1039" s="142"/>
      <c r="CH1039" s="142"/>
      <c r="CI1039" s="142"/>
      <c r="CJ1039" s="142"/>
      <c r="CK1039" s="145">
        <v>0</v>
      </c>
    </row>
    <row r="1040" spans="1:89" x14ac:dyDescent="0.15">
      <c r="A1040" s="84">
        <v>2</v>
      </c>
      <c r="B1040" s="85">
        <v>43647</v>
      </c>
      <c r="C1040" s="85">
        <v>43658</v>
      </c>
      <c r="D1040" s="85" t="s">
        <v>374</v>
      </c>
      <c r="E1040" s="85">
        <v>43662</v>
      </c>
      <c r="F1040" s="85">
        <v>43665</v>
      </c>
      <c r="G1040" s="85">
        <v>43662</v>
      </c>
      <c r="H1040" s="85">
        <v>43661</v>
      </c>
      <c r="I1040" s="84" t="s">
        <v>1191</v>
      </c>
      <c r="J1040" s="84">
        <v>1</v>
      </c>
      <c r="L1040" s="84">
        <v>0</v>
      </c>
      <c r="M1040" s="85">
        <v>43630</v>
      </c>
      <c r="N1040" s="85" t="s">
        <v>265</v>
      </c>
      <c r="O1040" s="86" t="s">
        <v>340</v>
      </c>
      <c r="P1040" s="84" t="s">
        <v>26</v>
      </c>
      <c r="Q1040" s="86" t="s">
        <v>140</v>
      </c>
      <c r="R1040" s="86" t="s">
        <v>3018</v>
      </c>
      <c r="S1040" s="87" t="s">
        <v>3019</v>
      </c>
      <c r="T1040" s="87" t="s">
        <v>794</v>
      </c>
      <c r="U1040" s="88">
        <v>23900</v>
      </c>
      <c r="V1040" s="88">
        <v>25812</v>
      </c>
      <c r="W1040" s="88">
        <v>14700</v>
      </c>
      <c r="X1040" s="88">
        <v>15876</v>
      </c>
      <c r="Y1040" s="88">
        <v>9200</v>
      </c>
      <c r="Z1040" s="88">
        <v>9936</v>
      </c>
      <c r="AA1040" s="85">
        <v>43656</v>
      </c>
      <c r="AB1040" s="85">
        <v>43658</v>
      </c>
      <c r="AC1040" s="85">
        <v>43658</v>
      </c>
      <c r="AD1040" s="84">
        <v>0</v>
      </c>
      <c r="AG1040" s="84">
        <v>0</v>
      </c>
      <c r="AJ1040" s="84">
        <v>0</v>
      </c>
      <c r="AM1040" s="84" t="s">
        <v>290</v>
      </c>
      <c r="AN1040" s="84" t="s">
        <v>3020</v>
      </c>
      <c r="AR1040" s="85">
        <v>43643</v>
      </c>
      <c r="AS1040" s="84">
        <v>6001688665</v>
      </c>
      <c r="AT1040" s="85">
        <v>43643</v>
      </c>
      <c r="AU1040" s="84" t="s">
        <v>2997</v>
      </c>
      <c r="AV1040" s="85">
        <v>43658</v>
      </c>
      <c r="AW1040" s="123">
        <v>43677</v>
      </c>
      <c r="AX1040" s="123">
        <v>43697</v>
      </c>
      <c r="AY1040" s="132">
        <v>22944</v>
      </c>
      <c r="AZ1040" s="132">
        <v>24780</v>
      </c>
      <c r="BA1040" s="84" t="s">
        <v>778</v>
      </c>
      <c r="BC1040" s="88">
        <v>0</v>
      </c>
      <c r="BG1040" s="88">
        <v>0</v>
      </c>
      <c r="BI1040" s="84" t="s">
        <v>276</v>
      </c>
      <c r="BJ1040" s="88">
        <v>5980</v>
      </c>
      <c r="BK1040" s="88">
        <v>6458.4</v>
      </c>
      <c r="BL1040" s="84" t="s">
        <v>2660</v>
      </c>
      <c r="BS1040" s="88">
        <v>0</v>
      </c>
      <c r="BV1040" s="89">
        <v>15876</v>
      </c>
      <c r="BW1040" s="89">
        <v>6458.4</v>
      </c>
      <c r="BX1040" s="89">
        <v>43630</v>
      </c>
      <c r="BY1040" s="89">
        <v>9417.6</v>
      </c>
      <c r="BZ1040" s="112">
        <v>59.319727891156461</v>
      </c>
      <c r="CK1040" s="88">
        <v>0</v>
      </c>
    </row>
    <row r="1041" spans="1:89" x14ac:dyDescent="0.15">
      <c r="A1041" s="84">
        <v>2</v>
      </c>
      <c r="B1041" s="85">
        <v>43675</v>
      </c>
      <c r="C1041" s="85">
        <v>43686</v>
      </c>
      <c r="D1041" s="85">
        <v>43699</v>
      </c>
      <c r="E1041" s="85">
        <v>43699</v>
      </c>
      <c r="F1041" s="85">
        <v>43693</v>
      </c>
      <c r="G1041" s="85">
        <v>43696</v>
      </c>
      <c r="H1041" s="85">
        <v>43689</v>
      </c>
      <c r="I1041" s="84" t="s">
        <v>401</v>
      </c>
      <c r="J1041" s="84">
        <v>1</v>
      </c>
      <c r="L1041" s="84">
        <v>0</v>
      </c>
      <c r="M1041" s="85">
        <v>43630</v>
      </c>
      <c r="N1041" s="85" t="s">
        <v>265</v>
      </c>
      <c r="O1041" s="86" t="s">
        <v>340</v>
      </c>
      <c r="P1041" s="84" t="s">
        <v>26</v>
      </c>
      <c r="Q1041" s="86" t="s">
        <v>140</v>
      </c>
      <c r="R1041" s="86" t="s">
        <v>3021</v>
      </c>
      <c r="S1041" s="87" t="s">
        <v>3022</v>
      </c>
      <c r="T1041" s="87" t="s">
        <v>385</v>
      </c>
      <c r="U1041" s="88">
        <v>96200</v>
      </c>
      <c r="V1041" s="88">
        <v>103896</v>
      </c>
      <c r="W1041" s="88">
        <v>70000</v>
      </c>
      <c r="X1041" s="88">
        <v>75600</v>
      </c>
      <c r="Y1041" s="88">
        <v>26200</v>
      </c>
      <c r="Z1041" s="88">
        <v>28296</v>
      </c>
      <c r="AA1041" s="85">
        <v>43684</v>
      </c>
      <c r="AB1041" s="85">
        <v>43686</v>
      </c>
      <c r="AC1041" s="85">
        <v>43686</v>
      </c>
      <c r="AD1041" s="84">
        <v>0</v>
      </c>
      <c r="AG1041" s="84">
        <v>0</v>
      </c>
      <c r="AJ1041" s="84">
        <v>0</v>
      </c>
      <c r="AM1041" s="84" t="s">
        <v>290</v>
      </c>
      <c r="AN1041" s="84" t="s">
        <v>3023</v>
      </c>
      <c r="AR1041" s="85">
        <v>43669</v>
      </c>
      <c r="AS1041" s="84">
        <v>6001696217</v>
      </c>
      <c r="AT1041" s="85">
        <v>43670</v>
      </c>
      <c r="AU1041" s="84" t="s">
        <v>3024</v>
      </c>
      <c r="AV1041" s="85">
        <v>43686</v>
      </c>
      <c r="AW1041" s="123">
        <v>43708</v>
      </c>
      <c r="AX1041" s="123">
        <v>43728</v>
      </c>
      <c r="AY1041" s="132">
        <v>92352</v>
      </c>
      <c r="AZ1041" s="132">
        <f>ROUNDDOWN(AY1041+(AY1041*MASTER!$A$2/100),0)</f>
        <v>99740</v>
      </c>
      <c r="BA1041" s="84" t="s">
        <v>14</v>
      </c>
      <c r="BB1041" s="88">
        <v>48800</v>
      </c>
      <c r="BC1041" s="88">
        <v>52704</v>
      </c>
      <c r="BD1041" s="84" t="s">
        <v>2849</v>
      </c>
      <c r="BG1041" s="88">
        <v>0</v>
      </c>
      <c r="BI1041" s="84" t="s">
        <v>434</v>
      </c>
      <c r="BJ1041" s="88">
        <v>17030</v>
      </c>
      <c r="BK1041" s="88">
        <v>18392.400000000001</v>
      </c>
      <c r="BL1041" s="84" t="s">
        <v>2849</v>
      </c>
      <c r="BS1041" s="88">
        <v>0</v>
      </c>
      <c r="BV1041" s="89">
        <v>75600</v>
      </c>
      <c r="BW1041" s="89">
        <v>71096.399999999994</v>
      </c>
      <c r="BX1041" s="89">
        <v>43630</v>
      </c>
      <c r="BY1041" s="89">
        <v>4503.6000000000004</v>
      </c>
      <c r="BZ1041" s="112">
        <v>5.9571428571428653</v>
      </c>
      <c r="CK1041" s="88">
        <v>0</v>
      </c>
    </row>
    <row r="1042" spans="1:89" s="151" customFormat="1" x14ac:dyDescent="0.15">
      <c r="A1042" s="141">
        <v>3</v>
      </c>
      <c r="B1042" s="142"/>
      <c r="C1042" s="142" t="s">
        <v>338</v>
      </c>
      <c r="D1042" s="142"/>
      <c r="E1042" s="142"/>
      <c r="F1042" s="142" t="s">
        <v>338</v>
      </c>
      <c r="G1042" s="142"/>
      <c r="H1042" s="142" t="s">
        <v>338</v>
      </c>
      <c r="I1042" s="141"/>
      <c r="J1042" s="141">
        <v>1</v>
      </c>
      <c r="K1042" s="142"/>
      <c r="L1042" s="141">
        <v>0</v>
      </c>
      <c r="M1042" s="142">
        <v>43630</v>
      </c>
      <c r="N1042" s="142" t="s">
        <v>265</v>
      </c>
      <c r="O1042" s="143" t="s">
        <v>340</v>
      </c>
      <c r="P1042" s="141" t="s">
        <v>26</v>
      </c>
      <c r="Q1042" s="143" t="s">
        <v>140</v>
      </c>
      <c r="R1042" s="143" t="s">
        <v>3025</v>
      </c>
      <c r="S1042" s="144" t="s">
        <v>2382</v>
      </c>
      <c r="T1042" s="144" t="s">
        <v>2408</v>
      </c>
      <c r="U1042" s="145">
        <v>68200</v>
      </c>
      <c r="V1042" s="145">
        <v>73656</v>
      </c>
      <c r="W1042" s="145">
        <v>47000</v>
      </c>
      <c r="X1042" s="145">
        <v>50760</v>
      </c>
      <c r="Y1042" s="145">
        <v>21200</v>
      </c>
      <c r="Z1042" s="145">
        <v>22896</v>
      </c>
      <c r="AA1042" s="142"/>
      <c r="AB1042" s="142"/>
      <c r="AC1042" s="142"/>
      <c r="AD1042" s="141">
        <v>0</v>
      </c>
      <c r="AE1042" s="141"/>
      <c r="AF1042" s="141"/>
      <c r="AG1042" s="141">
        <v>0</v>
      </c>
      <c r="AH1042" s="141"/>
      <c r="AI1042" s="141"/>
      <c r="AJ1042" s="141">
        <v>0</v>
      </c>
      <c r="AK1042" s="141"/>
      <c r="AL1042" s="141"/>
      <c r="AM1042" s="141" t="s">
        <v>290</v>
      </c>
      <c r="AN1042" s="141" t="s">
        <v>3026</v>
      </c>
      <c r="AO1042" s="142"/>
      <c r="AP1042" s="141"/>
      <c r="AQ1042" s="141"/>
      <c r="AR1042" s="142"/>
      <c r="AS1042" s="141"/>
      <c r="AT1042" s="142"/>
      <c r="AU1042" s="141"/>
      <c r="AV1042" s="142"/>
      <c r="AW1042" s="146"/>
      <c r="AX1042" s="146"/>
      <c r="AY1042" s="147">
        <v>65472</v>
      </c>
      <c r="AZ1042" s="147">
        <f>ROUNDDOWN(AY1042+(AY1042*MASTER!$A$2/100),0)</f>
        <v>70709</v>
      </c>
      <c r="BA1042" s="141"/>
      <c r="BB1042" s="145"/>
      <c r="BC1042" s="145">
        <v>0</v>
      </c>
      <c r="BD1042" s="141"/>
      <c r="BE1042" s="141"/>
      <c r="BF1042" s="145"/>
      <c r="BG1042" s="145">
        <v>0</v>
      </c>
      <c r="BH1042" s="141"/>
      <c r="BI1042" s="141"/>
      <c r="BJ1042" s="145"/>
      <c r="BK1042" s="145">
        <v>0</v>
      </c>
      <c r="BL1042" s="141"/>
      <c r="BM1042" s="145"/>
      <c r="BN1042" s="145"/>
      <c r="BO1042" s="145"/>
      <c r="BP1042" s="145"/>
      <c r="BQ1042" s="145"/>
      <c r="BR1042" s="145"/>
      <c r="BS1042" s="145">
        <v>0</v>
      </c>
      <c r="BT1042" s="148"/>
      <c r="BU1042" s="148"/>
      <c r="BV1042" s="149">
        <v>50760</v>
      </c>
      <c r="BW1042" s="149">
        <v>0</v>
      </c>
      <c r="BX1042" s="149">
        <v>43630</v>
      </c>
      <c r="BY1042" s="149">
        <v>50760</v>
      </c>
      <c r="BZ1042" s="150">
        <v>100</v>
      </c>
      <c r="CA1042" s="141"/>
      <c r="CB1042" s="141"/>
      <c r="CC1042" s="141"/>
      <c r="CD1042" s="144" t="s">
        <v>1585</v>
      </c>
      <c r="CE1042" s="142"/>
      <c r="CF1042" s="142"/>
      <c r="CG1042" s="142"/>
      <c r="CH1042" s="142"/>
      <c r="CI1042" s="142"/>
      <c r="CJ1042" s="142"/>
      <c r="CK1042" s="145">
        <v>0</v>
      </c>
    </row>
    <row r="1043" spans="1:89" x14ac:dyDescent="0.15">
      <c r="A1043" s="84">
        <v>2</v>
      </c>
      <c r="B1043" s="85">
        <v>43675</v>
      </c>
      <c r="C1043" s="85">
        <v>43686</v>
      </c>
      <c r="D1043" s="85" t="s">
        <v>374</v>
      </c>
      <c r="E1043" s="85">
        <v>43697</v>
      </c>
      <c r="F1043" s="85">
        <v>43693</v>
      </c>
      <c r="G1043" s="85">
        <v>43698</v>
      </c>
      <c r="H1043" s="85">
        <v>43689</v>
      </c>
      <c r="I1043" s="84" t="s">
        <v>401</v>
      </c>
      <c r="J1043" s="84">
        <v>1</v>
      </c>
      <c r="L1043" s="84">
        <v>0</v>
      </c>
      <c r="M1043" s="85">
        <v>43630</v>
      </c>
      <c r="N1043" s="85" t="s">
        <v>265</v>
      </c>
      <c r="O1043" s="86" t="s">
        <v>340</v>
      </c>
      <c r="P1043" s="84" t="s">
        <v>26</v>
      </c>
      <c r="Q1043" s="86" t="s">
        <v>140</v>
      </c>
      <c r="R1043" s="86" t="s">
        <v>3027</v>
      </c>
      <c r="S1043" s="87" t="s">
        <v>446</v>
      </c>
      <c r="T1043" s="87" t="s">
        <v>794</v>
      </c>
      <c r="U1043" s="88">
        <v>23900</v>
      </c>
      <c r="V1043" s="88">
        <v>25812</v>
      </c>
      <c r="W1043" s="88">
        <v>14700</v>
      </c>
      <c r="X1043" s="88">
        <v>15876</v>
      </c>
      <c r="Y1043" s="88">
        <v>9200</v>
      </c>
      <c r="Z1043" s="88">
        <v>9936</v>
      </c>
      <c r="AA1043" s="85">
        <v>43684</v>
      </c>
      <c r="AB1043" s="85">
        <v>43686</v>
      </c>
      <c r="AC1043" s="85">
        <v>43686</v>
      </c>
      <c r="AD1043" s="84">
        <v>0</v>
      </c>
      <c r="AG1043" s="84">
        <v>0</v>
      </c>
      <c r="AJ1043" s="84">
        <v>0</v>
      </c>
      <c r="AM1043" s="84" t="s">
        <v>290</v>
      </c>
      <c r="AN1043" s="84" t="s">
        <v>3028</v>
      </c>
      <c r="AR1043" s="85">
        <v>43654</v>
      </c>
      <c r="AS1043" s="84">
        <v>6001691451</v>
      </c>
      <c r="AT1043" s="85">
        <v>43654</v>
      </c>
      <c r="AU1043" s="84" t="s">
        <v>2967</v>
      </c>
      <c r="AV1043" s="85">
        <v>43686</v>
      </c>
      <c r="AW1043" s="123">
        <v>43708</v>
      </c>
      <c r="AX1043" s="123">
        <v>43728</v>
      </c>
      <c r="AY1043" s="132">
        <v>22944</v>
      </c>
      <c r="AZ1043" s="132">
        <v>24780</v>
      </c>
      <c r="BA1043" s="84" t="s">
        <v>778</v>
      </c>
      <c r="BC1043" s="88">
        <v>0</v>
      </c>
      <c r="BG1043" s="88">
        <v>0</v>
      </c>
      <c r="BI1043" s="84" t="s">
        <v>276</v>
      </c>
      <c r="BJ1043" s="88">
        <v>5980</v>
      </c>
      <c r="BK1043" s="88">
        <v>6458.4</v>
      </c>
      <c r="BL1043" s="84" t="s">
        <v>3158</v>
      </c>
      <c r="BS1043" s="88">
        <v>0</v>
      </c>
      <c r="BV1043" s="89">
        <v>15876</v>
      </c>
      <c r="BW1043" s="89">
        <v>6458.4</v>
      </c>
      <c r="BX1043" s="89">
        <v>43630</v>
      </c>
      <c r="BY1043" s="89">
        <v>9417.6</v>
      </c>
      <c r="BZ1043" s="112">
        <v>59.319727891156461</v>
      </c>
      <c r="CK1043" s="88">
        <v>0</v>
      </c>
    </row>
    <row r="1044" spans="1:89" x14ac:dyDescent="0.15">
      <c r="A1044" s="84">
        <v>2</v>
      </c>
      <c r="B1044" s="85">
        <v>43637</v>
      </c>
      <c r="C1044" s="85">
        <v>43639</v>
      </c>
      <c r="D1044" s="85">
        <v>43676</v>
      </c>
      <c r="E1044" s="85">
        <v>43640</v>
      </c>
      <c r="F1044" s="85">
        <v>43646</v>
      </c>
      <c r="G1044" s="85">
        <v>43640</v>
      </c>
      <c r="H1044" s="85">
        <v>43642</v>
      </c>
      <c r="I1044" s="84" t="s">
        <v>401</v>
      </c>
      <c r="J1044" s="84">
        <v>2</v>
      </c>
      <c r="L1044" s="84">
        <v>0</v>
      </c>
      <c r="M1044" s="85">
        <v>43630</v>
      </c>
      <c r="N1044" s="85" t="s">
        <v>265</v>
      </c>
      <c r="O1044" s="86" t="s">
        <v>340</v>
      </c>
      <c r="P1044" s="84" t="s">
        <v>26</v>
      </c>
      <c r="Q1044" s="86" t="s">
        <v>140</v>
      </c>
      <c r="R1044" s="86" t="s">
        <v>3029</v>
      </c>
      <c r="S1044" s="87" t="s">
        <v>1539</v>
      </c>
      <c r="T1044" s="87" t="s">
        <v>3030</v>
      </c>
      <c r="U1044" s="88">
        <v>100500</v>
      </c>
      <c r="V1044" s="88">
        <v>108540</v>
      </c>
      <c r="W1044" s="88">
        <v>100500</v>
      </c>
      <c r="X1044" s="88">
        <v>108540</v>
      </c>
      <c r="Z1044" s="88">
        <v>0</v>
      </c>
      <c r="AA1044" s="85">
        <v>43638</v>
      </c>
      <c r="AB1044" s="85">
        <v>43639</v>
      </c>
      <c r="AC1044" s="85">
        <v>43639</v>
      </c>
      <c r="AD1044" s="84">
        <v>0</v>
      </c>
      <c r="AG1044" s="84">
        <v>0</v>
      </c>
      <c r="AJ1044" s="84">
        <v>0</v>
      </c>
      <c r="AR1044" s="85">
        <v>43635</v>
      </c>
      <c r="AS1044" s="84">
        <v>6001685421</v>
      </c>
      <c r="AT1044" s="85">
        <v>43636</v>
      </c>
      <c r="AU1044" s="84" t="s">
        <v>2602</v>
      </c>
      <c r="AV1044" s="85">
        <v>43639</v>
      </c>
      <c r="AW1044" s="123">
        <v>43646</v>
      </c>
      <c r="AX1044" s="123">
        <v>43666</v>
      </c>
      <c r="AY1044" s="132">
        <v>96480</v>
      </c>
      <c r="AZ1044" s="132">
        <f>ROUNDDOWN(AY1044+(AY1044*MASTER!$A$2/100),0)</f>
        <v>104198</v>
      </c>
      <c r="BA1044" s="84" t="s">
        <v>543</v>
      </c>
      <c r="BB1044" s="88">
        <v>50000</v>
      </c>
      <c r="BC1044" s="88">
        <v>54000</v>
      </c>
      <c r="BD1044" s="84" t="s">
        <v>2637</v>
      </c>
      <c r="BG1044" s="88">
        <v>0</v>
      </c>
      <c r="BK1044" s="88">
        <v>0</v>
      </c>
      <c r="BS1044" s="88">
        <v>0</v>
      </c>
      <c r="BV1044" s="89">
        <v>108540</v>
      </c>
      <c r="BW1044" s="89">
        <v>54000</v>
      </c>
      <c r="BX1044" s="89">
        <v>43630</v>
      </c>
      <c r="BY1044" s="89">
        <v>54540</v>
      </c>
      <c r="BZ1044" s="112">
        <v>50.248756218905477</v>
      </c>
    </row>
    <row r="1045" spans="1:89" x14ac:dyDescent="0.15">
      <c r="A1045" s="84">
        <v>2</v>
      </c>
      <c r="B1045" s="85">
        <v>43640</v>
      </c>
      <c r="C1045" s="85">
        <v>43641</v>
      </c>
      <c r="D1045" s="85">
        <v>43641</v>
      </c>
      <c r="E1045" s="85">
        <v>43641</v>
      </c>
      <c r="F1045" s="85" t="s">
        <v>338</v>
      </c>
      <c r="G1045" s="85">
        <v>43641</v>
      </c>
      <c r="H1045" s="85" t="s">
        <v>338</v>
      </c>
      <c r="I1045" s="84" t="s">
        <v>547</v>
      </c>
      <c r="J1045" s="84">
        <v>2</v>
      </c>
      <c r="L1045" s="84">
        <v>0</v>
      </c>
      <c r="M1045" s="85">
        <v>43630</v>
      </c>
      <c r="N1045" s="85" t="s">
        <v>265</v>
      </c>
      <c r="O1045" s="86" t="s">
        <v>340</v>
      </c>
      <c r="P1045" s="84" t="s">
        <v>6</v>
      </c>
      <c r="Q1045" s="86" t="s">
        <v>140</v>
      </c>
      <c r="R1045" s="86" t="s">
        <v>3031</v>
      </c>
      <c r="S1045" s="87" t="s">
        <v>1085</v>
      </c>
      <c r="T1045" s="87" t="s">
        <v>342</v>
      </c>
      <c r="U1045" s="88">
        <v>35000</v>
      </c>
      <c r="V1045" s="88">
        <v>37800</v>
      </c>
      <c r="W1045" s="88">
        <v>35000</v>
      </c>
      <c r="X1045" s="88">
        <v>37800</v>
      </c>
      <c r="Z1045" s="88">
        <v>0</v>
      </c>
      <c r="AA1045" s="85">
        <v>43637</v>
      </c>
      <c r="AB1045" s="85">
        <v>43637</v>
      </c>
      <c r="AD1045" s="84">
        <v>0</v>
      </c>
      <c r="AG1045" s="84">
        <v>0</v>
      </c>
      <c r="AJ1045" s="84">
        <v>0</v>
      </c>
      <c r="AR1045" s="85">
        <v>43637</v>
      </c>
      <c r="AS1045" s="84">
        <v>6001686375</v>
      </c>
      <c r="AT1045" s="85">
        <v>43637</v>
      </c>
      <c r="AU1045" s="84" t="s">
        <v>2933</v>
      </c>
      <c r="AV1045" s="85">
        <v>43641</v>
      </c>
      <c r="AW1045" s="123">
        <v>43646</v>
      </c>
      <c r="AX1045" s="123">
        <v>43666</v>
      </c>
      <c r="AY1045" s="132">
        <v>33600</v>
      </c>
      <c r="AZ1045" s="132">
        <f>ROUNDDOWN(AY1045+(AY1045*MASTER!$A$2/100),0)</f>
        <v>36288</v>
      </c>
      <c r="BA1045" s="84" t="s">
        <v>540</v>
      </c>
      <c r="BB1045" s="88">
        <v>33000</v>
      </c>
      <c r="BC1045" s="88">
        <v>35640</v>
      </c>
      <c r="BD1045" s="84" t="s">
        <v>2660</v>
      </c>
      <c r="BG1045" s="88">
        <v>0</v>
      </c>
      <c r="BK1045" s="88">
        <v>0</v>
      </c>
      <c r="BS1045" s="88">
        <v>0</v>
      </c>
      <c r="BV1045" s="89">
        <v>37800</v>
      </c>
      <c r="BW1045" s="89">
        <v>35640</v>
      </c>
      <c r="BX1045" s="89">
        <v>43630</v>
      </c>
      <c r="BY1045" s="89">
        <v>2160</v>
      </c>
      <c r="BZ1045" s="112">
        <v>5.7142857142857144</v>
      </c>
    </row>
    <row r="1046" spans="1:89" x14ac:dyDescent="0.15">
      <c r="A1046" s="84">
        <v>2</v>
      </c>
      <c r="B1046" s="85">
        <v>43640</v>
      </c>
      <c r="C1046" s="85">
        <v>43641</v>
      </c>
      <c r="D1046" s="85">
        <v>43634</v>
      </c>
      <c r="E1046" s="85">
        <v>43634</v>
      </c>
      <c r="F1046" s="85" t="s">
        <v>338</v>
      </c>
      <c r="G1046" s="85">
        <v>43634</v>
      </c>
      <c r="H1046" s="85" t="s">
        <v>338</v>
      </c>
      <c r="I1046" s="84" t="s">
        <v>380</v>
      </c>
      <c r="J1046" s="84">
        <v>2</v>
      </c>
      <c r="L1046" s="84">
        <v>0</v>
      </c>
      <c r="M1046" s="85">
        <v>43633</v>
      </c>
      <c r="N1046" s="85" t="s">
        <v>265</v>
      </c>
      <c r="O1046" s="86" t="s">
        <v>340</v>
      </c>
      <c r="P1046" s="84" t="s">
        <v>6</v>
      </c>
      <c r="Q1046" s="86" t="s">
        <v>140</v>
      </c>
      <c r="R1046" s="86" t="s">
        <v>3032</v>
      </c>
      <c r="S1046" s="87" t="s">
        <v>3033</v>
      </c>
      <c r="T1046" s="87" t="s">
        <v>342</v>
      </c>
      <c r="U1046" s="88">
        <v>35000</v>
      </c>
      <c r="V1046" s="88">
        <v>37800</v>
      </c>
      <c r="W1046" s="88">
        <v>35000</v>
      </c>
      <c r="X1046" s="88">
        <v>37800</v>
      </c>
      <c r="Z1046" s="88">
        <v>0</v>
      </c>
      <c r="AA1046" s="85">
        <v>43633</v>
      </c>
      <c r="AB1046" s="85">
        <v>43633</v>
      </c>
      <c r="AD1046" s="84">
        <v>0</v>
      </c>
      <c r="AG1046" s="84">
        <v>0</v>
      </c>
      <c r="AJ1046" s="84">
        <v>0</v>
      </c>
      <c r="AN1046" s="84" t="s">
        <v>338</v>
      </c>
      <c r="AR1046" s="85">
        <v>43637</v>
      </c>
      <c r="AS1046" s="84">
        <v>6001686375</v>
      </c>
      <c r="AT1046" s="85">
        <v>43637</v>
      </c>
      <c r="AU1046" s="84" t="s">
        <v>2933</v>
      </c>
      <c r="AV1046" s="85">
        <v>43641</v>
      </c>
      <c r="AW1046" s="123">
        <v>43646</v>
      </c>
      <c r="AX1046" s="123">
        <v>43666</v>
      </c>
      <c r="AY1046" s="132">
        <v>33600</v>
      </c>
      <c r="AZ1046" s="132">
        <f>ROUNDDOWN(AY1046+(AY1046*MASTER!$A$2/100),0)</f>
        <v>36288</v>
      </c>
      <c r="BA1046" s="84" t="s">
        <v>400</v>
      </c>
      <c r="BB1046" s="88">
        <v>42000</v>
      </c>
      <c r="BC1046" s="88">
        <v>45360</v>
      </c>
      <c r="BD1046" s="84" t="s">
        <v>2466</v>
      </c>
      <c r="BG1046" s="88">
        <v>0</v>
      </c>
      <c r="BK1046" s="88">
        <v>0</v>
      </c>
      <c r="BS1046" s="88">
        <v>0</v>
      </c>
      <c r="BV1046" s="89">
        <v>37800</v>
      </c>
      <c r="BW1046" s="89">
        <v>45360</v>
      </c>
      <c r="BX1046" s="89">
        <v>43633</v>
      </c>
      <c r="BY1046" s="89">
        <v>-7560</v>
      </c>
      <c r="BZ1046" s="112">
        <v>-20</v>
      </c>
      <c r="CK1046" s="88">
        <v>0</v>
      </c>
    </row>
    <row r="1047" spans="1:89" x14ac:dyDescent="0.15">
      <c r="A1047" s="84">
        <v>1</v>
      </c>
      <c r="C1047" s="85" t="s">
        <v>338</v>
      </c>
      <c r="F1047" s="85" t="s">
        <v>338</v>
      </c>
      <c r="H1047" s="85" t="s">
        <v>338</v>
      </c>
      <c r="J1047" s="84">
        <v>2</v>
      </c>
      <c r="L1047" s="84">
        <v>0</v>
      </c>
      <c r="M1047" s="85">
        <v>43633</v>
      </c>
      <c r="N1047" s="85" t="s">
        <v>264</v>
      </c>
      <c r="O1047" s="86" t="s">
        <v>340</v>
      </c>
      <c r="P1047" s="84" t="s">
        <v>272</v>
      </c>
      <c r="Q1047" s="86" t="s">
        <v>140</v>
      </c>
      <c r="R1047" s="86" t="s">
        <v>3034</v>
      </c>
      <c r="S1047" s="87" t="s">
        <v>387</v>
      </c>
      <c r="T1047" s="87" t="s">
        <v>3035</v>
      </c>
      <c r="U1047" s="88">
        <v>740000</v>
      </c>
      <c r="V1047" s="88">
        <v>799200</v>
      </c>
      <c r="W1047" s="88">
        <v>740000</v>
      </c>
      <c r="X1047" s="88">
        <v>799200</v>
      </c>
      <c r="Z1047" s="88">
        <v>0</v>
      </c>
      <c r="AD1047" s="84">
        <v>0</v>
      </c>
      <c r="AG1047" s="84">
        <v>0</v>
      </c>
      <c r="AJ1047" s="84">
        <v>0</v>
      </c>
      <c r="AR1047" s="85">
        <v>43641</v>
      </c>
      <c r="AS1047" s="84">
        <v>6001687685</v>
      </c>
      <c r="AT1047" s="85">
        <v>43641</v>
      </c>
      <c r="AU1047" s="84" t="s">
        <v>3036</v>
      </c>
      <c r="AV1047" s="85">
        <v>43644</v>
      </c>
      <c r="AW1047" s="123">
        <v>43646</v>
      </c>
      <c r="AX1047" s="123">
        <v>43666</v>
      </c>
      <c r="AY1047" s="140">
        <v>740000</v>
      </c>
      <c r="AZ1047" s="132">
        <f>ROUNDDOWN(AY1047+(AY1047*MASTER!$A$2/100),0)</f>
        <v>799200</v>
      </c>
      <c r="BC1047" s="88">
        <v>0</v>
      </c>
      <c r="BG1047" s="88">
        <v>0</v>
      </c>
      <c r="BK1047" s="88">
        <v>0</v>
      </c>
      <c r="BS1047" s="88">
        <v>0</v>
      </c>
      <c r="BV1047" s="89">
        <v>799200</v>
      </c>
      <c r="BW1047" s="89">
        <v>0</v>
      </c>
      <c r="BX1047" s="89">
        <v>43633</v>
      </c>
      <c r="BY1047" s="89">
        <v>799200</v>
      </c>
      <c r="BZ1047" s="112">
        <v>100</v>
      </c>
    </row>
    <row r="1048" spans="1:89" x14ac:dyDescent="0.15">
      <c r="A1048" s="84">
        <v>1</v>
      </c>
      <c r="B1048" s="85">
        <v>43675</v>
      </c>
      <c r="C1048" s="85">
        <v>43685</v>
      </c>
      <c r="F1048" s="85" t="s">
        <v>338</v>
      </c>
      <c r="H1048" s="85" t="s">
        <v>338</v>
      </c>
      <c r="J1048" s="84">
        <v>2</v>
      </c>
      <c r="L1048" s="84">
        <v>0</v>
      </c>
      <c r="M1048" s="85">
        <v>43633</v>
      </c>
      <c r="N1048" s="85" t="s">
        <v>265</v>
      </c>
      <c r="O1048" s="86" t="s">
        <v>340</v>
      </c>
      <c r="P1048" s="84" t="s">
        <v>272</v>
      </c>
      <c r="Q1048" s="86" t="s">
        <v>140</v>
      </c>
      <c r="R1048" s="86" t="s">
        <v>3037</v>
      </c>
      <c r="S1048" s="87" t="s">
        <v>558</v>
      </c>
      <c r="T1048" s="87" t="s">
        <v>1786</v>
      </c>
      <c r="U1048" s="88">
        <v>3000</v>
      </c>
      <c r="V1048" s="88">
        <v>3240</v>
      </c>
      <c r="W1048" s="88">
        <v>3000</v>
      </c>
      <c r="X1048" s="88">
        <v>3240</v>
      </c>
      <c r="Z1048" s="88">
        <v>0</v>
      </c>
      <c r="AA1048" s="85">
        <v>43628</v>
      </c>
      <c r="AD1048" s="84">
        <v>0</v>
      </c>
      <c r="AG1048" s="84">
        <v>0</v>
      </c>
      <c r="AJ1048" s="84">
        <v>0</v>
      </c>
      <c r="AR1048" s="85">
        <v>43657</v>
      </c>
      <c r="AS1048" s="84">
        <v>6001692766</v>
      </c>
      <c r="AT1048" s="85">
        <v>43662</v>
      </c>
      <c r="AU1048" s="84" t="s">
        <v>2964</v>
      </c>
      <c r="AV1048" s="85">
        <v>43685</v>
      </c>
      <c r="AW1048" s="123">
        <v>43708</v>
      </c>
      <c r="AX1048" s="123">
        <v>43728</v>
      </c>
      <c r="AY1048" s="132">
        <v>2880</v>
      </c>
      <c r="AZ1048" s="132">
        <f>ROUNDDOWN(AY1048+(AY1048*MASTER!$A$2/100),0)</f>
        <v>3110</v>
      </c>
      <c r="BC1048" s="88">
        <v>0</v>
      </c>
      <c r="BG1048" s="88">
        <v>0</v>
      </c>
      <c r="BK1048" s="88">
        <v>0</v>
      </c>
      <c r="BS1048" s="88">
        <v>0</v>
      </c>
      <c r="BV1048" s="89">
        <v>3240</v>
      </c>
      <c r="BW1048" s="89">
        <v>0</v>
      </c>
      <c r="BX1048" s="89">
        <v>43633</v>
      </c>
      <c r="BY1048" s="89">
        <v>3240</v>
      </c>
      <c r="BZ1048" s="112">
        <v>100</v>
      </c>
    </row>
    <row r="1049" spans="1:89" x14ac:dyDescent="0.15">
      <c r="A1049" s="84">
        <v>2</v>
      </c>
      <c r="B1049" s="85">
        <v>43647</v>
      </c>
      <c r="C1049" s="85">
        <v>43657</v>
      </c>
      <c r="D1049" s="85">
        <v>43663</v>
      </c>
      <c r="E1049" s="85">
        <v>43662</v>
      </c>
      <c r="F1049" s="85">
        <v>43664</v>
      </c>
      <c r="G1049" s="85">
        <v>43657</v>
      </c>
      <c r="H1049" s="85">
        <v>43660</v>
      </c>
      <c r="I1049" s="84" t="s">
        <v>1191</v>
      </c>
      <c r="J1049" s="84">
        <v>1</v>
      </c>
      <c r="L1049" s="84">
        <v>0</v>
      </c>
      <c r="M1049" s="85">
        <v>43634</v>
      </c>
      <c r="N1049" s="85" t="s">
        <v>265</v>
      </c>
      <c r="O1049" s="86" t="s">
        <v>340</v>
      </c>
      <c r="P1049" s="84" t="s">
        <v>26</v>
      </c>
      <c r="Q1049" s="86" t="s">
        <v>140</v>
      </c>
      <c r="R1049" s="86" t="s">
        <v>3038</v>
      </c>
      <c r="S1049" s="87" t="s">
        <v>1840</v>
      </c>
      <c r="T1049" s="87" t="s">
        <v>385</v>
      </c>
      <c r="U1049" s="88">
        <v>104200</v>
      </c>
      <c r="V1049" s="88">
        <v>112536</v>
      </c>
      <c r="W1049" s="88">
        <v>78000</v>
      </c>
      <c r="X1049" s="88">
        <v>84240</v>
      </c>
      <c r="Y1049" s="88">
        <v>26200</v>
      </c>
      <c r="Z1049" s="88">
        <v>28296</v>
      </c>
      <c r="AA1049" s="85">
        <v>43655</v>
      </c>
      <c r="AB1049" s="85">
        <v>43657</v>
      </c>
      <c r="AC1049" s="85">
        <v>43657</v>
      </c>
      <c r="AD1049" s="84">
        <v>0</v>
      </c>
      <c r="AG1049" s="84">
        <v>0</v>
      </c>
      <c r="AJ1049" s="84">
        <v>0</v>
      </c>
      <c r="AM1049" s="84" t="s">
        <v>290</v>
      </c>
      <c r="AN1049" s="84" t="s">
        <v>3039</v>
      </c>
      <c r="AR1049" s="85">
        <v>43643</v>
      </c>
      <c r="AS1049" s="84">
        <v>6001688665</v>
      </c>
      <c r="AT1049" s="85">
        <v>43643</v>
      </c>
      <c r="AU1049" s="84" t="s">
        <v>2997</v>
      </c>
      <c r="AV1049" s="85">
        <v>43657</v>
      </c>
      <c r="AW1049" s="123">
        <v>43677</v>
      </c>
      <c r="AX1049" s="123">
        <v>43697</v>
      </c>
      <c r="AY1049" s="132">
        <v>100032</v>
      </c>
      <c r="AZ1049" s="132">
        <v>108035</v>
      </c>
      <c r="BA1049" s="84" t="s">
        <v>14</v>
      </c>
      <c r="BB1049" s="88">
        <v>48800</v>
      </c>
      <c r="BC1049" s="88">
        <v>52704</v>
      </c>
      <c r="BD1049" s="84" t="s">
        <v>2637</v>
      </c>
      <c r="BG1049" s="88">
        <v>0</v>
      </c>
      <c r="BI1049" s="84" t="s">
        <v>276</v>
      </c>
      <c r="BJ1049" s="88">
        <v>17030</v>
      </c>
      <c r="BK1049" s="88">
        <v>18392.400000000001</v>
      </c>
      <c r="BL1049" s="84" t="s">
        <v>2660</v>
      </c>
      <c r="BS1049" s="88">
        <v>0</v>
      </c>
      <c r="BV1049" s="89">
        <v>84240</v>
      </c>
      <c r="BW1049" s="89">
        <v>71096.399999999994</v>
      </c>
      <c r="BX1049" s="89">
        <v>43634</v>
      </c>
      <c r="BY1049" s="89">
        <v>13143.6</v>
      </c>
      <c r="BZ1049" s="112">
        <v>15.602564102564109</v>
      </c>
    </row>
    <row r="1050" spans="1:89" x14ac:dyDescent="0.15">
      <c r="A1050" s="84">
        <v>2</v>
      </c>
      <c r="B1050" s="85">
        <v>43675</v>
      </c>
      <c r="C1050" s="85">
        <v>43686</v>
      </c>
      <c r="D1050" s="85">
        <v>43706</v>
      </c>
      <c r="E1050" s="85">
        <v>43741</v>
      </c>
      <c r="F1050" s="85">
        <v>43693</v>
      </c>
      <c r="G1050" s="85">
        <v>43696</v>
      </c>
      <c r="H1050" s="85">
        <v>43689</v>
      </c>
      <c r="I1050" s="84" t="s">
        <v>1191</v>
      </c>
      <c r="J1050" s="84">
        <v>1</v>
      </c>
      <c r="L1050" s="84">
        <v>0</v>
      </c>
      <c r="M1050" s="85">
        <v>43634</v>
      </c>
      <c r="N1050" s="85" t="s">
        <v>265</v>
      </c>
      <c r="O1050" s="86" t="s">
        <v>340</v>
      </c>
      <c r="P1050" s="84" t="s">
        <v>26</v>
      </c>
      <c r="Q1050" s="86" t="s">
        <v>140</v>
      </c>
      <c r="R1050" s="86" t="s">
        <v>3040</v>
      </c>
      <c r="S1050" s="87" t="s">
        <v>619</v>
      </c>
      <c r="T1050" s="87" t="s">
        <v>3041</v>
      </c>
      <c r="U1050" s="88">
        <v>1382400</v>
      </c>
      <c r="V1050" s="88">
        <v>1492992</v>
      </c>
      <c r="W1050" s="88">
        <v>1373200</v>
      </c>
      <c r="X1050" s="88">
        <v>1483056</v>
      </c>
      <c r="Y1050" s="88">
        <v>9200</v>
      </c>
      <c r="Z1050" s="88">
        <v>9936</v>
      </c>
      <c r="AA1050" s="85">
        <v>43684</v>
      </c>
      <c r="AB1050" s="85">
        <v>43686</v>
      </c>
      <c r="AC1050" s="85">
        <v>43686</v>
      </c>
      <c r="AD1050" s="84">
        <v>0</v>
      </c>
      <c r="AG1050" s="84">
        <v>0</v>
      </c>
      <c r="AJ1050" s="84">
        <v>0</v>
      </c>
      <c r="AM1050" s="84" t="s">
        <v>290</v>
      </c>
      <c r="AN1050" s="84" t="s">
        <v>3042</v>
      </c>
      <c r="AR1050" s="85">
        <v>43669</v>
      </c>
      <c r="AS1050" s="84">
        <v>6001696217</v>
      </c>
      <c r="AT1050" s="85">
        <v>43670</v>
      </c>
      <c r="AU1050" s="84" t="s">
        <v>3024</v>
      </c>
      <c r="AV1050" s="85">
        <v>43686</v>
      </c>
      <c r="AW1050" s="123">
        <v>43708</v>
      </c>
      <c r="AX1050" s="123">
        <v>43728</v>
      </c>
      <c r="AY1050" s="132">
        <v>1327104</v>
      </c>
      <c r="AZ1050" s="132">
        <f>ROUNDDOWN(AY1050+(AY1050*MASTER!$A$2/100),0)</f>
        <v>1433272</v>
      </c>
      <c r="BA1050" s="84" t="s">
        <v>287</v>
      </c>
      <c r="BB1050" s="88">
        <v>371100</v>
      </c>
      <c r="BC1050" s="88">
        <v>400788</v>
      </c>
      <c r="BD1050" s="84" t="s">
        <v>2849</v>
      </c>
      <c r="BG1050" s="88">
        <v>0</v>
      </c>
      <c r="BI1050" s="84" t="s">
        <v>434</v>
      </c>
      <c r="BJ1050" s="88">
        <v>5980</v>
      </c>
      <c r="BK1050" s="88">
        <v>6458.4</v>
      </c>
      <c r="BL1050" s="84" t="s">
        <v>2849</v>
      </c>
      <c r="BS1050" s="88">
        <v>0</v>
      </c>
      <c r="BV1050" s="89">
        <v>1483056</v>
      </c>
      <c r="BW1050" s="89">
        <v>407246.4</v>
      </c>
      <c r="BX1050" s="89">
        <v>43634</v>
      </c>
      <c r="BY1050" s="89">
        <v>1075809.6000000001</v>
      </c>
      <c r="BZ1050" s="112">
        <v>72.540052432274976</v>
      </c>
    </row>
    <row r="1051" spans="1:89" x14ac:dyDescent="0.15">
      <c r="A1051" s="84">
        <v>2</v>
      </c>
      <c r="B1051" s="85">
        <v>43663</v>
      </c>
      <c r="C1051" s="85">
        <v>43672</v>
      </c>
      <c r="D1051" s="85">
        <v>43706</v>
      </c>
      <c r="E1051" s="85">
        <v>43699</v>
      </c>
      <c r="F1051" s="85">
        <v>43679</v>
      </c>
      <c r="G1051" s="85">
        <v>43675</v>
      </c>
      <c r="H1051" s="85">
        <v>43675</v>
      </c>
      <c r="I1051" s="84" t="s">
        <v>1191</v>
      </c>
      <c r="J1051" s="84">
        <v>2</v>
      </c>
      <c r="L1051" s="84">
        <v>0</v>
      </c>
      <c r="M1051" s="85">
        <v>43634</v>
      </c>
      <c r="N1051" s="85" t="s">
        <v>265</v>
      </c>
      <c r="O1051" s="86" t="s">
        <v>340</v>
      </c>
      <c r="P1051" s="84" t="s">
        <v>26</v>
      </c>
      <c r="Q1051" s="86" t="s">
        <v>140</v>
      </c>
      <c r="R1051" s="86" t="s">
        <v>3043</v>
      </c>
      <c r="S1051" s="87" t="s">
        <v>921</v>
      </c>
      <c r="T1051" s="87" t="s">
        <v>3044</v>
      </c>
      <c r="U1051" s="88">
        <v>1314000</v>
      </c>
      <c r="V1051" s="88">
        <v>1419120</v>
      </c>
      <c r="W1051" s="88">
        <v>1314000</v>
      </c>
      <c r="X1051" s="88">
        <v>1419120</v>
      </c>
      <c r="Y1051" s="88">
        <v>0</v>
      </c>
      <c r="Z1051" s="88">
        <v>0</v>
      </c>
      <c r="AA1051" s="85">
        <v>43670</v>
      </c>
      <c r="AB1051" s="85">
        <v>43672</v>
      </c>
      <c r="AC1051" s="85">
        <v>43672</v>
      </c>
      <c r="AD1051" s="84">
        <v>0</v>
      </c>
      <c r="AG1051" s="84">
        <v>0</v>
      </c>
      <c r="AJ1051" s="84">
        <v>0</v>
      </c>
      <c r="AM1051" s="84" t="s">
        <v>290</v>
      </c>
      <c r="AN1051" s="84" t="s">
        <v>3045</v>
      </c>
      <c r="AR1051" s="85">
        <v>43658</v>
      </c>
      <c r="AS1051" s="84">
        <v>6001693222</v>
      </c>
      <c r="AT1051" s="85">
        <v>43658</v>
      </c>
      <c r="AU1051" s="84" t="s">
        <v>3046</v>
      </c>
      <c r="AV1051" s="85">
        <v>43672</v>
      </c>
      <c r="AW1051" s="123">
        <v>43677</v>
      </c>
      <c r="AX1051" s="123">
        <v>43697</v>
      </c>
      <c r="AY1051" s="132">
        <v>1261440</v>
      </c>
      <c r="AZ1051" s="132">
        <f>ROUNDDOWN(AY1051+(AY1051*MASTER!$A$2/100),0)</f>
        <v>1362355</v>
      </c>
      <c r="BA1051" s="84" t="s">
        <v>287</v>
      </c>
      <c r="BB1051" s="88">
        <v>341700</v>
      </c>
      <c r="BC1051" s="88">
        <v>369036</v>
      </c>
      <c r="BD1051" s="84" t="s">
        <v>2849</v>
      </c>
      <c r="BG1051" s="88">
        <v>0</v>
      </c>
      <c r="BK1051" s="88">
        <v>0</v>
      </c>
      <c r="BS1051" s="88">
        <v>0</v>
      </c>
      <c r="BV1051" s="89">
        <v>1419120</v>
      </c>
      <c r="BW1051" s="89">
        <v>369036</v>
      </c>
      <c r="BX1051" s="89">
        <v>43634</v>
      </c>
      <c r="BY1051" s="89">
        <v>1050084</v>
      </c>
      <c r="BZ1051" s="112">
        <v>73.995433789954333</v>
      </c>
    </row>
    <row r="1052" spans="1:89" x14ac:dyDescent="0.15">
      <c r="A1052" s="84">
        <v>1</v>
      </c>
      <c r="C1052" s="85" t="s">
        <v>338</v>
      </c>
      <c r="F1052" s="85" t="s">
        <v>338</v>
      </c>
      <c r="H1052" s="85" t="s">
        <v>338</v>
      </c>
      <c r="J1052" s="84">
        <v>3</v>
      </c>
      <c r="L1052" s="84">
        <v>0</v>
      </c>
      <c r="M1052" s="85">
        <v>43634</v>
      </c>
      <c r="N1052" s="85" t="s">
        <v>265</v>
      </c>
      <c r="O1052" s="86" t="s">
        <v>340</v>
      </c>
      <c r="P1052" s="84" t="s">
        <v>26</v>
      </c>
      <c r="Q1052" s="86" t="s">
        <v>140</v>
      </c>
      <c r="R1052" s="86" t="s">
        <v>3047</v>
      </c>
      <c r="S1052" s="87" t="s">
        <v>351</v>
      </c>
      <c r="T1052" s="87" t="s">
        <v>3048</v>
      </c>
      <c r="U1052" s="88">
        <v>87500</v>
      </c>
      <c r="V1052" s="88">
        <v>94500</v>
      </c>
      <c r="X1052" s="88">
        <v>0</v>
      </c>
      <c r="Y1052" s="88">
        <v>87500</v>
      </c>
      <c r="Z1052" s="88">
        <v>94500</v>
      </c>
      <c r="AD1052" s="84">
        <v>0</v>
      </c>
      <c r="AG1052" s="84">
        <v>0</v>
      </c>
      <c r="AJ1052" s="84">
        <v>0</v>
      </c>
      <c r="AY1052" s="132">
        <f>ROUNDDOWN((0.96*U1052),0)</f>
        <v>84000</v>
      </c>
      <c r="AZ1052" s="132">
        <f>ROUNDDOWN(AY1052+(AY1052*MASTER!$A$2/100),0)</f>
        <v>90720</v>
      </c>
      <c r="BC1052" s="88">
        <v>0</v>
      </c>
      <c r="BG1052" s="88">
        <v>0</v>
      </c>
      <c r="BK1052" s="88">
        <v>0</v>
      </c>
      <c r="BS1052" s="88">
        <v>0</v>
      </c>
      <c r="BV1052" s="89">
        <v>0</v>
      </c>
      <c r="BW1052" s="89">
        <v>0</v>
      </c>
      <c r="BX1052" s="89">
        <v>43634</v>
      </c>
      <c r="BY1052" s="89">
        <v>0</v>
      </c>
      <c r="BZ1052" s="112" t="s">
        <v>338</v>
      </c>
      <c r="CD1052" s="87" t="s">
        <v>3049</v>
      </c>
    </row>
    <row r="1053" spans="1:89" x14ac:dyDescent="0.15">
      <c r="A1053" s="84">
        <v>2</v>
      </c>
      <c r="B1053" s="85">
        <v>43643</v>
      </c>
      <c r="C1053" s="85">
        <v>43642</v>
      </c>
      <c r="D1053" s="85">
        <v>43636</v>
      </c>
      <c r="E1053" s="85">
        <v>43636</v>
      </c>
      <c r="F1053" s="85" t="s">
        <v>338</v>
      </c>
      <c r="G1053" s="85">
        <v>43636</v>
      </c>
      <c r="H1053" s="85" t="s">
        <v>338</v>
      </c>
      <c r="I1053" s="84" t="s">
        <v>380</v>
      </c>
      <c r="J1053" s="84">
        <v>2</v>
      </c>
      <c r="L1053" s="84">
        <v>0</v>
      </c>
      <c r="M1053" s="85">
        <v>43635</v>
      </c>
      <c r="N1053" s="85" t="s">
        <v>265</v>
      </c>
      <c r="O1053" s="86" t="s">
        <v>340</v>
      </c>
      <c r="P1053" s="84" t="s">
        <v>6</v>
      </c>
      <c r="Q1053" s="86" t="s">
        <v>140</v>
      </c>
      <c r="R1053" s="86" t="s">
        <v>3050</v>
      </c>
      <c r="S1053" s="87" t="s">
        <v>1324</v>
      </c>
      <c r="T1053" s="87" t="s">
        <v>342</v>
      </c>
      <c r="U1053" s="88">
        <v>35000</v>
      </c>
      <c r="V1053" s="88">
        <v>37800</v>
      </c>
      <c r="W1053" s="88">
        <v>35000</v>
      </c>
      <c r="X1053" s="88">
        <v>37800</v>
      </c>
      <c r="Z1053" s="88">
        <v>0</v>
      </c>
      <c r="AA1053" s="85">
        <v>43635</v>
      </c>
      <c r="AB1053" s="85">
        <v>43635</v>
      </c>
      <c r="AD1053" s="84">
        <v>0</v>
      </c>
      <c r="AG1053" s="84">
        <v>0</v>
      </c>
      <c r="AJ1053" s="84">
        <v>0</v>
      </c>
      <c r="AN1053" s="84" t="s">
        <v>338</v>
      </c>
      <c r="AR1053" s="85">
        <v>43641</v>
      </c>
      <c r="AS1053" s="84">
        <v>6001687992</v>
      </c>
      <c r="AT1053" s="85">
        <v>43642</v>
      </c>
      <c r="AU1053" s="84" t="s">
        <v>3051</v>
      </c>
      <c r="AV1053" s="85">
        <v>43642</v>
      </c>
      <c r="AW1053" s="123">
        <v>43646</v>
      </c>
      <c r="AX1053" s="123">
        <v>43666</v>
      </c>
      <c r="AY1053" s="132">
        <v>33600</v>
      </c>
      <c r="AZ1053" s="132">
        <f>ROUNDDOWN(AY1053+(AY1053*MASTER!$A$2/100),0)</f>
        <v>36288</v>
      </c>
      <c r="BA1053" s="84" t="s">
        <v>543</v>
      </c>
      <c r="BB1053" s="88">
        <v>26000</v>
      </c>
      <c r="BC1053" s="88">
        <v>28080</v>
      </c>
      <c r="BD1053" s="84" t="s">
        <v>2466</v>
      </c>
      <c r="BG1053" s="88">
        <v>0</v>
      </c>
      <c r="BK1053" s="88">
        <v>0</v>
      </c>
      <c r="BS1053" s="88">
        <v>0</v>
      </c>
      <c r="BV1053" s="89">
        <v>37800</v>
      </c>
      <c r="BW1053" s="89">
        <v>28080</v>
      </c>
      <c r="BX1053" s="89">
        <v>43635</v>
      </c>
      <c r="BY1053" s="89">
        <v>9720</v>
      </c>
      <c r="BZ1053" s="112">
        <v>25.714285714285712</v>
      </c>
      <c r="CK1053" s="88">
        <v>0</v>
      </c>
    </row>
    <row r="1054" spans="1:89" x14ac:dyDescent="0.15">
      <c r="A1054" s="84">
        <v>2</v>
      </c>
      <c r="B1054" s="85">
        <v>43663</v>
      </c>
      <c r="C1054" s="85">
        <v>43668</v>
      </c>
      <c r="D1054" s="85" t="s">
        <v>374</v>
      </c>
      <c r="E1054" s="85">
        <v>43675</v>
      </c>
      <c r="F1054" s="85">
        <v>43675</v>
      </c>
      <c r="G1054" s="85">
        <v>43671</v>
      </c>
      <c r="H1054" s="85">
        <v>43671</v>
      </c>
      <c r="I1054" s="84" t="s">
        <v>1191</v>
      </c>
      <c r="J1054" s="84">
        <v>1</v>
      </c>
      <c r="L1054" s="84">
        <v>0</v>
      </c>
      <c r="M1054" s="85">
        <v>43635</v>
      </c>
      <c r="N1054" s="85" t="s">
        <v>265</v>
      </c>
      <c r="O1054" s="86" t="s">
        <v>340</v>
      </c>
      <c r="P1054" s="84" t="s">
        <v>26</v>
      </c>
      <c r="Q1054" s="86" t="s">
        <v>140</v>
      </c>
      <c r="R1054" s="86" t="s">
        <v>3052</v>
      </c>
      <c r="S1054" s="87" t="s">
        <v>2878</v>
      </c>
      <c r="T1054" s="87" t="s">
        <v>3053</v>
      </c>
      <c r="U1054" s="88">
        <v>23900</v>
      </c>
      <c r="V1054" s="88">
        <v>25812</v>
      </c>
      <c r="W1054" s="88">
        <v>14700</v>
      </c>
      <c r="X1054" s="88">
        <v>15876</v>
      </c>
      <c r="Y1054" s="88">
        <v>9200</v>
      </c>
      <c r="Z1054" s="88">
        <v>9936</v>
      </c>
      <c r="AA1054" s="85">
        <v>43667</v>
      </c>
      <c r="AB1054" s="85">
        <v>43668</v>
      </c>
      <c r="AC1054" s="85">
        <v>43668</v>
      </c>
      <c r="AD1054" s="84">
        <v>0</v>
      </c>
      <c r="AG1054" s="84">
        <v>0</v>
      </c>
      <c r="AJ1054" s="84">
        <v>0</v>
      </c>
      <c r="AM1054" s="84" t="s">
        <v>290</v>
      </c>
      <c r="AN1054" s="84" t="s">
        <v>3054</v>
      </c>
      <c r="AR1054" s="85">
        <v>43662</v>
      </c>
      <c r="AS1054" s="84">
        <v>6001693590</v>
      </c>
      <c r="AT1054" s="85">
        <v>43662</v>
      </c>
      <c r="AU1054" s="84" t="s">
        <v>3055</v>
      </c>
      <c r="AV1054" s="85">
        <v>43668</v>
      </c>
      <c r="AW1054" s="123">
        <v>43677</v>
      </c>
      <c r="AX1054" s="123">
        <v>43697</v>
      </c>
      <c r="AY1054" s="132">
        <v>22944</v>
      </c>
      <c r="AZ1054" s="132">
        <v>24780</v>
      </c>
      <c r="BA1054" s="84" t="s">
        <v>778</v>
      </c>
      <c r="BC1054" s="88">
        <v>0</v>
      </c>
      <c r="BG1054" s="88">
        <v>0</v>
      </c>
      <c r="BI1054" s="84" t="s">
        <v>276</v>
      </c>
      <c r="BJ1054" s="88">
        <v>5980</v>
      </c>
      <c r="BK1054" s="88">
        <v>6458.4</v>
      </c>
      <c r="BL1054" s="84" t="s">
        <v>2849</v>
      </c>
      <c r="BS1054" s="88">
        <v>0</v>
      </c>
      <c r="BV1054" s="89">
        <v>15876</v>
      </c>
      <c r="BW1054" s="89">
        <v>6458.4</v>
      </c>
      <c r="BX1054" s="89">
        <v>43635</v>
      </c>
      <c r="BY1054" s="89">
        <v>9417.6</v>
      </c>
      <c r="BZ1054" s="112">
        <v>59.319727891156461</v>
      </c>
      <c r="CK1054" s="88">
        <v>0</v>
      </c>
    </row>
    <row r="1055" spans="1:89" x14ac:dyDescent="0.15">
      <c r="A1055" s="84">
        <v>2</v>
      </c>
      <c r="B1055" s="85">
        <v>43662</v>
      </c>
      <c r="C1055" s="85">
        <v>43668</v>
      </c>
      <c r="E1055" s="85">
        <v>43670</v>
      </c>
      <c r="F1055" s="85">
        <v>43675</v>
      </c>
      <c r="G1055" s="85">
        <v>43668</v>
      </c>
      <c r="H1055" s="85">
        <v>43671</v>
      </c>
      <c r="I1055" s="84" t="s">
        <v>401</v>
      </c>
      <c r="J1055" s="84">
        <v>1</v>
      </c>
      <c r="L1055" s="84">
        <v>0</v>
      </c>
      <c r="M1055" s="85">
        <v>43635</v>
      </c>
      <c r="N1055" s="85" t="s">
        <v>265</v>
      </c>
      <c r="O1055" s="86" t="s">
        <v>340</v>
      </c>
      <c r="P1055" s="84" t="s">
        <v>26</v>
      </c>
      <c r="Q1055" s="86" t="s">
        <v>140</v>
      </c>
      <c r="R1055" s="86" t="s">
        <v>3056</v>
      </c>
      <c r="S1055" s="87" t="s">
        <v>830</v>
      </c>
      <c r="T1055" s="87" t="s">
        <v>3057</v>
      </c>
      <c r="U1055" s="88">
        <v>166500</v>
      </c>
      <c r="V1055" s="88">
        <v>179820</v>
      </c>
      <c r="W1055" s="88">
        <v>78000</v>
      </c>
      <c r="X1055" s="88">
        <v>84240</v>
      </c>
      <c r="Y1055" s="88">
        <v>88500</v>
      </c>
      <c r="Z1055" s="88">
        <v>95580</v>
      </c>
      <c r="AA1055" s="85">
        <v>43667</v>
      </c>
      <c r="AB1055" s="85">
        <v>43668</v>
      </c>
      <c r="AC1055" s="85">
        <v>43668</v>
      </c>
      <c r="AD1055" s="84">
        <v>0</v>
      </c>
      <c r="AG1055" s="84">
        <v>0</v>
      </c>
      <c r="AJ1055" s="84">
        <v>0</v>
      </c>
      <c r="AM1055" s="84" t="s">
        <v>290</v>
      </c>
      <c r="AN1055" s="84" t="s">
        <v>3058</v>
      </c>
      <c r="AR1055" s="85">
        <v>43643</v>
      </c>
      <c r="AS1055" s="84">
        <v>6001688665</v>
      </c>
      <c r="AT1055" s="85">
        <v>43643</v>
      </c>
      <c r="AU1055" s="84" t="s">
        <v>2997</v>
      </c>
      <c r="AV1055" s="85">
        <v>43668</v>
      </c>
      <c r="AW1055" s="123">
        <v>43677</v>
      </c>
      <c r="AX1055" s="123">
        <v>43697</v>
      </c>
      <c r="AY1055" s="132">
        <v>159840</v>
      </c>
      <c r="AZ1055" s="132">
        <f>ROUNDDOWN(AY1055+(AY1055*MASTER!$A$2/100),0)</f>
        <v>172627</v>
      </c>
      <c r="BA1055" s="84" t="s">
        <v>745</v>
      </c>
      <c r="BB1055" s="88">
        <v>28000</v>
      </c>
      <c r="BC1055" s="88">
        <v>30240</v>
      </c>
      <c r="BD1055" s="84" t="s">
        <v>2637</v>
      </c>
      <c r="BG1055" s="88">
        <v>0</v>
      </c>
      <c r="BI1055" s="84" t="s">
        <v>276</v>
      </c>
      <c r="BJ1055" s="88">
        <v>57525</v>
      </c>
      <c r="BK1055" s="88">
        <v>62127</v>
      </c>
      <c r="BL1055" s="84" t="s">
        <v>3158</v>
      </c>
      <c r="BS1055" s="88">
        <v>0</v>
      </c>
      <c r="BV1055" s="89">
        <v>84240</v>
      </c>
      <c r="BW1055" s="89">
        <v>92367</v>
      </c>
      <c r="BX1055" s="89">
        <v>43635</v>
      </c>
      <c r="BY1055" s="89">
        <v>-8127</v>
      </c>
      <c r="BZ1055" s="112">
        <v>-9.6474358974358978</v>
      </c>
      <c r="CK1055" s="88">
        <v>0</v>
      </c>
    </row>
    <row r="1056" spans="1:89" x14ac:dyDescent="0.15">
      <c r="A1056" s="84">
        <v>2</v>
      </c>
      <c r="B1056" s="85">
        <v>43650</v>
      </c>
      <c r="C1056" s="85">
        <v>43668</v>
      </c>
      <c r="D1056" s="85" t="s">
        <v>374</v>
      </c>
      <c r="E1056" s="85">
        <v>43670</v>
      </c>
      <c r="F1056" s="85">
        <v>43675</v>
      </c>
      <c r="G1056" s="85">
        <v>43671</v>
      </c>
      <c r="H1056" s="85">
        <v>43671</v>
      </c>
      <c r="I1056" s="84" t="s">
        <v>401</v>
      </c>
      <c r="J1056" s="84">
        <v>1</v>
      </c>
      <c r="L1056" s="84">
        <v>0</v>
      </c>
      <c r="M1056" s="85">
        <v>43635</v>
      </c>
      <c r="N1056" s="85" t="s">
        <v>265</v>
      </c>
      <c r="O1056" s="86" t="s">
        <v>340</v>
      </c>
      <c r="P1056" s="84" t="s">
        <v>26</v>
      </c>
      <c r="Q1056" s="86" t="s">
        <v>140</v>
      </c>
      <c r="R1056" s="86" t="s">
        <v>3059</v>
      </c>
      <c r="S1056" s="87" t="s">
        <v>3060</v>
      </c>
      <c r="T1056" s="87" t="s">
        <v>763</v>
      </c>
      <c r="U1056" s="88">
        <v>23900</v>
      </c>
      <c r="V1056" s="88">
        <v>25812</v>
      </c>
      <c r="W1056" s="88">
        <v>14700</v>
      </c>
      <c r="X1056" s="88">
        <v>15876</v>
      </c>
      <c r="Y1056" s="88">
        <v>9200</v>
      </c>
      <c r="Z1056" s="88">
        <v>9936</v>
      </c>
      <c r="AA1056" s="85">
        <v>43667</v>
      </c>
      <c r="AB1056" s="85">
        <v>43668</v>
      </c>
      <c r="AC1056" s="85">
        <v>43668</v>
      </c>
      <c r="AD1056" s="84">
        <v>0</v>
      </c>
      <c r="AG1056" s="84">
        <v>0</v>
      </c>
      <c r="AJ1056" s="84">
        <v>0</v>
      </c>
      <c r="AM1056" s="84" t="s">
        <v>290</v>
      </c>
      <c r="AN1056" s="84" t="s">
        <v>3061</v>
      </c>
      <c r="AR1056" s="85">
        <v>43649</v>
      </c>
      <c r="AS1056" s="84">
        <v>6001690025</v>
      </c>
      <c r="AT1056" s="85">
        <v>43649</v>
      </c>
      <c r="AU1056" s="84" t="s">
        <v>2987</v>
      </c>
      <c r="AV1056" s="85">
        <v>43668</v>
      </c>
      <c r="AW1056" s="123">
        <v>43677</v>
      </c>
      <c r="AX1056" s="123">
        <v>43697</v>
      </c>
      <c r="AY1056" s="132">
        <v>22944</v>
      </c>
      <c r="AZ1056" s="132">
        <v>24780</v>
      </c>
      <c r="BA1056" s="84" t="s">
        <v>778</v>
      </c>
      <c r="BC1056" s="88">
        <v>0</v>
      </c>
      <c r="BG1056" s="88">
        <v>0</v>
      </c>
      <c r="BI1056" s="84" t="s">
        <v>276</v>
      </c>
      <c r="BJ1056" s="88">
        <v>5980</v>
      </c>
      <c r="BK1056" s="88">
        <v>6458.4</v>
      </c>
      <c r="BL1056" s="84" t="s">
        <v>3158</v>
      </c>
      <c r="BS1056" s="88">
        <v>0</v>
      </c>
      <c r="BV1056" s="89">
        <v>15876</v>
      </c>
      <c r="BW1056" s="89">
        <v>6458.4</v>
      </c>
      <c r="BX1056" s="89">
        <v>43635</v>
      </c>
      <c r="BY1056" s="89">
        <v>9417.6</v>
      </c>
      <c r="BZ1056" s="112">
        <v>59.319727891156461</v>
      </c>
      <c r="CK1056" s="88">
        <v>0</v>
      </c>
    </row>
    <row r="1057" spans="1:89" x14ac:dyDescent="0.15">
      <c r="A1057" s="84">
        <v>1</v>
      </c>
      <c r="B1057" s="85">
        <v>43640</v>
      </c>
      <c r="C1057" s="85">
        <v>43647</v>
      </c>
      <c r="F1057" s="85" t="s">
        <v>338</v>
      </c>
      <c r="H1057" s="85" t="s">
        <v>338</v>
      </c>
      <c r="J1057" s="84">
        <v>2</v>
      </c>
      <c r="L1057" s="84">
        <v>0</v>
      </c>
      <c r="M1057" s="85">
        <v>43635</v>
      </c>
      <c r="N1057" s="85" t="s">
        <v>265</v>
      </c>
      <c r="O1057" s="86" t="s">
        <v>340</v>
      </c>
      <c r="P1057" s="84" t="s">
        <v>78</v>
      </c>
      <c r="Q1057" s="86" t="s">
        <v>140</v>
      </c>
      <c r="R1057" s="86" t="s">
        <v>3062</v>
      </c>
      <c r="S1057" s="87" t="s">
        <v>928</v>
      </c>
      <c r="T1057" s="87" t="s">
        <v>726</v>
      </c>
      <c r="U1057" s="88">
        <v>65000</v>
      </c>
      <c r="V1057" s="88">
        <v>70200</v>
      </c>
      <c r="W1057" s="88">
        <v>65000</v>
      </c>
      <c r="X1057" s="88">
        <v>70200</v>
      </c>
      <c r="Z1057" s="88">
        <v>0</v>
      </c>
      <c r="AA1057" s="85">
        <v>43646</v>
      </c>
      <c r="AB1057" s="85">
        <v>43647</v>
      </c>
      <c r="AD1057" s="84">
        <v>0</v>
      </c>
      <c r="AG1057" s="84">
        <v>0</v>
      </c>
      <c r="AJ1057" s="84">
        <v>0</v>
      </c>
      <c r="AN1057" s="84" t="s">
        <v>338</v>
      </c>
      <c r="AR1057" s="85">
        <v>43637</v>
      </c>
      <c r="AS1057" s="84">
        <v>6001686375</v>
      </c>
      <c r="AT1057" s="85">
        <v>43637</v>
      </c>
      <c r="AU1057" s="84" t="s">
        <v>2933</v>
      </c>
      <c r="AV1057" s="85">
        <v>43647</v>
      </c>
      <c r="AW1057" s="123">
        <v>43677</v>
      </c>
      <c r="AX1057" s="123">
        <v>43697</v>
      </c>
      <c r="AY1057" s="132">
        <v>62400</v>
      </c>
      <c r="AZ1057" s="132">
        <f>ROUNDDOWN(AY1057+(AY1057*MASTER!$A$2/100),0)</f>
        <v>67392</v>
      </c>
      <c r="BC1057" s="88">
        <v>0</v>
      </c>
      <c r="BG1057" s="88">
        <v>0</v>
      </c>
      <c r="BK1057" s="88">
        <v>0</v>
      </c>
      <c r="BS1057" s="88">
        <v>0</v>
      </c>
      <c r="BV1057" s="89">
        <v>70200</v>
      </c>
      <c r="BW1057" s="89">
        <v>0</v>
      </c>
      <c r="BX1057" s="89">
        <v>43635</v>
      </c>
      <c r="BY1057" s="89">
        <v>70200</v>
      </c>
      <c r="BZ1057" s="112">
        <v>100</v>
      </c>
      <c r="CK1057" s="88">
        <v>0</v>
      </c>
    </row>
    <row r="1058" spans="1:89" x14ac:dyDescent="0.15">
      <c r="A1058" s="84">
        <v>2</v>
      </c>
      <c r="B1058" s="85">
        <v>43648</v>
      </c>
      <c r="C1058" s="85">
        <v>43648</v>
      </c>
      <c r="D1058" s="85">
        <v>43635</v>
      </c>
      <c r="E1058" s="85">
        <v>43635</v>
      </c>
      <c r="F1058" s="85" t="s">
        <v>338</v>
      </c>
      <c r="G1058" s="85">
        <v>43635</v>
      </c>
      <c r="H1058" s="85" t="s">
        <v>338</v>
      </c>
      <c r="I1058" s="84" t="s">
        <v>380</v>
      </c>
      <c r="J1058" s="84">
        <v>2</v>
      </c>
      <c r="L1058" s="84">
        <v>0</v>
      </c>
      <c r="M1058" s="85">
        <v>43635</v>
      </c>
      <c r="N1058" s="85" t="s">
        <v>265</v>
      </c>
      <c r="O1058" s="86" t="s">
        <v>340</v>
      </c>
      <c r="P1058" s="84" t="s">
        <v>6</v>
      </c>
      <c r="Q1058" s="86" t="s">
        <v>140</v>
      </c>
      <c r="R1058" s="86" t="s">
        <v>3063</v>
      </c>
      <c r="S1058" s="87" t="s">
        <v>1717</v>
      </c>
      <c r="T1058" s="87" t="s">
        <v>342</v>
      </c>
      <c r="U1058" s="88">
        <v>35000</v>
      </c>
      <c r="V1058" s="88">
        <v>37800</v>
      </c>
      <c r="W1058" s="88">
        <v>35000</v>
      </c>
      <c r="X1058" s="88">
        <v>37800</v>
      </c>
      <c r="Z1058" s="88">
        <v>0</v>
      </c>
      <c r="AA1058" s="85">
        <v>43635</v>
      </c>
      <c r="AB1058" s="85">
        <v>43635</v>
      </c>
      <c r="AD1058" s="84">
        <v>0</v>
      </c>
      <c r="AG1058" s="84">
        <v>0</v>
      </c>
      <c r="AJ1058" s="84">
        <v>0</v>
      </c>
      <c r="AR1058" s="85">
        <v>43644</v>
      </c>
      <c r="AS1058" s="84">
        <v>6001689037</v>
      </c>
      <c r="AT1058" s="85">
        <v>43647</v>
      </c>
      <c r="AU1058" s="84" t="s">
        <v>3064</v>
      </c>
      <c r="AV1058" s="85">
        <v>43648</v>
      </c>
      <c r="AW1058" s="123">
        <v>43677</v>
      </c>
      <c r="AX1058" s="123">
        <v>43697</v>
      </c>
      <c r="AY1058" s="132">
        <v>33600</v>
      </c>
      <c r="AZ1058" s="132">
        <f>ROUNDDOWN(AY1058+(AY1058*MASTER!$A$2/100),0)</f>
        <v>36288</v>
      </c>
      <c r="BA1058" s="84" t="s">
        <v>287</v>
      </c>
      <c r="BB1058" s="88">
        <v>21000</v>
      </c>
      <c r="BC1058" s="88">
        <v>22680</v>
      </c>
      <c r="BD1058" s="84" t="s">
        <v>2466</v>
      </c>
      <c r="BG1058" s="88">
        <v>0</v>
      </c>
      <c r="BK1058" s="88">
        <v>0</v>
      </c>
      <c r="BS1058" s="88">
        <v>0</v>
      </c>
      <c r="BV1058" s="89">
        <v>37800</v>
      </c>
      <c r="BW1058" s="89">
        <v>22680</v>
      </c>
      <c r="BX1058" s="89">
        <v>43635</v>
      </c>
      <c r="BY1058" s="89">
        <v>15120</v>
      </c>
      <c r="BZ1058" s="112">
        <v>40</v>
      </c>
    </row>
    <row r="1059" spans="1:89" x14ac:dyDescent="0.15">
      <c r="A1059" s="84">
        <v>2</v>
      </c>
      <c r="B1059" s="85">
        <v>43643</v>
      </c>
      <c r="C1059" s="85">
        <v>43642</v>
      </c>
      <c r="D1059" s="85">
        <v>43641</v>
      </c>
      <c r="E1059" s="85">
        <v>43641</v>
      </c>
      <c r="F1059" s="85" t="s">
        <v>338</v>
      </c>
      <c r="G1059" s="85">
        <v>43641</v>
      </c>
      <c r="H1059" s="85" t="s">
        <v>338</v>
      </c>
      <c r="I1059" s="84" t="s">
        <v>380</v>
      </c>
      <c r="J1059" s="84">
        <v>2</v>
      </c>
      <c r="L1059" s="84">
        <v>0</v>
      </c>
      <c r="M1059" s="85">
        <v>43635</v>
      </c>
      <c r="N1059" s="85" t="s">
        <v>265</v>
      </c>
      <c r="O1059" s="86" t="s">
        <v>340</v>
      </c>
      <c r="P1059" s="84" t="s">
        <v>6</v>
      </c>
      <c r="Q1059" s="86" t="s">
        <v>140</v>
      </c>
      <c r="R1059" s="86" t="s">
        <v>3065</v>
      </c>
      <c r="S1059" s="87" t="s">
        <v>3066</v>
      </c>
      <c r="T1059" s="87" t="s">
        <v>342</v>
      </c>
      <c r="U1059" s="88">
        <v>35000</v>
      </c>
      <c r="V1059" s="88">
        <v>37800</v>
      </c>
      <c r="W1059" s="88">
        <v>35000</v>
      </c>
      <c r="X1059" s="88">
        <v>37800</v>
      </c>
      <c r="Z1059" s="88">
        <v>0</v>
      </c>
      <c r="AA1059" s="85">
        <v>43640</v>
      </c>
      <c r="AB1059" s="85">
        <v>43640</v>
      </c>
      <c r="AD1059" s="84">
        <v>0</v>
      </c>
      <c r="AG1059" s="84">
        <v>0</v>
      </c>
      <c r="AJ1059" s="84">
        <v>0</v>
      </c>
      <c r="AR1059" s="85">
        <v>43641</v>
      </c>
      <c r="AS1059" s="84">
        <v>6001687992</v>
      </c>
      <c r="AT1059" s="85">
        <v>43642</v>
      </c>
      <c r="AU1059" s="84" t="s">
        <v>3051</v>
      </c>
      <c r="AV1059" s="85">
        <v>43642</v>
      </c>
      <c r="AW1059" s="123">
        <v>43646</v>
      </c>
      <c r="AX1059" s="123">
        <v>43666</v>
      </c>
      <c r="AY1059" s="132">
        <v>33600</v>
      </c>
      <c r="AZ1059" s="132">
        <f>ROUNDDOWN(AY1059+(AY1059*MASTER!$A$2/100),0)</f>
        <v>36288</v>
      </c>
      <c r="BA1059" s="84" t="s">
        <v>287</v>
      </c>
      <c r="BB1059" s="88">
        <v>27000</v>
      </c>
      <c r="BC1059" s="88">
        <v>29160</v>
      </c>
      <c r="BD1059" s="84" t="s">
        <v>2637</v>
      </c>
      <c r="BG1059" s="88">
        <v>0</v>
      </c>
      <c r="BK1059" s="88">
        <v>0</v>
      </c>
      <c r="BS1059" s="88">
        <v>0</v>
      </c>
      <c r="BV1059" s="89">
        <v>37800</v>
      </c>
      <c r="BW1059" s="89">
        <v>29160</v>
      </c>
      <c r="BX1059" s="89">
        <v>43635</v>
      </c>
      <c r="BY1059" s="89">
        <v>8640</v>
      </c>
      <c r="BZ1059" s="112">
        <v>22.857142857142858</v>
      </c>
    </row>
    <row r="1060" spans="1:89" x14ac:dyDescent="0.15">
      <c r="A1060" s="84">
        <v>2</v>
      </c>
      <c r="B1060" s="85">
        <v>43657</v>
      </c>
      <c r="C1060" s="85">
        <v>43666</v>
      </c>
      <c r="F1060" s="85">
        <v>43673</v>
      </c>
      <c r="G1060" s="85">
        <v>43668</v>
      </c>
      <c r="H1060" s="85">
        <v>43669</v>
      </c>
      <c r="I1060" s="84" t="s">
        <v>401</v>
      </c>
      <c r="J1060" s="84">
        <v>2</v>
      </c>
      <c r="L1060" s="84">
        <v>0</v>
      </c>
      <c r="M1060" s="85">
        <v>43636</v>
      </c>
      <c r="N1060" s="85" t="s">
        <v>265</v>
      </c>
      <c r="O1060" s="86" t="s">
        <v>340</v>
      </c>
      <c r="P1060" s="84" t="s">
        <v>26</v>
      </c>
      <c r="Q1060" s="86" t="s">
        <v>140</v>
      </c>
      <c r="R1060" s="86" t="s">
        <v>3067</v>
      </c>
      <c r="S1060" s="87" t="s">
        <v>3068</v>
      </c>
      <c r="T1060" s="87" t="s">
        <v>3069</v>
      </c>
      <c r="U1060" s="88">
        <v>207000</v>
      </c>
      <c r="V1060" s="88">
        <v>223560</v>
      </c>
      <c r="W1060" s="88">
        <v>207000</v>
      </c>
      <c r="X1060" s="88">
        <v>223560</v>
      </c>
      <c r="Z1060" s="88">
        <v>0</v>
      </c>
      <c r="AA1060" s="85">
        <v>43665</v>
      </c>
      <c r="AB1060" s="85">
        <v>43666</v>
      </c>
      <c r="AC1060" s="85">
        <v>43666</v>
      </c>
      <c r="AD1060" s="84">
        <v>0</v>
      </c>
      <c r="AG1060" s="84">
        <v>0</v>
      </c>
      <c r="AJ1060" s="84">
        <v>0</v>
      </c>
      <c r="AM1060" s="84" t="s">
        <v>290</v>
      </c>
      <c r="AN1060" s="84" t="s">
        <v>3070</v>
      </c>
      <c r="AR1060" s="85">
        <v>43655</v>
      </c>
      <c r="AS1060" s="84">
        <v>6001691923</v>
      </c>
      <c r="AT1060" s="85">
        <v>43655</v>
      </c>
      <c r="AU1060" s="84" t="s">
        <v>3071</v>
      </c>
      <c r="AV1060" s="85">
        <v>43666</v>
      </c>
      <c r="AW1060" s="123">
        <v>43677</v>
      </c>
      <c r="AX1060" s="123">
        <v>43697</v>
      </c>
      <c r="AY1060" s="132">
        <v>198720</v>
      </c>
      <c r="AZ1060" s="132">
        <v>214618</v>
      </c>
      <c r="BA1060" s="84" t="s">
        <v>286</v>
      </c>
      <c r="BB1060" s="88">
        <v>144000</v>
      </c>
      <c r="BC1060" s="88">
        <v>155520</v>
      </c>
      <c r="BD1060" s="84" t="s">
        <v>2637</v>
      </c>
      <c r="BG1060" s="88">
        <v>0</v>
      </c>
      <c r="BK1060" s="88">
        <v>0</v>
      </c>
      <c r="BS1060" s="88">
        <v>0</v>
      </c>
      <c r="BV1060" s="89">
        <v>223560</v>
      </c>
      <c r="BW1060" s="89">
        <v>155520</v>
      </c>
      <c r="BX1060" s="89">
        <v>43636</v>
      </c>
      <c r="BY1060" s="89">
        <v>68040</v>
      </c>
      <c r="BZ1060" s="112">
        <v>30.434782608695656</v>
      </c>
      <c r="CK1060" s="88">
        <v>0</v>
      </c>
    </row>
    <row r="1061" spans="1:89" x14ac:dyDescent="0.15">
      <c r="A1061" s="84">
        <v>2</v>
      </c>
      <c r="B1061" s="85">
        <v>43655</v>
      </c>
      <c r="C1061" s="85">
        <v>43663</v>
      </c>
      <c r="D1061" s="85">
        <v>43684</v>
      </c>
      <c r="E1061" s="85">
        <v>43675</v>
      </c>
      <c r="F1061" s="85">
        <v>43670</v>
      </c>
      <c r="G1061" s="85">
        <v>43663</v>
      </c>
      <c r="H1061" s="85">
        <v>43666</v>
      </c>
      <c r="I1061" s="84" t="s">
        <v>1191</v>
      </c>
      <c r="J1061" s="84">
        <v>1</v>
      </c>
      <c r="K1061" s="85">
        <v>43644</v>
      </c>
      <c r="L1061" s="84" t="s">
        <v>818</v>
      </c>
      <c r="M1061" s="85">
        <v>43636</v>
      </c>
      <c r="N1061" s="85" t="s">
        <v>265</v>
      </c>
      <c r="O1061" s="86" t="s">
        <v>340</v>
      </c>
      <c r="P1061" s="84" t="s">
        <v>26</v>
      </c>
      <c r="Q1061" s="86" t="s">
        <v>140</v>
      </c>
      <c r="R1061" s="86" t="s">
        <v>3072</v>
      </c>
      <c r="S1061" s="87" t="s">
        <v>459</v>
      </c>
      <c r="T1061" s="87" t="s">
        <v>1308</v>
      </c>
      <c r="U1061" s="88">
        <v>59000</v>
      </c>
      <c r="V1061" s="88">
        <v>63720</v>
      </c>
      <c r="W1061" s="88">
        <v>47000</v>
      </c>
      <c r="X1061" s="88">
        <v>50760</v>
      </c>
      <c r="Y1061" s="88">
        <v>12000</v>
      </c>
      <c r="Z1061" s="88">
        <v>12960</v>
      </c>
      <c r="AA1061" s="85">
        <v>43662</v>
      </c>
      <c r="AB1061" s="85">
        <v>43663</v>
      </c>
      <c r="AC1061" s="85">
        <v>43663</v>
      </c>
      <c r="AD1061" s="84">
        <v>0</v>
      </c>
      <c r="AG1061" s="84">
        <v>0</v>
      </c>
      <c r="AJ1061" s="84">
        <v>0</v>
      </c>
      <c r="AM1061" s="84" t="s">
        <v>290</v>
      </c>
      <c r="AN1061" s="84" t="s">
        <v>3073</v>
      </c>
      <c r="AR1061" s="85">
        <v>43654</v>
      </c>
      <c r="AS1061" s="84">
        <v>6001691451</v>
      </c>
      <c r="AT1061" s="85">
        <v>43654</v>
      </c>
      <c r="AU1061" s="84" t="s">
        <v>2967</v>
      </c>
      <c r="AV1061" s="85">
        <v>43663</v>
      </c>
      <c r="AW1061" s="123">
        <v>43677</v>
      </c>
      <c r="AX1061" s="123">
        <v>43697</v>
      </c>
      <c r="AY1061" s="132">
        <v>56640</v>
      </c>
      <c r="AZ1061" s="132">
        <f>ROUNDDOWN(AY1061+(AY1061*MASTER!$A$2/100),0)</f>
        <v>61171</v>
      </c>
      <c r="BA1061" s="84" t="s">
        <v>287</v>
      </c>
      <c r="BB1061" s="88">
        <v>21000</v>
      </c>
      <c r="BC1061" s="88">
        <v>22680</v>
      </c>
      <c r="BD1061" s="84" t="s">
        <v>2637</v>
      </c>
      <c r="BG1061" s="88">
        <v>0</v>
      </c>
      <c r="BI1061" s="84" t="s">
        <v>434</v>
      </c>
      <c r="BJ1061" s="88">
        <v>7800</v>
      </c>
      <c r="BK1061" s="88">
        <v>8424</v>
      </c>
      <c r="BL1061" s="84" t="s">
        <v>2637</v>
      </c>
      <c r="BS1061" s="88">
        <v>0</v>
      </c>
      <c r="BV1061" s="89">
        <v>50760</v>
      </c>
      <c r="BW1061" s="89">
        <v>31104</v>
      </c>
      <c r="BX1061" s="89">
        <v>0</v>
      </c>
      <c r="BY1061" s="89">
        <v>43644</v>
      </c>
      <c r="BZ1061" s="112">
        <v>38.723404255319153</v>
      </c>
      <c r="CK1061" s="88">
        <v>0</v>
      </c>
    </row>
    <row r="1062" spans="1:89" x14ac:dyDescent="0.15">
      <c r="A1062" s="84">
        <v>2</v>
      </c>
      <c r="B1062" s="85">
        <v>43662</v>
      </c>
      <c r="C1062" s="85">
        <v>43668</v>
      </c>
      <c r="D1062" s="85" t="s">
        <v>374</v>
      </c>
      <c r="E1062" s="85">
        <v>43670</v>
      </c>
      <c r="F1062" s="85">
        <v>43675</v>
      </c>
      <c r="G1062" s="85">
        <v>43671</v>
      </c>
      <c r="H1062" s="85">
        <v>43671</v>
      </c>
      <c r="I1062" s="84" t="s">
        <v>401</v>
      </c>
      <c r="J1062" s="84">
        <v>1</v>
      </c>
      <c r="L1062" s="84">
        <v>0</v>
      </c>
      <c r="M1062" s="85">
        <v>43636</v>
      </c>
      <c r="N1062" s="85" t="s">
        <v>265</v>
      </c>
      <c r="O1062" s="86" t="s">
        <v>340</v>
      </c>
      <c r="P1062" s="84" t="s">
        <v>26</v>
      </c>
      <c r="Q1062" s="86" t="s">
        <v>140</v>
      </c>
      <c r="R1062" s="86" t="s">
        <v>3074</v>
      </c>
      <c r="S1062" s="87" t="s">
        <v>3075</v>
      </c>
      <c r="T1062" s="87" t="s">
        <v>763</v>
      </c>
      <c r="U1062" s="88">
        <v>23900</v>
      </c>
      <c r="V1062" s="88">
        <v>25812</v>
      </c>
      <c r="W1062" s="88">
        <v>14700</v>
      </c>
      <c r="X1062" s="88">
        <v>15876</v>
      </c>
      <c r="Y1062" s="88">
        <v>9200</v>
      </c>
      <c r="Z1062" s="88">
        <v>9936</v>
      </c>
      <c r="AA1062" s="85">
        <v>43667</v>
      </c>
      <c r="AB1062" s="85">
        <v>43668</v>
      </c>
      <c r="AC1062" s="85">
        <v>43668</v>
      </c>
      <c r="AD1062" s="84">
        <v>0</v>
      </c>
      <c r="AG1062" s="84">
        <v>0</v>
      </c>
      <c r="AJ1062" s="84">
        <v>0</v>
      </c>
      <c r="AM1062" s="84" t="s">
        <v>290</v>
      </c>
      <c r="AN1062" s="84" t="s">
        <v>3076</v>
      </c>
      <c r="AR1062" s="85">
        <v>43650</v>
      </c>
      <c r="AS1062" s="84">
        <v>6001690452</v>
      </c>
      <c r="AT1062" s="85">
        <v>43650</v>
      </c>
      <c r="AU1062" s="84" t="s">
        <v>2848</v>
      </c>
      <c r="AV1062" s="85">
        <v>43668</v>
      </c>
      <c r="AW1062" s="123">
        <v>43677</v>
      </c>
      <c r="AX1062" s="123">
        <v>43697</v>
      </c>
      <c r="AY1062" s="132">
        <v>22944</v>
      </c>
      <c r="AZ1062" s="132">
        <v>24780</v>
      </c>
      <c r="BA1062" s="84" t="s">
        <v>778</v>
      </c>
      <c r="BC1062" s="88">
        <v>0</v>
      </c>
      <c r="BG1062" s="88">
        <v>0</v>
      </c>
      <c r="BI1062" s="84" t="s">
        <v>276</v>
      </c>
      <c r="BJ1062" s="88">
        <v>5980</v>
      </c>
      <c r="BK1062" s="88">
        <v>6458.4</v>
      </c>
      <c r="BL1062" s="84" t="s">
        <v>2849</v>
      </c>
      <c r="BS1062" s="88">
        <v>0</v>
      </c>
      <c r="BV1062" s="89">
        <v>15876</v>
      </c>
      <c r="BW1062" s="89">
        <v>6458.4</v>
      </c>
      <c r="BX1062" s="89">
        <v>43636</v>
      </c>
      <c r="BY1062" s="89">
        <v>9417.6</v>
      </c>
      <c r="BZ1062" s="112">
        <v>59.319727891156461</v>
      </c>
      <c r="CK1062" s="88">
        <v>0</v>
      </c>
    </row>
    <row r="1063" spans="1:89" x14ac:dyDescent="0.15">
      <c r="A1063" s="84">
        <v>2</v>
      </c>
      <c r="B1063" s="85">
        <v>43675</v>
      </c>
      <c r="C1063" s="85">
        <v>43683</v>
      </c>
      <c r="D1063" s="85">
        <v>43705</v>
      </c>
      <c r="E1063" s="85">
        <v>43686</v>
      </c>
      <c r="F1063" s="85">
        <v>43690</v>
      </c>
      <c r="G1063" s="85">
        <v>43686</v>
      </c>
      <c r="H1063" s="85">
        <v>43686</v>
      </c>
      <c r="I1063" s="84" t="s">
        <v>401</v>
      </c>
      <c r="J1063" s="84">
        <v>2</v>
      </c>
      <c r="L1063" s="84">
        <v>0</v>
      </c>
      <c r="M1063" s="85">
        <v>43636</v>
      </c>
      <c r="N1063" s="85" t="s">
        <v>265</v>
      </c>
      <c r="O1063" s="86" t="s">
        <v>340</v>
      </c>
      <c r="P1063" s="84" t="s">
        <v>26</v>
      </c>
      <c r="Q1063" s="86" t="s">
        <v>140</v>
      </c>
      <c r="R1063" s="86" t="s">
        <v>3077</v>
      </c>
      <c r="S1063" s="87" t="s">
        <v>3078</v>
      </c>
      <c r="T1063" s="87" t="s">
        <v>3079</v>
      </c>
      <c r="U1063" s="88">
        <v>591800</v>
      </c>
      <c r="V1063" s="88">
        <v>639144</v>
      </c>
      <c r="W1063" s="88">
        <v>591800</v>
      </c>
      <c r="X1063" s="88">
        <v>639144</v>
      </c>
      <c r="Z1063" s="88">
        <v>0</v>
      </c>
      <c r="AA1063" s="85">
        <v>43682</v>
      </c>
      <c r="AB1063" s="85">
        <v>43683</v>
      </c>
      <c r="AC1063" s="85">
        <v>43683</v>
      </c>
      <c r="AD1063" s="84">
        <v>0</v>
      </c>
      <c r="AG1063" s="84">
        <v>0</v>
      </c>
      <c r="AJ1063" s="84">
        <v>0</v>
      </c>
      <c r="AM1063" s="84" t="s">
        <v>290</v>
      </c>
      <c r="AN1063" s="84" t="s">
        <v>3080</v>
      </c>
      <c r="AR1063" s="85">
        <v>43663</v>
      </c>
      <c r="AS1063" s="84">
        <v>6001694059</v>
      </c>
      <c r="AT1063" s="85">
        <v>43663</v>
      </c>
      <c r="AU1063" s="84" t="s">
        <v>3081</v>
      </c>
      <c r="AV1063" s="85">
        <v>43683</v>
      </c>
      <c r="AW1063" s="123">
        <v>43708</v>
      </c>
      <c r="AX1063" s="123">
        <v>43728</v>
      </c>
      <c r="AY1063" s="132">
        <v>568128</v>
      </c>
      <c r="AZ1063" s="132">
        <f>ROUNDDOWN(AY1063+(AY1063*MASTER!$A$2/100),0)</f>
        <v>613578</v>
      </c>
      <c r="BA1063" s="84" t="s">
        <v>543</v>
      </c>
      <c r="BB1063" s="88">
        <v>146580</v>
      </c>
      <c r="BC1063" s="88">
        <v>158306.4</v>
      </c>
      <c r="BD1063" s="84" t="s">
        <v>2849</v>
      </c>
      <c r="BG1063" s="88">
        <v>0</v>
      </c>
      <c r="BK1063" s="88">
        <v>0</v>
      </c>
      <c r="BS1063" s="88">
        <v>0</v>
      </c>
      <c r="BV1063" s="89">
        <v>639144</v>
      </c>
      <c r="BW1063" s="89">
        <v>158306.4</v>
      </c>
      <c r="BX1063" s="89">
        <v>43636</v>
      </c>
      <c r="BY1063" s="89">
        <v>480837.6</v>
      </c>
      <c r="BZ1063" s="112">
        <v>75.231497127407906</v>
      </c>
      <c r="CK1063" s="88">
        <v>0</v>
      </c>
    </row>
    <row r="1064" spans="1:89" x14ac:dyDescent="0.15">
      <c r="A1064" s="84">
        <v>2</v>
      </c>
      <c r="B1064" s="85">
        <v>43761</v>
      </c>
      <c r="C1064" s="85">
        <v>43770</v>
      </c>
      <c r="D1064" s="85">
        <v>43805</v>
      </c>
      <c r="E1064" s="85">
        <v>43777</v>
      </c>
      <c r="F1064" s="85">
        <v>43777</v>
      </c>
      <c r="G1064" s="85">
        <v>43770</v>
      </c>
      <c r="H1064" s="85">
        <v>43773</v>
      </c>
      <c r="I1064" s="84" t="s">
        <v>401</v>
      </c>
      <c r="J1064" s="84">
        <v>2</v>
      </c>
      <c r="K1064" s="85">
        <v>43710</v>
      </c>
      <c r="L1064" s="84" t="s">
        <v>818</v>
      </c>
      <c r="M1064" s="85">
        <v>43636</v>
      </c>
      <c r="N1064" s="85" t="s">
        <v>265</v>
      </c>
      <c r="O1064" s="86" t="s">
        <v>340</v>
      </c>
      <c r="P1064" s="84" t="s">
        <v>26</v>
      </c>
      <c r="Q1064" s="86" t="s">
        <v>140</v>
      </c>
      <c r="R1064" s="86" t="s">
        <v>3588</v>
      </c>
      <c r="S1064" s="87" t="s">
        <v>3589</v>
      </c>
      <c r="T1064" s="87" t="s">
        <v>3590</v>
      </c>
      <c r="U1064" s="88">
        <v>590200</v>
      </c>
      <c r="V1064" s="88">
        <v>637416</v>
      </c>
      <c r="W1064" s="88">
        <v>590200</v>
      </c>
      <c r="X1064" s="88">
        <v>637416</v>
      </c>
      <c r="Z1064" s="88">
        <v>0</v>
      </c>
      <c r="AA1064" s="85">
        <v>43769</v>
      </c>
      <c r="AB1064" s="85">
        <v>43770</v>
      </c>
      <c r="AC1064" s="85">
        <v>43770</v>
      </c>
      <c r="AD1064" s="84">
        <v>0</v>
      </c>
      <c r="AG1064" s="84">
        <v>0</v>
      </c>
      <c r="AJ1064" s="84">
        <v>0</v>
      </c>
      <c r="AM1064" s="84" t="s">
        <v>290</v>
      </c>
      <c r="AN1064" s="84" t="s">
        <v>3591</v>
      </c>
      <c r="AR1064" s="85">
        <v>43748</v>
      </c>
      <c r="AS1064" s="84">
        <v>6001720128</v>
      </c>
      <c r="AT1064" s="85">
        <v>43749</v>
      </c>
      <c r="AU1064" s="84" t="s">
        <v>3909</v>
      </c>
      <c r="AV1064" s="85">
        <v>43770</v>
      </c>
      <c r="AW1064" s="123">
        <v>43799</v>
      </c>
      <c r="AX1064" s="123">
        <v>43819</v>
      </c>
      <c r="AY1064" s="132">
        <v>566592</v>
      </c>
      <c r="AZ1064" s="132">
        <f>ROUNDDOWN(AY1064+(AY1064*[1]MASTER!$A$2/100),0)</f>
        <v>623251</v>
      </c>
      <c r="BA1064" s="84" t="s">
        <v>543</v>
      </c>
      <c r="BB1064" s="88">
        <v>140420</v>
      </c>
      <c r="BC1064" s="88">
        <f>ROUNDDOWN(BB1064+(BB1064*0.1),0)</f>
        <v>154462</v>
      </c>
      <c r="BD1064" s="84" t="s">
        <v>189</v>
      </c>
      <c r="BG1064" s="88">
        <v>0</v>
      </c>
      <c r="BK1064" s="88">
        <v>0</v>
      </c>
      <c r="BS1064" s="88">
        <v>0</v>
      </c>
      <c r="BV1064" s="89">
        <v>637416</v>
      </c>
      <c r="BW1064" s="89">
        <v>151653.6</v>
      </c>
      <c r="BX1064" s="89">
        <v>0</v>
      </c>
      <c r="BY1064" s="89">
        <v>43710</v>
      </c>
      <c r="BZ1064" s="112">
        <v>76.208065062690622</v>
      </c>
      <c r="CC1064" s="84">
        <v>2019</v>
      </c>
      <c r="CD1064" s="87" t="s">
        <v>3592</v>
      </c>
      <c r="CK1064" s="88">
        <v>0</v>
      </c>
    </row>
    <row r="1065" spans="1:89" x14ac:dyDescent="0.15">
      <c r="A1065" s="84">
        <v>1</v>
      </c>
      <c r="B1065" s="85">
        <v>43642</v>
      </c>
      <c r="C1065" s="85">
        <v>43650</v>
      </c>
      <c r="F1065" s="85" t="s">
        <v>338</v>
      </c>
      <c r="H1065" s="85" t="s">
        <v>338</v>
      </c>
      <c r="J1065" s="84">
        <v>2</v>
      </c>
      <c r="L1065" s="84">
        <v>0</v>
      </c>
      <c r="M1065" s="85">
        <v>43636</v>
      </c>
      <c r="N1065" s="85" t="s">
        <v>265</v>
      </c>
      <c r="O1065" s="86" t="s">
        <v>340</v>
      </c>
      <c r="P1065" s="84" t="s">
        <v>78</v>
      </c>
      <c r="Q1065" s="86" t="s">
        <v>140</v>
      </c>
      <c r="R1065" s="86" t="s">
        <v>3082</v>
      </c>
      <c r="S1065" s="87" t="s">
        <v>407</v>
      </c>
      <c r="T1065" s="87" t="s">
        <v>408</v>
      </c>
      <c r="U1065" s="88">
        <v>8300</v>
      </c>
      <c r="V1065" s="88">
        <v>8964</v>
      </c>
      <c r="W1065" s="88">
        <v>8300</v>
      </c>
      <c r="X1065" s="88">
        <v>8964</v>
      </c>
      <c r="Z1065" s="88">
        <v>0</v>
      </c>
      <c r="AD1065" s="84">
        <v>0</v>
      </c>
      <c r="AG1065" s="84">
        <v>0</v>
      </c>
      <c r="AJ1065" s="84">
        <v>0</v>
      </c>
      <c r="AR1065" s="85">
        <v>43636</v>
      </c>
      <c r="AS1065" s="84">
        <v>6001685710</v>
      </c>
      <c r="AT1065" s="85">
        <v>43636</v>
      </c>
      <c r="AU1065" s="84" t="s">
        <v>3083</v>
      </c>
      <c r="AV1065" s="85">
        <v>43650</v>
      </c>
      <c r="AW1065" s="123">
        <v>43646</v>
      </c>
      <c r="AX1065" s="123">
        <v>43666</v>
      </c>
      <c r="AY1065" s="132">
        <v>7968</v>
      </c>
      <c r="AZ1065" s="132">
        <f>ROUNDDOWN(AY1065+(AY1065*MASTER!$A$2/100),0)</f>
        <v>8605</v>
      </c>
      <c r="BC1065" s="88">
        <v>0</v>
      </c>
      <c r="BG1065" s="88">
        <v>0</v>
      </c>
      <c r="BK1065" s="88">
        <v>0</v>
      </c>
      <c r="BS1065" s="88">
        <v>0</v>
      </c>
      <c r="BV1065" s="89">
        <v>8964</v>
      </c>
      <c r="BW1065" s="89">
        <v>0</v>
      </c>
      <c r="BX1065" s="89">
        <v>43636</v>
      </c>
      <c r="BY1065" s="89">
        <v>8964</v>
      </c>
      <c r="BZ1065" s="112">
        <v>100</v>
      </c>
      <c r="CK1065" s="88">
        <v>0</v>
      </c>
    </row>
    <row r="1066" spans="1:89" x14ac:dyDescent="0.15">
      <c r="A1066" s="84">
        <v>1</v>
      </c>
      <c r="B1066" s="85">
        <v>43642</v>
      </c>
      <c r="C1066" s="85">
        <v>43650</v>
      </c>
      <c r="F1066" s="85" t="s">
        <v>338</v>
      </c>
      <c r="H1066" s="85" t="s">
        <v>338</v>
      </c>
      <c r="J1066" s="84">
        <v>2</v>
      </c>
      <c r="L1066" s="84">
        <v>0</v>
      </c>
      <c r="M1066" s="85">
        <v>43636</v>
      </c>
      <c r="N1066" s="85" t="s">
        <v>265</v>
      </c>
      <c r="O1066" s="86" t="s">
        <v>340</v>
      </c>
      <c r="P1066" s="84" t="s">
        <v>78</v>
      </c>
      <c r="Q1066" s="86" t="s">
        <v>140</v>
      </c>
      <c r="R1066" s="86" t="s">
        <v>3084</v>
      </c>
      <c r="S1066" s="87" t="s">
        <v>407</v>
      </c>
      <c r="T1066" s="87" t="s">
        <v>408</v>
      </c>
      <c r="U1066" s="88">
        <v>8300</v>
      </c>
      <c r="V1066" s="88">
        <v>8964</v>
      </c>
      <c r="W1066" s="88">
        <v>8300</v>
      </c>
      <c r="X1066" s="88">
        <v>8964</v>
      </c>
      <c r="Z1066" s="88">
        <v>0</v>
      </c>
      <c r="AD1066" s="84">
        <v>0</v>
      </c>
      <c r="AG1066" s="84">
        <v>0</v>
      </c>
      <c r="AJ1066" s="84">
        <v>0</v>
      </c>
      <c r="AR1066" s="85">
        <v>43636</v>
      </c>
      <c r="AS1066" s="84">
        <v>6001685710</v>
      </c>
      <c r="AT1066" s="85">
        <v>43636</v>
      </c>
      <c r="AU1066" s="84" t="s">
        <v>3083</v>
      </c>
      <c r="AV1066" s="85">
        <v>43650</v>
      </c>
      <c r="AW1066" s="123">
        <v>43646</v>
      </c>
      <c r="AX1066" s="123">
        <v>43666</v>
      </c>
      <c r="AY1066" s="132">
        <v>7968</v>
      </c>
      <c r="AZ1066" s="132">
        <f>ROUNDDOWN(AY1066+(AY1066*MASTER!$A$2/100),0)</f>
        <v>8605</v>
      </c>
      <c r="BC1066" s="88">
        <v>0</v>
      </c>
      <c r="BG1066" s="88">
        <v>0</v>
      </c>
      <c r="BK1066" s="88">
        <v>0</v>
      </c>
      <c r="BS1066" s="88">
        <v>0</v>
      </c>
      <c r="BV1066" s="89">
        <v>8964</v>
      </c>
      <c r="BW1066" s="89">
        <v>0</v>
      </c>
      <c r="BX1066" s="89">
        <v>43636</v>
      </c>
      <c r="BY1066" s="89">
        <v>8964</v>
      </c>
      <c r="BZ1066" s="112">
        <v>100</v>
      </c>
      <c r="CK1066" s="88">
        <v>0</v>
      </c>
    </row>
    <row r="1067" spans="1:89" x14ac:dyDescent="0.15">
      <c r="A1067" s="84">
        <v>1</v>
      </c>
      <c r="B1067" s="85">
        <v>43642</v>
      </c>
      <c r="C1067" s="85">
        <v>43642</v>
      </c>
      <c r="F1067" s="85" t="s">
        <v>338</v>
      </c>
      <c r="H1067" s="85" t="s">
        <v>338</v>
      </c>
      <c r="J1067" s="84">
        <v>2</v>
      </c>
      <c r="L1067" s="84">
        <v>0</v>
      </c>
      <c r="M1067" s="85">
        <v>43636</v>
      </c>
      <c r="N1067" s="85" t="s">
        <v>265</v>
      </c>
      <c r="O1067" s="86" t="s">
        <v>340</v>
      </c>
      <c r="P1067" s="84" t="s">
        <v>78</v>
      </c>
      <c r="Q1067" s="86" t="s">
        <v>140</v>
      </c>
      <c r="R1067" s="86" t="s">
        <v>3085</v>
      </c>
      <c r="S1067" s="87" t="s">
        <v>407</v>
      </c>
      <c r="T1067" s="87" t="s">
        <v>408</v>
      </c>
      <c r="U1067" s="88">
        <v>8300</v>
      </c>
      <c r="V1067" s="88">
        <v>8964</v>
      </c>
      <c r="W1067" s="88">
        <v>8300</v>
      </c>
      <c r="X1067" s="88">
        <v>8964</v>
      </c>
      <c r="Z1067" s="88">
        <v>0</v>
      </c>
      <c r="AD1067" s="84">
        <v>0</v>
      </c>
      <c r="AG1067" s="84">
        <v>0</v>
      </c>
      <c r="AJ1067" s="84">
        <v>0</v>
      </c>
      <c r="AR1067" s="85">
        <v>43636</v>
      </c>
      <c r="AS1067" s="84">
        <v>6001685710</v>
      </c>
      <c r="AT1067" s="85">
        <v>43636</v>
      </c>
      <c r="AU1067" s="84" t="s">
        <v>3083</v>
      </c>
      <c r="AV1067" s="85">
        <v>43642</v>
      </c>
      <c r="AW1067" s="123">
        <v>43646</v>
      </c>
      <c r="AX1067" s="123">
        <v>43666</v>
      </c>
      <c r="AY1067" s="132">
        <v>7968</v>
      </c>
      <c r="AZ1067" s="132">
        <f>ROUNDDOWN(AY1067+(AY1067*MASTER!$A$2/100),0)</f>
        <v>8605</v>
      </c>
      <c r="BC1067" s="88">
        <v>0</v>
      </c>
      <c r="BG1067" s="88">
        <v>0</v>
      </c>
      <c r="BK1067" s="88">
        <v>0</v>
      </c>
      <c r="BS1067" s="88">
        <v>0</v>
      </c>
      <c r="BV1067" s="89">
        <v>8964</v>
      </c>
      <c r="BW1067" s="89">
        <v>0</v>
      </c>
      <c r="BX1067" s="89">
        <v>43636</v>
      </c>
      <c r="BY1067" s="89">
        <v>8964</v>
      </c>
      <c r="BZ1067" s="112">
        <v>100</v>
      </c>
      <c r="CK1067" s="88">
        <v>0</v>
      </c>
    </row>
    <row r="1068" spans="1:89" x14ac:dyDescent="0.15">
      <c r="A1068" s="84">
        <v>2</v>
      </c>
      <c r="B1068" s="85">
        <v>43655</v>
      </c>
      <c r="C1068" s="85">
        <v>43677</v>
      </c>
      <c r="D1068" s="85">
        <v>43684</v>
      </c>
      <c r="E1068" s="85">
        <v>43669</v>
      </c>
      <c r="F1068" s="85">
        <v>43671</v>
      </c>
      <c r="G1068" s="85">
        <v>43665</v>
      </c>
      <c r="H1068" s="85">
        <v>43667</v>
      </c>
      <c r="I1068" s="84" t="s">
        <v>401</v>
      </c>
      <c r="J1068" s="84">
        <v>1</v>
      </c>
      <c r="L1068" s="84">
        <v>0</v>
      </c>
      <c r="M1068" s="85">
        <v>43636</v>
      </c>
      <c r="N1068" s="85" t="s">
        <v>265</v>
      </c>
      <c r="O1068" s="86" t="s">
        <v>340</v>
      </c>
      <c r="P1068" s="84" t="s">
        <v>26</v>
      </c>
      <c r="Q1068" s="86" t="s">
        <v>140</v>
      </c>
      <c r="R1068" s="86" t="s">
        <v>3086</v>
      </c>
      <c r="S1068" s="87" t="s">
        <v>1599</v>
      </c>
      <c r="T1068" s="87" t="s">
        <v>2864</v>
      </c>
      <c r="U1068" s="88">
        <v>180000</v>
      </c>
      <c r="V1068" s="88">
        <v>194400</v>
      </c>
      <c r="W1068" s="88">
        <v>115000</v>
      </c>
      <c r="X1068" s="88">
        <v>124200</v>
      </c>
      <c r="Y1068" s="88">
        <v>65000</v>
      </c>
      <c r="Z1068" s="88">
        <v>70200</v>
      </c>
      <c r="AA1068" s="85">
        <v>43663</v>
      </c>
      <c r="AB1068" s="85">
        <v>43664</v>
      </c>
      <c r="AC1068" s="85">
        <v>43664</v>
      </c>
      <c r="AD1068" s="84">
        <v>0</v>
      </c>
      <c r="AG1068" s="84">
        <v>0</v>
      </c>
      <c r="AJ1068" s="84">
        <v>0</v>
      </c>
      <c r="AN1068" s="84" t="s">
        <v>338</v>
      </c>
      <c r="AR1068" s="85">
        <v>43642</v>
      </c>
      <c r="AS1068" s="84">
        <v>6001688308</v>
      </c>
      <c r="AT1068" s="85">
        <v>43642</v>
      </c>
      <c r="AU1068" s="84" t="s">
        <v>3087</v>
      </c>
      <c r="AV1068" s="85">
        <v>43677</v>
      </c>
      <c r="AW1068" s="123">
        <v>43677</v>
      </c>
      <c r="AX1068" s="123">
        <v>43697</v>
      </c>
      <c r="AY1068" s="132">
        <v>172800</v>
      </c>
      <c r="AZ1068" s="132">
        <f>ROUNDDOWN(AY1068+(AY1068*MASTER!$A$2/100),0)</f>
        <v>186624</v>
      </c>
      <c r="BA1068" s="84" t="s">
        <v>287</v>
      </c>
      <c r="BB1068" s="88">
        <v>45000</v>
      </c>
      <c r="BC1068" s="88">
        <v>48600</v>
      </c>
      <c r="BD1068" s="84" t="s">
        <v>2637</v>
      </c>
      <c r="BG1068" s="88">
        <v>0</v>
      </c>
      <c r="BI1068" s="84" t="s">
        <v>434</v>
      </c>
      <c r="BJ1068" s="88">
        <v>42250</v>
      </c>
      <c r="BK1068" s="88">
        <v>45630</v>
      </c>
      <c r="BL1068" s="84" t="s">
        <v>2637</v>
      </c>
      <c r="BS1068" s="88">
        <v>0</v>
      </c>
      <c r="BV1068" s="89">
        <v>124200</v>
      </c>
      <c r="BW1068" s="89">
        <v>94230</v>
      </c>
      <c r="BX1068" s="89">
        <v>43636</v>
      </c>
      <c r="BY1068" s="89">
        <v>29970</v>
      </c>
      <c r="BZ1068" s="112">
        <v>24.130434782608695</v>
      </c>
      <c r="CK1068" s="88">
        <v>0</v>
      </c>
    </row>
    <row r="1069" spans="1:89" x14ac:dyDescent="0.15">
      <c r="A1069" s="84">
        <v>2</v>
      </c>
      <c r="B1069" s="85">
        <v>43655</v>
      </c>
      <c r="C1069" s="85">
        <v>43677</v>
      </c>
      <c r="D1069" s="85">
        <v>43684</v>
      </c>
      <c r="E1069" s="85">
        <v>43668</v>
      </c>
      <c r="F1069" s="85">
        <v>43672</v>
      </c>
      <c r="G1069" s="85">
        <v>43665</v>
      </c>
      <c r="H1069" s="85">
        <v>43668</v>
      </c>
      <c r="I1069" s="84" t="s">
        <v>401</v>
      </c>
      <c r="J1069" s="84">
        <v>1</v>
      </c>
      <c r="L1069" s="84">
        <v>0</v>
      </c>
      <c r="M1069" s="85">
        <v>43636</v>
      </c>
      <c r="N1069" s="85" t="s">
        <v>265</v>
      </c>
      <c r="O1069" s="86" t="s">
        <v>340</v>
      </c>
      <c r="P1069" s="84" t="s">
        <v>26</v>
      </c>
      <c r="Q1069" s="86" t="s">
        <v>140</v>
      </c>
      <c r="R1069" s="86" t="s">
        <v>3088</v>
      </c>
      <c r="S1069" s="87" t="s">
        <v>936</v>
      </c>
      <c r="T1069" s="87" t="s">
        <v>2864</v>
      </c>
      <c r="U1069" s="88">
        <v>180000</v>
      </c>
      <c r="V1069" s="88">
        <v>194400</v>
      </c>
      <c r="W1069" s="88">
        <v>115000</v>
      </c>
      <c r="X1069" s="88">
        <v>124200</v>
      </c>
      <c r="Y1069" s="88">
        <v>65000</v>
      </c>
      <c r="Z1069" s="88">
        <v>70200</v>
      </c>
      <c r="AA1069" s="85">
        <v>43664</v>
      </c>
      <c r="AB1069" s="85">
        <v>43665</v>
      </c>
      <c r="AC1069" s="85">
        <v>43665</v>
      </c>
      <c r="AD1069" s="84">
        <v>0</v>
      </c>
      <c r="AG1069" s="84">
        <v>0</v>
      </c>
      <c r="AJ1069" s="84">
        <v>0</v>
      </c>
      <c r="AN1069" s="84" t="s">
        <v>338</v>
      </c>
      <c r="AR1069" s="85">
        <v>43642</v>
      </c>
      <c r="AS1069" s="84">
        <v>6001688308</v>
      </c>
      <c r="AT1069" s="85">
        <v>43642</v>
      </c>
      <c r="AU1069" s="84" t="s">
        <v>3087</v>
      </c>
      <c r="AV1069" s="85">
        <v>43677</v>
      </c>
      <c r="AW1069" s="123">
        <v>43677</v>
      </c>
      <c r="AX1069" s="123">
        <v>43697</v>
      </c>
      <c r="AY1069" s="132">
        <v>172800</v>
      </c>
      <c r="AZ1069" s="132">
        <f>ROUNDDOWN(AY1069+(AY1069*MASTER!$A$2/100),0)</f>
        <v>186624</v>
      </c>
      <c r="BA1069" s="84" t="s">
        <v>287</v>
      </c>
      <c r="BB1069" s="88">
        <v>55000</v>
      </c>
      <c r="BC1069" s="88">
        <v>59400</v>
      </c>
      <c r="BD1069" s="84" t="s">
        <v>2637</v>
      </c>
      <c r="BG1069" s="88">
        <v>0</v>
      </c>
      <c r="BI1069" s="84" t="s">
        <v>434</v>
      </c>
      <c r="BJ1069" s="88">
        <v>42250</v>
      </c>
      <c r="BK1069" s="88">
        <v>45630</v>
      </c>
      <c r="BL1069" s="84" t="s">
        <v>2637</v>
      </c>
      <c r="BS1069" s="88">
        <v>0</v>
      </c>
      <c r="BV1069" s="89">
        <v>124200</v>
      </c>
      <c r="BW1069" s="89">
        <v>105030</v>
      </c>
      <c r="BX1069" s="89">
        <v>43636</v>
      </c>
      <c r="BY1069" s="89">
        <v>19170</v>
      </c>
      <c r="BZ1069" s="112">
        <v>15.434782608695652</v>
      </c>
      <c r="CK1069" s="88">
        <v>0</v>
      </c>
    </row>
    <row r="1070" spans="1:89" x14ac:dyDescent="0.15">
      <c r="A1070" s="84">
        <v>2</v>
      </c>
      <c r="B1070" s="85">
        <v>43648</v>
      </c>
      <c r="C1070" s="85">
        <v>43677</v>
      </c>
      <c r="D1070" s="85">
        <v>43705</v>
      </c>
      <c r="E1070" s="85">
        <v>43675</v>
      </c>
      <c r="F1070" s="85">
        <v>43679</v>
      </c>
      <c r="G1070" s="85">
        <v>43675</v>
      </c>
      <c r="H1070" s="85">
        <v>43675</v>
      </c>
      <c r="I1070" s="84" t="s">
        <v>401</v>
      </c>
      <c r="J1070" s="84">
        <v>1</v>
      </c>
      <c r="L1070" s="84">
        <v>0</v>
      </c>
      <c r="M1070" s="85">
        <v>43636</v>
      </c>
      <c r="N1070" s="85" t="s">
        <v>265</v>
      </c>
      <c r="O1070" s="86" t="s">
        <v>340</v>
      </c>
      <c r="P1070" s="84" t="s">
        <v>26</v>
      </c>
      <c r="Q1070" s="86" t="s">
        <v>140</v>
      </c>
      <c r="R1070" s="86" t="s">
        <v>3089</v>
      </c>
      <c r="S1070" s="87" t="s">
        <v>1411</v>
      </c>
      <c r="T1070" s="87" t="s">
        <v>2864</v>
      </c>
      <c r="U1070" s="88">
        <v>180000</v>
      </c>
      <c r="V1070" s="88">
        <v>194400</v>
      </c>
      <c r="W1070" s="88">
        <v>115000</v>
      </c>
      <c r="X1070" s="88">
        <v>124200</v>
      </c>
      <c r="Y1070" s="88">
        <v>65000</v>
      </c>
      <c r="Z1070" s="88">
        <v>70200</v>
      </c>
      <c r="AA1070" s="85">
        <v>43671</v>
      </c>
      <c r="AB1070" s="85">
        <v>43672</v>
      </c>
      <c r="AC1070" s="85">
        <v>43672</v>
      </c>
      <c r="AD1070" s="84">
        <v>0</v>
      </c>
      <c r="AG1070" s="84">
        <v>0</v>
      </c>
      <c r="AJ1070" s="84">
        <v>0</v>
      </c>
      <c r="AN1070" s="84" t="s">
        <v>338</v>
      </c>
      <c r="AR1070" s="85">
        <v>43642</v>
      </c>
      <c r="AS1070" s="84">
        <v>6001688308</v>
      </c>
      <c r="AT1070" s="85">
        <v>43642</v>
      </c>
      <c r="AU1070" s="84" t="s">
        <v>3087</v>
      </c>
      <c r="AV1070" s="85">
        <v>43677</v>
      </c>
      <c r="AW1070" s="123">
        <v>43677</v>
      </c>
      <c r="AX1070" s="123">
        <v>43697</v>
      </c>
      <c r="AY1070" s="132">
        <v>172800</v>
      </c>
      <c r="AZ1070" s="132">
        <f>ROUNDDOWN(AY1070+(AY1070*MASTER!$A$2/100),0)</f>
        <v>186624</v>
      </c>
      <c r="BA1070" s="84" t="s">
        <v>543</v>
      </c>
      <c r="BB1070" s="88">
        <v>57000</v>
      </c>
      <c r="BC1070" s="88">
        <v>61560</v>
      </c>
      <c r="BD1070" s="84" t="s">
        <v>2849</v>
      </c>
      <c r="BG1070" s="88">
        <v>0</v>
      </c>
      <c r="BI1070" s="84" t="s">
        <v>434</v>
      </c>
      <c r="BJ1070" s="88">
        <v>42250</v>
      </c>
      <c r="BK1070" s="88">
        <v>45630</v>
      </c>
      <c r="BL1070" s="84" t="s">
        <v>2849</v>
      </c>
      <c r="BS1070" s="88">
        <v>0</v>
      </c>
      <c r="BV1070" s="89">
        <v>124200</v>
      </c>
      <c r="BW1070" s="89">
        <v>107190</v>
      </c>
      <c r="BX1070" s="89">
        <v>43636</v>
      </c>
      <c r="BY1070" s="89">
        <v>17010</v>
      </c>
      <c r="BZ1070" s="112">
        <v>13.695652173913043</v>
      </c>
      <c r="CK1070" s="88">
        <v>0</v>
      </c>
    </row>
    <row r="1071" spans="1:89" x14ac:dyDescent="0.15">
      <c r="A1071" s="84">
        <v>2</v>
      </c>
      <c r="B1071" s="85">
        <v>43643</v>
      </c>
      <c r="C1071" s="85">
        <v>43656</v>
      </c>
      <c r="E1071" s="85">
        <v>43657</v>
      </c>
      <c r="F1071" s="85">
        <v>43663</v>
      </c>
      <c r="G1071" s="85">
        <v>43657</v>
      </c>
      <c r="H1071" s="85">
        <v>43659</v>
      </c>
      <c r="I1071" s="84" t="s">
        <v>401</v>
      </c>
      <c r="J1071" s="84">
        <v>1</v>
      </c>
      <c r="L1071" s="84">
        <v>0</v>
      </c>
      <c r="M1071" s="85">
        <v>43636</v>
      </c>
      <c r="N1071" s="85" t="s">
        <v>265</v>
      </c>
      <c r="O1071" s="86" t="s">
        <v>340</v>
      </c>
      <c r="P1071" s="84" t="s">
        <v>26</v>
      </c>
      <c r="Q1071" s="86" t="s">
        <v>140</v>
      </c>
      <c r="R1071" s="86" t="s">
        <v>3090</v>
      </c>
      <c r="S1071" s="87" t="s">
        <v>1758</v>
      </c>
      <c r="T1071" s="87" t="s">
        <v>2864</v>
      </c>
      <c r="U1071" s="88">
        <v>180000</v>
      </c>
      <c r="V1071" s="88">
        <v>194400</v>
      </c>
      <c r="W1071" s="88">
        <v>115000</v>
      </c>
      <c r="X1071" s="88">
        <v>124200</v>
      </c>
      <c r="Y1071" s="88">
        <v>65000</v>
      </c>
      <c r="Z1071" s="88">
        <v>70200</v>
      </c>
      <c r="AA1071" s="85">
        <v>43655</v>
      </c>
      <c r="AB1071" s="85">
        <v>43656</v>
      </c>
      <c r="AC1071" s="85">
        <v>43656</v>
      </c>
      <c r="AD1071" s="84">
        <v>0</v>
      </c>
      <c r="AG1071" s="84">
        <v>0</v>
      </c>
      <c r="AJ1071" s="84">
        <v>0</v>
      </c>
      <c r="AN1071" s="84" t="s">
        <v>338</v>
      </c>
      <c r="AR1071" s="85">
        <v>43642</v>
      </c>
      <c r="AS1071" s="84">
        <v>6001688308</v>
      </c>
      <c r="AT1071" s="85">
        <v>43642</v>
      </c>
      <c r="AU1071" s="84" t="s">
        <v>3087</v>
      </c>
      <c r="AV1071" s="85">
        <v>43656</v>
      </c>
      <c r="AW1071" s="123">
        <v>43677</v>
      </c>
      <c r="AX1071" s="123">
        <v>43697</v>
      </c>
      <c r="AY1071" s="132">
        <v>172800</v>
      </c>
      <c r="AZ1071" s="132">
        <f>ROUNDDOWN(AY1071+(AY1071*MASTER!$A$2/100),0)</f>
        <v>186624</v>
      </c>
      <c r="BA1071" s="84" t="s">
        <v>286</v>
      </c>
      <c r="BB1071" s="88">
        <v>57000</v>
      </c>
      <c r="BC1071" s="88">
        <v>61560</v>
      </c>
      <c r="BD1071" s="84" t="s">
        <v>2637</v>
      </c>
      <c r="BG1071" s="88">
        <v>0</v>
      </c>
      <c r="BI1071" s="84" t="s">
        <v>276</v>
      </c>
      <c r="BJ1071" s="88">
        <v>42250</v>
      </c>
      <c r="BK1071" s="88">
        <v>45630</v>
      </c>
      <c r="BL1071" s="84" t="s">
        <v>2660</v>
      </c>
      <c r="BS1071" s="88">
        <v>0</v>
      </c>
      <c r="BV1071" s="89">
        <v>124200</v>
      </c>
      <c r="BW1071" s="89">
        <v>107190</v>
      </c>
      <c r="BX1071" s="89">
        <v>43636</v>
      </c>
      <c r="BY1071" s="89">
        <v>17010</v>
      </c>
      <c r="BZ1071" s="112">
        <v>13.695652173913043</v>
      </c>
      <c r="CK1071" s="88">
        <v>0</v>
      </c>
    </row>
    <row r="1072" spans="1:89" x14ac:dyDescent="0.15">
      <c r="A1072" s="84">
        <v>2</v>
      </c>
      <c r="B1072" s="85">
        <v>43643</v>
      </c>
      <c r="C1072" s="85">
        <v>43670</v>
      </c>
      <c r="D1072" s="85">
        <v>43705</v>
      </c>
      <c r="E1072" s="85">
        <v>43671</v>
      </c>
      <c r="F1072" s="85">
        <v>43677</v>
      </c>
      <c r="G1072" s="85">
        <v>43670</v>
      </c>
      <c r="H1072" s="85">
        <v>43673</v>
      </c>
      <c r="I1072" s="84" t="s">
        <v>401</v>
      </c>
      <c r="J1072" s="84">
        <v>1</v>
      </c>
      <c r="L1072" s="84">
        <v>0</v>
      </c>
      <c r="M1072" s="85">
        <v>43636</v>
      </c>
      <c r="N1072" s="85" t="s">
        <v>265</v>
      </c>
      <c r="O1072" s="86" t="s">
        <v>340</v>
      </c>
      <c r="P1072" s="84" t="s">
        <v>26</v>
      </c>
      <c r="Q1072" s="86" t="s">
        <v>140</v>
      </c>
      <c r="R1072" s="86" t="s">
        <v>3091</v>
      </c>
      <c r="S1072" s="87" t="s">
        <v>768</v>
      </c>
      <c r="T1072" s="87" t="s">
        <v>2864</v>
      </c>
      <c r="U1072" s="88">
        <v>180000</v>
      </c>
      <c r="V1072" s="88">
        <v>194400</v>
      </c>
      <c r="W1072" s="88">
        <v>115000</v>
      </c>
      <c r="X1072" s="88">
        <v>124200</v>
      </c>
      <c r="Y1072" s="88">
        <v>65000</v>
      </c>
      <c r="Z1072" s="88">
        <v>70200</v>
      </c>
      <c r="AA1072" s="85">
        <v>43669</v>
      </c>
      <c r="AB1072" s="85">
        <v>43670</v>
      </c>
      <c r="AC1072" s="85">
        <v>43670</v>
      </c>
      <c r="AD1072" s="84">
        <v>0</v>
      </c>
      <c r="AG1072" s="84">
        <v>0</v>
      </c>
      <c r="AJ1072" s="84">
        <v>0</v>
      </c>
      <c r="AN1072" s="84" t="s">
        <v>338</v>
      </c>
      <c r="AR1072" s="85">
        <v>43642</v>
      </c>
      <c r="AS1072" s="84">
        <v>6001688308</v>
      </c>
      <c r="AT1072" s="85">
        <v>43642</v>
      </c>
      <c r="AU1072" s="84" t="s">
        <v>3087</v>
      </c>
      <c r="AV1072" s="85">
        <v>43670</v>
      </c>
      <c r="AW1072" s="123">
        <v>43677</v>
      </c>
      <c r="AX1072" s="123">
        <v>43697</v>
      </c>
      <c r="AY1072" s="132">
        <v>172800</v>
      </c>
      <c r="AZ1072" s="132">
        <f>ROUNDDOWN(AY1072+(AY1072*MASTER!$A$2/100),0)</f>
        <v>186624</v>
      </c>
      <c r="BA1072" s="84" t="s">
        <v>286</v>
      </c>
      <c r="BB1072" s="88">
        <v>52000</v>
      </c>
      <c r="BC1072" s="88">
        <v>56160</v>
      </c>
      <c r="BD1072" s="84" t="s">
        <v>2849</v>
      </c>
      <c r="BG1072" s="88">
        <v>0</v>
      </c>
      <c r="BI1072" s="84" t="s">
        <v>434</v>
      </c>
      <c r="BJ1072" s="88">
        <v>42250</v>
      </c>
      <c r="BK1072" s="88">
        <v>45630</v>
      </c>
      <c r="BL1072" s="84" t="s">
        <v>2849</v>
      </c>
      <c r="BS1072" s="88">
        <v>0</v>
      </c>
      <c r="BV1072" s="89">
        <v>124200</v>
      </c>
      <c r="BW1072" s="89">
        <v>101790</v>
      </c>
      <c r="BX1072" s="89">
        <v>43636</v>
      </c>
      <c r="BY1072" s="89">
        <v>22410</v>
      </c>
      <c r="BZ1072" s="112">
        <v>18.043478260869566</v>
      </c>
      <c r="CK1072" s="88">
        <v>0</v>
      </c>
    </row>
    <row r="1073" spans="1:89" x14ac:dyDescent="0.15">
      <c r="A1073" s="84">
        <v>2</v>
      </c>
      <c r="B1073" s="85">
        <v>43675</v>
      </c>
      <c r="C1073" s="85">
        <v>43707</v>
      </c>
      <c r="D1073" s="85">
        <v>43712</v>
      </c>
      <c r="E1073" s="85">
        <v>43683</v>
      </c>
      <c r="F1073" s="85">
        <v>43686</v>
      </c>
      <c r="G1073" s="85">
        <v>43682</v>
      </c>
      <c r="H1073" s="85">
        <v>43682</v>
      </c>
      <c r="I1073" s="84" t="s">
        <v>401</v>
      </c>
      <c r="J1073" s="84">
        <v>1</v>
      </c>
      <c r="L1073" s="84">
        <v>0</v>
      </c>
      <c r="M1073" s="85">
        <v>43636</v>
      </c>
      <c r="N1073" s="85" t="s">
        <v>265</v>
      </c>
      <c r="O1073" s="86" t="s">
        <v>340</v>
      </c>
      <c r="P1073" s="84" t="s">
        <v>26</v>
      </c>
      <c r="Q1073" s="86" t="s">
        <v>140</v>
      </c>
      <c r="R1073" s="86" t="s">
        <v>3092</v>
      </c>
      <c r="S1073" s="87" t="s">
        <v>762</v>
      </c>
      <c r="T1073" s="87" t="s">
        <v>828</v>
      </c>
      <c r="U1073" s="88">
        <v>95000</v>
      </c>
      <c r="V1073" s="88">
        <v>102600</v>
      </c>
      <c r="W1073" s="88">
        <v>80000</v>
      </c>
      <c r="X1073" s="88">
        <v>86400</v>
      </c>
      <c r="Y1073" s="88">
        <v>15000</v>
      </c>
      <c r="Z1073" s="88">
        <v>16200</v>
      </c>
      <c r="AA1073" s="85">
        <v>43678</v>
      </c>
      <c r="AB1073" s="85">
        <v>43679</v>
      </c>
      <c r="AC1073" s="85">
        <v>43679</v>
      </c>
      <c r="AD1073" s="84">
        <v>0</v>
      </c>
      <c r="AG1073" s="84">
        <v>0</v>
      </c>
      <c r="AJ1073" s="84">
        <v>0</v>
      </c>
      <c r="AN1073" s="84" t="s">
        <v>338</v>
      </c>
      <c r="AR1073" s="85">
        <v>43640</v>
      </c>
      <c r="AS1073" s="84">
        <v>6001687099</v>
      </c>
      <c r="AT1073" s="85">
        <v>43641</v>
      </c>
      <c r="AU1073" s="84" t="s">
        <v>2842</v>
      </c>
      <c r="AV1073" s="85">
        <v>43707</v>
      </c>
      <c r="AW1073" s="123">
        <v>43708</v>
      </c>
      <c r="AX1073" s="123">
        <v>43728</v>
      </c>
      <c r="AY1073" s="132">
        <v>91200</v>
      </c>
      <c r="AZ1073" s="132">
        <f>ROUNDDOWN(AY1073+(AY1073*MASTER!$A$2/100),0)</f>
        <v>98496</v>
      </c>
      <c r="BA1073" s="84" t="s">
        <v>400</v>
      </c>
      <c r="BB1073" s="88">
        <v>26000</v>
      </c>
      <c r="BC1073" s="88">
        <v>28080</v>
      </c>
      <c r="BD1073" s="84" t="s">
        <v>2849</v>
      </c>
      <c r="BG1073" s="88">
        <v>0</v>
      </c>
      <c r="BI1073" s="84" t="s">
        <v>434</v>
      </c>
      <c r="BJ1073" s="88">
        <v>9750</v>
      </c>
      <c r="BK1073" s="88">
        <v>10530</v>
      </c>
      <c r="BL1073" s="84" t="s">
        <v>2849</v>
      </c>
      <c r="BS1073" s="88">
        <v>0</v>
      </c>
      <c r="BV1073" s="89">
        <v>86400</v>
      </c>
      <c r="BW1073" s="89">
        <v>38610</v>
      </c>
      <c r="BX1073" s="89">
        <v>43636</v>
      </c>
      <c r="BY1073" s="89">
        <v>47790</v>
      </c>
      <c r="BZ1073" s="112">
        <v>55.3125</v>
      </c>
      <c r="CK1073" s="88">
        <v>0</v>
      </c>
    </row>
    <row r="1074" spans="1:89" x14ac:dyDescent="0.15">
      <c r="A1074" s="84">
        <v>2</v>
      </c>
      <c r="B1074" s="85">
        <v>43683</v>
      </c>
      <c r="C1074" s="85">
        <v>43707</v>
      </c>
      <c r="D1074" s="85">
        <v>43748</v>
      </c>
      <c r="E1074" s="85">
        <v>43705</v>
      </c>
      <c r="F1074" s="85">
        <v>43707</v>
      </c>
      <c r="G1074" s="85">
        <v>43703</v>
      </c>
      <c r="H1074" s="85">
        <v>43703</v>
      </c>
      <c r="I1074" s="84" t="s">
        <v>401</v>
      </c>
      <c r="J1074" s="84">
        <v>1</v>
      </c>
      <c r="L1074" s="84">
        <v>0</v>
      </c>
      <c r="M1074" s="85">
        <v>43636</v>
      </c>
      <c r="N1074" s="85" t="s">
        <v>265</v>
      </c>
      <c r="O1074" s="86" t="s">
        <v>340</v>
      </c>
      <c r="P1074" s="84" t="s">
        <v>26</v>
      </c>
      <c r="Q1074" s="86" t="s">
        <v>140</v>
      </c>
      <c r="R1074" s="86" t="s">
        <v>3405</v>
      </c>
      <c r="S1074" s="87" t="s">
        <v>3406</v>
      </c>
      <c r="T1074" s="87" t="s">
        <v>828</v>
      </c>
      <c r="U1074" s="88">
        <v>95000</v>
      </c>
      <c r="V1074" s="88">
        <v>102600</v>
      </c>
      <c r="W1074" s="88">
        <v>80000</v>
      </c>
      <c r="X1074" s="88">
        <v>86400</v>
      </c>
      <c r="Y1074" s="88">
        <v>15000</v>
      </c>
      <c r="Z1074" s="88">
        <v>16200</v>
      </c>
      <c r="AA1074" s="85">
        <v>43699</v>
      </c>
      <c r="AB1074" s="85">
        <v>43700</v>
      </c>
      <c r="AC1074" s="85">
        <v>43700</v>
      </c>
      <c r="AD1074" s="84">
        <v>0</v>
      </c>
      <c r="AG1074" s="84">
        <v>0</v>
      </c>
      <c r="AJ1074" s="84">
        <v>0</v>
      </c>
      <c r="AN1074" s="84" t="s">
        <v>338</v>
      </c>
      <c r="AR1074" s="85">
        <v>43641</v>
      </c>
      <c r="AS1074" s="84">
        <v>6001687682</v>
      </c>
      <c r="AT1074" s="85">
        <v>43641</v>
      </c>
      <c r="AU1074" s="84" t="s">
        <v>2816</v>
      </c>
      <c r="AV1074" s="85">
        <v>43707</v>
      </c>
      <c r="AW1074" s="123">
        <v>43708</v>
      </c>
      <c r="AX1074" s="123">
        <v>43728</v>
      </c>
      <c r="AY1074" s="132">
        <v>91200</v>
      </c>
      <c r="AZ1074" s="132">
        <f>ROUNDDOWN(AY1074+(AY1074*MASTER!$A$2/100),0)</f>
        <v>98496</v>
      </c>
      <c r="BA1074" s="84" t="s">
        <v>400</v>
      </c>
      <c r="BB1074" s="88">
        <v>46000</v>
      </c>
      <c r="BC1074" s="88">
        <v>49680</v>
      </c>
      <c r="BD1074" s="84" t="s">
        <v>3431</v>
      </c>
      <c r="BG1074" s="88">
        <v>0</v>
      </c>
      <c r="BI1074" s="84" t="s">
        <v>434</v>
      </c>
      <c r="BJ1074" s="88">
        <v>9750</v>
      </c>
      <c r="BK1074" s="88">
        <v>10530</v>
      </c>
      <c r="BL1074" s="84" t="s">
        <v>3431</v>
      </c>
      <c r="BS1074" s="88">
        <v>0</v>
      </c>
      <c r="BV1074" s="89">
        <v>86400</v>
      </c>
      <c r="BW1074" s="89">
        <v>60210</v>
      </c>
      <c r="BX1074" s="89">
        <v>43636</v>
      </c>
      <c r="BY1074" s="89">
        <v>26190</v>
      </c>
      <c r="BZ1074" s="112">
        <v>30.312499999999996</v>
      </c>
      <c r="CK1074" s="88">
        <v>0</v>
      </c>
    </row>
    <row r="1075" spans="1:89" x14ac:dyDescent="0.15">
      <c r="A1075" s="84">
        <v>1</v>
      </c>
      <c r="B1075" s="85">
        <v>43650</v>
      </c>
      <c r="C1075" s="85">
        <v>43649</v>
      </c>
      <c r="F1075" s="85" t="s">
        <v>338</v>
      </c>
      <c r="H1075" s="85" t="s">
        <v>338</v>
      </c>
      <c r="J1075" s="84">
        <v>2</v>
      </c>
      <c r="L1075" s="84">
        <v>0</v>
      </c>
      <c r="M1075" s="85">
        <v>43636</v>
      </c>
      <c r="N1075" s="85" t="s">
        <v>265</v>
      </c>
      <c r="O1075" s="86" t="s">
        <v>340</v>
      </c>
      <c r="P1075" s="84" t="s">
        <v>78</v>
      </c>
      <c r="Q1075" s="86" t="s">
        <v>140</v>
      </c>
      <c r="R1075" s="86" t="s">
        <v>3093</v>
      </c>
      <c r="S1075" s="87" t="s">
        <v>1896</v>
      </c>
      <c r="T1075" s="87" t="s">
        <v>726</v>
      </c>
      <c r="U1075" s="88">
        <v>65000</v>
      </c>
      <c r="V1075" s="88">
        <v>70200</v>
      </c>
      <c r="W1075" s="88">
        <v>65000</v>
      </c>
      <c r="X1075" s="88">
        <v>70200</v>
      </c>
      <c r="Z1075" s="88">
        <v>0</v>
      </c>
      <c r="AA1075" s="85">
        <v>43648</v>
      </c>
      <c r="AB1075" s="85">
        <v>43649</v>
      </c>
      <c r="AD1075" s="84">
        <v>0</v>
      </c>
      <c r="AG1075" s="84">
        <v>0</v>
      </c>
      <c r="AJ1075" s="84">
        <v>0</v>
      </c>
      <c r="AN1075" s="84" t="s">
        <v>338</v>
      </c>
      <c r="AR1075" s="85">
        <v>43648</v>
      </c>
      <c r="AS1075" s="84">
        <v>6001689682</v>
      </c>
      <c r="AT1075" s="85">
        <v>43649</v>
      </c>
      <c r="AU1075" s="84" t="s">
        <v>3094</v>
      </c>
      <c r="AV1075" s="85">
        <v>43649</v>
      </c>
      <c r="AW1075" s="123">
        <v>43677</v>
      </c>
      <c r="AX1075" s="123">
        <v>43697</v>
      </c>
      <c r="AY1075" s="132">
        <v>62400</v>
      </c>
      <c r="AZ1075" s="132">
        <f>ROUNDDOWN(AY1075+(AY1075*MASTER!$A$2/100),0)</f>
        <v>67392</v>
      </c>
      <c r="BC1075" s="88">
        <v>0</v>
      </c>
      <c r="BG1075" s="88">
        <v>0</v>
      </c>
      <c r="BK1075" s="88">
        <v>0</v>
      </c>
      <c r="BS1075" s="88">
        <v>0</v>
      </c>
      <c r="BV1075" s="89">
        <v>70200</v>
      </c>
      <c r="BW1075" s="89">
        <v>0</v>
      </c>
      <c r="BX1075" s="89">
        <v>43636</v>
      </c>
      <c r="BY1075" s="89">
        <v>70200</v>
      </c>
      <c r="BZ1075" s="112">
        <v>100</v>
      </c>
      <c r="CK1075" s="88">
        <v>0</v>
      </c>
    </row>
    <row r="1076" spans="1:89" x14ac:dyDescent="0.15">
      <c r="A1076" s="84">
        <v>1</v>
      </c>
      <c r="B1076" s="85">
        <v>43650</v>
      </c>
      <c r="C1076" s="85">
        <v>43650</v>
      </c>
      <c r="F1076" s="85" t="s">
        <v>338</v>
      </c>
      <c r="H1076" s="85" t="s">
        <v>338</v>
      </c>
      <c r="J1076" s="84">
        <v>2</v>
      </c>
      <c r="L1076" s="84">
        <v>0</v>
      </c>
      <c r="M1076" s="85">
        <v>43636</v>
      </c>
      <c r="N1076" s="85" t="s">
        <v>265</v>
      </c>
      <c r="O1076" s="86" t="s">
        <v>340</v>
      </c>
      <c r="P1076" s="84" t="s">
        <v>78</v>
      </c>
      <c r="Q1076" s="86" t="s">
        <v>140</v>
      </c>
      <c r="R1076" s="86" t="s">
        <v>3095</v>
      </c>
      <c r="S1076" s="87" t="s">
        <v>2765</v>
      </c>
      <c r="T1076" s="87" t="s">
        <v>726</v>
      </c>
      <c r="U1076" s="88">
        <v>65000</v>
      </c>
      <c r="V1076" s="88">
        <v>70200</v>
      </c>
      <c r="W1076" s="88">
        <v>65000</v>
      </c>
      <c r="X1076" s="88">
        <v>70200</v>
      </c>
      <c r="Z1076" s="88">
        <v>0</v>
      </c>
      <c r="AA1076" s="85">
        <v>43649</v>
      </c>
      <c r="AB1076" s="85">
        <v>43650</v>
      </c>
      <c r="AD1076" s="84">
        <v>0</v>
      </c>
      <c r="AG1076" s="84">
        <v>0</v>
      </c>
      <c r="AJ1076" s="84">
        <v>0</v>
      </c>
      <c r="AN1076" s="84" t="s">
        <v>338</v>
      </c>
      <c r="AR1076" s="85">
        <v>43648</v>
      </c>
      <c r="AS1076" s="84">
        <v>6001689682</v>
      </c>
      <c r="AT1076" s="85">
        <v>43649</v>
      </c>
      <c r="AU1076" s="84" t="s">
        <v>3094</v>
      </c>
      <c r="AV1076" s="85">
        <v>43650</v>
      </c>
      <c r="AW1076" s="123">
        <v>43677</v>
      </c>
      <c r="AX1076" s="123">
        <v>43697</v>
      </c>
      <c r="AY1076" s="132">
        <v>62400</v>
      </c>
      <c r="AZ1076" s="132">
        <f>ROUNDDOWN(AY1076+(AY1076*MASTER!$A$2/100),0)</f>
        <v>67392</v>
      </c>
      <c r="BC1076" s="88">
        <v>0</v>
      </c>
      <c r="BG1076" s="88">
        <v>0</v>
      </c>
      <c r="BK1076" s="88">
        <v>0</v>
      </c>
      <c r="BS1076" s="88">
        <v>0</v>
      </c>
      <c r="BV1076" s="89">
        <v>70200</v>
      </c>
      <c r="BW1076" s="89">
        <v>0</v>
      </c>
      <c r="BX1076" s="89">
        <v>43636</v>
      </c>
      <c r="BY1076" s="89">
        <v>70200</v>
      </c>
      <c r="BZ1076" s="112">
        <v>100</v>
      </c>
      <c r="CK1076" s="88">
        <v>0</v>
      </c>
    </row>
    <row r="1077" spans="1:89" x14ac:dyDescent="0.15">
      <c r="A1077" s="84">
        <v>1</v>
      </c>
      <c r="B1077" s="85">
        <v>43650</v>
      </c>
      <c r="C1077" s="85">
        <v>43651</v>
      </c>
      <c r="F1077" s="85" t="s">
        <v>338</v>
      </c>
      <c r="H1077" s="85" t="s">
        <v>338</v>
      </c>
      <c r="J1077" s="84">
        <v>2</v>
      </c>
      <c r="L1077" s="84">
        <v>0</v>
      </c>
      <c r="M1077" s="85">
        <v>43636</v>
      </c>
      <c r="N1077" s="85" t="s">
        <v>265</v>
      </c>
      <c r="O1077" s="86" t="s">
        <v>340</v>
      </c>
      <c r="P1077" s="84" t="s">
        <v>78</v>
      </c>
      <c r="Q1077" s="86" t="s">
        <v>140</v>
      </c>
      <c r="R1077" s="86" t="s">
        <v>3096</v>
      </c>
      <c r="S1077" s="87" t="s">
        <v>2021</v>
      </c>
      <c r="T1077" s="87" t="s">
        <v>726</v>
      </c>
      <c r="U1077" s="88">
        <v>65000</v>
      </c>
      <c r="V1077" s="88">
        <v>70200</v>
      </c>
      <c r="W1077" s="88">
        <v>65000</v>
      </c>
      <c r="X1077" s="88">
        <v>70200</v>
      </c>
      <c r="Z1077" s="88">
        <v>0</v>
      </c>
      <c r="AA1077" s="85">
        <v>43650</v>
      </c>
      <c r="AB1077" s="85">
        <v>43651</v>
      </c>
      <c r="AD1077" s="84">
        <v>0</v>
      </c>
      <c r="AG1077" s="84">
        <v>0</v>
      </c>
      <c r="AJ1077" s="84">
        <v>0</v>
      </c>
      <c r="AN1077" s="84" t="s">
        <v>338</v>
      </c>
      <c r="AR1077" s="85">
        <v>43648</v>
      </c>
      <c r="AS1077" s="84">
        <v>6001689682</v>
      </c>
      <c r="AT1077" s="85">
        <v>43649</v>
      </c>
      <c r="AU1077" s="84" t="s">
        <v>3094</v>
      </c>
      <c r="AV1077" s="85">
        <v>43651</v>
      </c>
      <c r="AW1077" s="123">
        <v>43677</v>
      </c>
      <c r="AX1077" s="123">
        <v>43697</v>
      </c>
      <c r="AY1077" s="132">
        <v>62400</v>
      </c>
      <c r="AZ1077" s="132">
        <f>ROUNDDOWN(AY1077+(AY1077*MASTER!$A$2/100),0)</f>
        <v>67392</v>
      </c>
      <c r="BC1077" s="88">
        <v>0</v>
      </c>
      <c r="BG1077" s="88">
        <v>0</v>
      </c>
      <c r="BK1077" s="88">
        <v>0</v>
      </c>
      <c r="BS1077" s="88">
        <v>0</v>
      </c>
      <c r="BV1077" s="89">
        <v>70200</v>
      </c>
      <c r="BW1077" s="89">
        <v>0</v>
      </c>
      <c r="BX1077" s="89">
        <v>43636</v>
      </c>
      <c r="BY1077" s="89">
        <v>70200</v>
      </c>
      <c r="BZ1077" s="112">
        <v>100</v>
      </c>
    </row>
    <row r="1078" spans="1:89" x14ac:dyDescent="0.15">
      <c r="A1078" s="84">
        <v>1</v>
      </c>
      <c r="B1078" s="85">
        <v>43650</v>
      </c>
      <c r="C1078" s="85">
        <v>43652</v>
      </c>
      <c r="F1078" s="85" t="s">
        <v>338</v>
      </c>
      <c r="H1078" s="85" t="s">
        <v>338</v>
      </c>
      <c r="J1078" s="84">
        <v>2</v>
      </c>
      <c r="L1078" s="84">
        <v>0</v>
      </c>
      <c r="M1078" s="85">
        <v>43636</v>
      </c>
      <c r="N1078" s="85" t="s">
        <v>265</v>
      </c>
      <c r="O1078" s="86" t="s">
        <v>340</v>
      </c>
      <c r="P1078" s="84" t="s">
        <v>78</v>
      </c>
      <c r="Q1078" s="86" t="s">
        <v>140</v>
      </c>
      <c r="R1078" s="86" t="s">
        <v>3097</v>
      </c>
      <c r="S1078" s="87" t="s">
        <v>709</v>
      </c>
      <c r="T1078" s="87" t="s">
        <v>726</v>
      </c>
      <c r="U1078" s="88">
        <v>65000</v>
      </c>
      <c r="V1078" s="88">
        <v>70200</v>
      </c>
      <c r="W1078" s="88">
        <v>65000</v>
      </c>
      <c r="X1078" s="88">
        <v>70200</v>
      </c>
      <c r="Z1078" s="88">
        <v>0</v>
      </c>
      <c r="AA1078" s="85">
        <v>43651</v>
      </c>
      <c r="AB1078" s="85">
        <v>43652</v>
      </c>
      <c r="AD1078" s="84">
        <v>0</v>
      </c>
      <c r="AG1078" s="84">
        <v>0</v>
      </c>
      <c r="AJ1078" s="84">
        <v>0</v>
      </c>
      <c r="AN1078" s="84" t="s">
        <v>338</v>
      </c>
      <c r="AR1078" s="85">
        <v>43648</v>
      </c>
      <c r="AS1078" s="84">
        <v>6001689682</v>
      </c>
      <c r="AT1078" s="85">
        <v>43649</v>
      </c>
      <c r="AU1078" s="84" t="s">
        <v>3094</v>
      </c>
      <c r="AV1078" s="85">
        <v>43652</v>
      </c>
      <c r="AW1078" s="123">
        <v>43677</v>
      </c>
      <c r="AX1078" s="123">
        <v>43697</v>
      </c>
      <c r="AY1078" s="132">
        <v>62400</v>
      </c>
      <c r="AZ1078" s="132">
        <f>ROUNDDOWN(AY1078+(AY1078*MASTER!$A$2/100),0)</f>
        <v>67392</v>
      </c>
      <c r="BC1078" s="88">
        <v>0</v>
      </c>
      <c r="BG1078" s="88">
        <v>0</v>
      </c>
      <c r="BK1078" s="88">
        <v>0</v>
      </c>
      <c r="BS1078" s="88">
        <v>0</v>
      </c>
      <c r="BV1078" s="89">
        <v>70200</v>
      </c>
      <c r="BW1078" s="89">
        <v>0</v>
      </c>
      <c r="BX1078" s="89">
        <v>43636</v>
      </c>
      <c r="BY1078" s="89">
        <v>70200</v>
      </c>
      <c r="BZ1078" s="112">
        <v>100</v>
      </c>
      <c r="CK1078" s="88">
        <v>0</v>
      </c>
    </row>
    <row r="1079" spans="1:89" x14ac:dyDescent="0.15">
      <c r="A1079" s="84">
        <v>1</v>
      </c>
      <c r="B1079" s="85">
        <v>43650</v>
      </c>
      <c r="C1079" s="85">
        <v>43653</v>
      </c>
      <c r="F1079" s="85" t="s">
        <v>338</v>
      </c>
      <c r="H1079" s="85" t="s">
        <v>338</v>
      </c>
      <c r="J1079" s="84">
        <v>2</v>
      </c>
      <c r="L1079" s="84">
        <v>0</v>
      </c>
      <c r="M1079" s="85">
        <v>43636</v>
      </c>
      <c r="N1079" s="85" t="s">
        <v>265</v>
      </c>
      <c r="O1079" s="86" t="s">
        <v>340</v>
      </c>
      <c r="P1079" s="84" t="s">
        <v>78</v>
      </c>
      <c r="Q1079" s="86" t="s">
        <v>140</v>
      </c>
      <c r="R1079" s="86" t="s">
        <v>3098</v>
      </c>
      <c r="S1079" s="87" t="s">
        <v>1845</v>
      </c>
      <c r="T1079" s="87" t="s">
        <v>726</v>
      </c>
      <c r="U1079" s="88">
        <v>65000</v>
      </c>
      <c r="V1079" s="88">
        <v>70200</v>
      </c>
      <c r="W1079" s="88">
        <v>65000</v>
      </c>
      <c r="X1079" s="88">
        <v>70200</v>
      </c>
      <c r="Z1079" s="88">
        <v>0</v>
      </c>
      <c r="AA1079" s="85">
        <v>43652</v>
      </c>
      <c r="AB1079" s="85">
        <v>43653</v>
      </c>
      <c r="AD1079" s="84">
        <v>0</v>
      </c>
      <c r="AG1079" s="84">
        <v>0</v>
      </c>
      <c r="AJ1079" s="84">
        <v>0</v>
      </c>
      <c r="AN1079" s="84" t="s">
        <v>338</v>
      </c>
      <c r="AR1079" s="85">
        <v>43648</v>
      </c>
      <c r="AS1079" s="84">
        <v>6001689682</v>
      </c>
      <c r="AT1079" s="85">
        <v>43649</v>
      </c>
      <c r="AU1079" s="84" t="s">
        <v>3094</v>
      </c>
      <c r="AV1079" s="85">
        <v>43653</v>
      </c>
      <c r="AW1079" s="123">
        <v>43677</v>
      </c>
      <c r="AX1079" s="123">
        <v>43697</v>
      </c>
      <c r="AY1079" s="132">
        <v>62400</v>
      </c>
      <c r="AZ1079" s="132">
        <f>ROUNDDOWN(AY1079+(AY1079*MASTER!$A$2/100),0)</f>
        <v>67392</v>
      </c>
      <c r="BC1079" s="88">
        <v>0</v>
      </c>
      <c r="BG1079" s="88">
        <v>0</v>
      </c>
      <c r="BK1079" s="88">
        <v>0</v>
      </c>
      <c r="BS1079" s="88">
        <v>0</v>
      </c>
      <c r="BV1079" s="89">
        <v>70200</v>
      </c>
      <c r="BW1079" s="89">
        <v>0</v>
      </c>
      <c r="BX1079" s="89">
        <v>43636</v>
      </c>
      <c r="BY1079" s="89">
        <v>70200</v>
      </c>
      <c r="BZ1079" s="112">
        <v>100</v>
      </c>
      <c r="CK1079" s="88">
        <v>0</v>
      </c>
    </row>
    <row r="1080" spans="1:89" x14ac:dyDescent="0.15">
      <c r="A1080" s="84">
        <v>1</v>
      </c>
      <c r="B1080" s="85">
        <v>43650</v>
      </c>
      <c r="C1080" s="85">
        <v>43655</v>
      </c>
      <c r="F1080" s="85" t="s">
        <v>338</v>
      </c>
      <c r="H1080" s="85" t="s">
        <v>338</v>
      </c>
      <c r="J1080" s="84">
        <v>2</v>
      </c>
      <c r="L1080" s="84">
        <v>0</v>
      </c>
      <c r="M1080" s="85">
        <v>43636</v>
      </c>
      <c r="N1080" s="85" t="s">
        <v>265</v>
      </c>
      <c r="O1080" s="86" t="s">
        <v>340</v>
      </c>
      <c r="P1080" s="84" t="s">
        <v>78</v>
      </c>
      <c r="Q1080" s="86" t="s">
        <v>140</v>
      </c>
      <c r="R1080" s="86" t="s">
        <v>3099</v>
      </c>
      <c r="S1080" s="87" t="s">
        <v>1891</v>
      </c>
      <c r="T1080" s="87" t="s">
        <v>726</v>
      </c>
      <c r="U1080" s="88">
        <v>65000</v>
      </c>
      <c r="V1080" s="88">
        <v>70200</v>
      </c>
      <c r="W1080" s="88">
        <v>65000</v>
      </c>
      <c r="X1080" s="88">
        <v>70200</v>
      </c>
      <c r="Z1080" s="88">
        <v>0</v>
      </c>
      <c r="AA1080" s="85">
        <v>43654</v>
      </c>
      <c r="AB1080" s="85">
        <v>43655</v>
      </c>
      <c r="AD1080" s="84">
        <v>0</v>
      </c>
      <c r="AG1080" s="84">
        <v>0</v>
      </c>
      <c r="AJ1080" s="84">
        <v>0</v>
      </c>
      <c r="AN1080" s="84" t="s">
        <v>338</v>
      </c>
      <c r="AR1080" s="85">
        <v>43648</v>
      </c>
      <c r="AS1080" s="84">
        <v>6001689682</v>
      </c>
      <c r="AT1080" s="85">
        <v>43649</v>
      </c>
      <c r="AU1080" s="84" t="s">
        <v>3094</v>
      </c>
      <c r="AV1080" s="85">
        <v>43655</v>
      </c>
      <c r="AW1080" s="123">
        <v>43677</v>
      </c>
      <c r="AX1080" s="123">
        <v>43697</v>
      </c>
      <c r="AY1080" s="132">
        <v>62400</v>
      </c>
      <c r="AZ1080" s="132">
        <f>ROUNDDOWN(AY1080+(AY1080*MASTER!$A$2/100),0)</f>
        <v>67392</v>
      </c>
      <c r="BC1080" s="88">
        <v>0</v>
      </c>
      <c r="BG1080" s="88">
        <v>0</v>
      </c>
      <c r="BK1080" s="88">
        <v>0</v>
      </c>
      <c r="BS1080" s="88">
        <v>0</v>
      </c>
      <c r="BV1080" s="89">
        <v>70200</v>
      </c>
      <c r="BW1080" s="89">
        <v>0</v>
      </c>
      <c r="BX1080" s="89">
        <v>43636</v>
      </c>
      <c r="BY1080" s="89">
        <v>70200</v>
      </c>
      <c r="BZ1080" s="112">
        <v>100</v>
      </c>
      <c r="CK1080" s="88">
        <v>0</v>
      </c>
    </row>
    <row r="1081" spans="1:89" x14ac:dyDescent="0.15">
      <c r="A1081" s="84">
        <v>1</v>
      </c>
      <c r="B1081" s="85">
        <v>43650</v>
      </c>
      <c r="C1081" s="85">
        <v>43656</v>
      </c>
      <c r="F1081" s="85" t="s">
        <v>338</v>
      </c>
      <c r="H1081" s="85" t="s">
        <v>338</v>
      </c>
      <c r="J1081" s="84">
        <v>2</v>
      </c>
      <c r="L1081" s="84">
        <v>0</v>
      </c>
      <c r="M1081" s="85">
        <v>43636</v>
      </c>
      <c r="N1081" s="85" t="s">
        <v>265</v>
      </c>
      <c r="O1081" s="86" t="s">
        <v>340</v>
      </c>
      <c r="P1081" s="84" t="s">
        <v>78</v>
      </c>
      <c r="Q1081" s="86" t="s">
        <v>140</v>
      </c>
      <c r="R1081" s="86" t="s">
        <v>3100</v>
      </c>
      <c r="S1081" s="87" t="s">
        <v>888</v>
      </c>
      <c r="T1081" s="87" t="s">
        <v>726</v>
      </c>
      <c r="U1081" s="88">
        <v>65000</v>
      </c>
      <c r="V1081" s="88">
        <v>70200</v>
      </c>
      <c r="W1081" s="88">
        <v>65000</v>
      </c>
      <c r="X1081" s="88">
        <v>70200</v>
      </c>
      <c r="Z1081" s="88">
        <v>0</v>
      </c>
      <c r="AA1081" s="85">
        <v>43655</v>
      </c>
      <c r="AB1081" s="85">
        <v>43656</v>
      </c>
      <c r="AD1081" s="84">
        <v>0</v>
      </c>
      <c r="AG1081" s="84">
        <v>0</v>
      </c>
      <c r="AJ1081" s="84">
        <v>0</v>
      </c>
      <c r="AN1081" s="84" t="s">
        <v>338</v>
      </c>
      <c r="AR1081" s="85">
        <v>43648</v>
      </c>
      <c r="AS1081" s="84">
        <v>6001689682</v>
      </c>
      <c r="AT1081" s="85">
        <v>43649</v>
      </c>
      <c r="AU1081" s="84" t="s">
        <v>3094</v>
      </c>
      <c r="AV1081" s="85">
        <v>43656</v>
      </c>
      <c r="AW1081" s="123">
        <v>43677</v>
      </c>
      <c r="AX1081" s="123">
        <v>43697</v>
      </c>
      <c r="AY1081" s="132">
        <v>62400</v>
      </c>
      <c r="AZ1081" s="132">
        <f>ROUNDDOWN(AY1081+(AY1081*MASTER!$A$2/100),0)</f>
        <v>67392</v>
      </c>
      <c r="BC1081" s="88">
        <v>0</v>
      </c>
      <c r="BG1081" s="88">
        <v>0</v>
      </c>
      <c r="BK1081" s="88">
        <v>0</v>
      </c>
      <c r="BS1081" s="88">
        <v>0</v>
      </c>
      <c r="BV1081" s="89">
        <v>70200</v>
      </c>
      <c r="BW1081" s="89">
        <v>0</v>
      </c>
      <c r="BX1081" s="89">
        <v>43636</v>
      </c>
      <c r="BY1081" s="89">
        <v>70200</v>
      </c>
      <c r="BZ1081" s="112">
        <v>100</v>
      </c>
      <c r="CK1081" s="88">
        <v>0</v>
      </c>
    </row>
    <row r="1082" spans="1:89" x14ac:dyDescent="0.15">
      <c r="A1082" s="84">
        <v>1</v>
      </c>
      <c r="B1082" s="85">
        <v>43650</v>
      </c>
      <c r="C1082" s="85">
        <v>43657</v>
      </c>
      <c r="F1082" s="85" t="s">
        <v>338</v>
      </c>
      <c r="H1082" s="85" t="s">
        <v>338</v>
      </c>
      <c r="J1082" s="84">
        <v>2</v>
      </c>
      <c r="L1082" s="84">
        <v>0</v>
      </c>
      <c r="M1082" s="85">
        <v>43636</v>
      </c>
      <c r="N1082" s="85" t="s">
        <v>265</v>
      </c>
      <c r="O1082" s="86" t="s">
        <v>340</v>
      </c>
      <c r="P1082" s="84" t="s">
        <v>78</v>
      </c>
      <c r="Q1082" s="86" t="s">
        <v>140</v>
      </c>
      <c r="R1082" s="86" t="s">
        <v>3101</v>
      </c>
      <c r="S1082" s="87" t="s">
        <v>1103</v>
      </c>
      <c r="T1082" s="87" t="s">
        <v>726</v>
      </c>
      <c r="U1082" s="88">
        <v>65000</v>
      </c>
      <c r="V1082" s="88">
        <v>70200</v>
      </c>
      <c r="W1082" s="88">
        <v>65000</v>
      </c>
      <c r="X1082" s="88">
        <v>70200</v>
      </c>
      <c r="Z1082" s="88">
        <v>0</v>
      </c>
      <c r="AA1082" s="85">
        <v>43656</v>
      </c>
      <c r="AB1082" s="85">
        <v>43657</v>
      </c>
      <c r="AD1082" s="84">
        <v>0</v>
      </c>
      <c r="AG1082" s="84">
        <v>0</v>
      </c>
      <c r="AJ1082" s="84">
        <v>0</v>
      </c>
      <c r="AN1082" s="84" t="s">
        <v>338</v>
      </c>
      <c r="AR1082" s="85">
        <v>43648</v>
      </c>
      <c r="AS1082" s="84">
        <v>6001689682</v>
      </c>
      <c r="AT1082" s="85">
        <v>43649</v>
      </c>
      <c r="AU1082" s="84" t="s">
        <v>3094</v>
      </c>
      <c r="AV1082" s="85">
        <v>43657</v>
      </c>
      <c r="AW1082" s="123">
        <v>43677</v>
      </c>
      <c r="AX1082" s="123">
        <v>43697</v>
      </c>
      <c r="AY1082" s="132">
        <v>62400</v>
      </c>
      <c r="AZ1082" s="132">
        <f>ROUNDDOWN(AY1082+(AY1082*MASTER!$A$2/100),0)</f>
        <v>67392</v>
      </c>
      <c r="BC1082" s="88">
        <v>0</v>
      </c>
      <c r="BG1082" s="88">
        <v>0</v>
      </c>
      <c r="BK1082" s="88">
        <v>0</v>
      </c>
      <c r="BS1082" s="88">
        <v>0</v>
      </c>
      <c r="BV1082" s="89">
        <v>70200</v>
      </c>
      <c r="BW1082" s="89">
        <v>0</v>
      </c>
      <c r="BX1082" s="89">
        <v>43636</v>
      </c>
      <c r="BY1082" s="89">
        <v>70200</v>
      </c>
      <c r="BZ1082" s="112">
        <v>100</v>
      </c>
      <c r="CK1082" s="88">
        <v>0</v>
      </c>
    </row>
    <row r="1083" spans="1:89" x14ac:dyDescent="0.15">
      <c r="A1083" s="84">
        <v>1</v>
      </c>
      <c r="B1083" s="85">
        <v>43650</v>
      </c>
      <c r="C1083" s="85">
        <v>43658</v>
      </c>
      <c r="F1083" s="85" t="s">
        <v>338</v>
      </c>
      <c r="H1083" s="85" t="s">
        <v>338</v>
      </c>
      <c r="J1083" s="84">
        <v>2</v>
      </c>
      <c r="L1083" s="84">
        <v>0</v>
      </c>
      <c r="M1083" s="85">
        <v>43636</v>
      </c>
      <c r="N1083" s="85" t="s">
        <v>265</v>
      </c>
      <c r="O1083" s="86" t="s">
        <v>340</v>
      </c>
      <c r="P1083" s="84" t="s">
        <v>78</v>
      </c>
      <c r="Q1083" s="86" t="s">
        <v>140</v>
      </c>
      <c r="R1083" s="86" t="s">
        <v>3102</v>
      </c>
      <c r="S1083" s="87" t="s">
        <v>720</v>
      </c>
      <c r="T1083" s="87" t="s">
        <v>726</v>
      </c>
      <c r="U1083" s="88">
        <v>65000</v>
      </c>
      <c r="V1083" s="88">
        <v>70200</v>
      </c>
      <c r="W1083" s="88">
        <v>65000</v>
      </c>
      <c r="X1083" s="88">
        <v>70200</v>
      </c>
      <c r="Z1083" s="88">
        <v>0</v>
      </c>
      <c r="AA1083" s="85">
        <v>43657</v>
      </c>
      <c r="AB1083" s="85">
        <v>43658</v>
      </c>
      <c r="AD1083" s="84">
        <v>0</v>
      </c>
      <c r="AG1083" s="84">
        <v>0</v>
      </c>
      <c r="AJ1083" s="84">
        <v>0</v>
      </c>
      <c r="AN1083" s="84" t="s">
        <v>338</v>
      </c>
      <c r="AR1083" s="85">
        <v>43648</v>
      </c>
      <c r="AS1083" s="84">
        <v>6001689682</v>
      </c>
      <c r="AT1083" s="85">
        <v>43649</v>
      </c>
      <c r="AU1083" s="84" t="s">
        <v>3094</v>
      </c>
      <c r="AV1083" s="85">
        <v>43658</v>
      </c>
      <c r="AW1083" s="123">
        <v>43677</v>
      </c>
      <c r="AX1083" s="123">
        <v>43697</v>
      </c>
      <c r="AY1083" s="132">
        <v>62400</v>
      </c>
      <c r="AZ1083" s="132">
        <f>ROUNDDOWN(AY1083+(AY1083*MASTER!$A$2/100),0)</f>
        <v>67392</v>
      </c>
      <c r="BC1083" s="88">
        <v>0</v>
      </c>
      <c r="BG1083" s="88">
        <v>0</v>
      </c>
      <c r="BK1083" s="88">
        <v>0</v>
      </c>
      <c r="BS1083" s="88">
        <v>0</v>
      </c>
      <c r="BV1083" s="89">
        <v>70200</v>
      </c>
      <c r="BW1083" s="89">
        <v>0</v>
      </c>
      <c r="BX1083" s="89">
        <v>43636</v>
      </c>
      <c r="BY1083" s="89">
        <v>70200</v>
      </c>
      <c r="BZ1083" s="112">
        <v>100</v>
      </c>
      <c r="CK1083" s="88">
        <v>0</v>
      </c>
    </row>
    <row r="1084" spans="1:89" x14ac:dyDescent="0.15">
      <c r="A1084" s="84">
        <v>1</v>
      </c>
      <c r="B1084" s="85">
        <v>43650</v>
      </c>
      <c r="C1084" s="85">
        <v>43659</v>
      </c>
      <c r="F1084" s="85" t="s">
        <v>338</v>
      </c>
      <c r="H1084" s="85" t="s">
        <v>338</v>
      </c>
      <c r="J1084" s="84">
        <v>2</v>
      </c>
      <c r="L1084" s="84">
        <v>0</v>
      </c>
      <c r="M1084" s="85">
        <v>43636</v>
      </c>
      <c r="N1084" s="85" t="s">
        <v>265</v>
      </c>
      <c r="O1084" s="86" t="s">
        <v>340</v>
      </c>
      <c r="P1084" s="84" t="s">
        <v>78</v>
      </c>
      <c r="Q1084" s="86" t="s">
        <v>140</v>
      </c>
      <c r="R1084" s="86" t="s">
        <v>3103</v>
      </c>
      <c r="S1084" s="87" t="s">
        <v>415</v>
      </c>
      <c r="T1084" s="87" t="s">
        <v>726</v>
      </c>
      <c r="U1084" s="88">
        <v>65000</v>
      </c>
      <c r="V1084" s="88">
        <v>70200</v>
      </c>
      <c r="W1084" s="88">
        <v>65000</v>
      </c>
      <c r="X1084" s="88">
        <v>70200</v>
      </c>
      <c r="Z1084" s="88">
        <v>0</v>
      </c>
      <c r="AA1084" s="85">
        <v>43658</v>
      </c>
      <c r="AB1084" s="85">
        <v>43659</v>
      </c>
      <c r="AD1084" s="84">
        <v>0</v>
      </c>
      <c r="AG1084" s="84">
        <v>0</v>
      </c>
      <c r="AJ1084" s="84">
        <v>0</v>
      </c>
      <c r="AN1084" s="84" t="s">
        <v>338</v>
      </c>
      <c r="AR1084" s="85">
        <v>43648</v>
      </c>
      <c r="AS1084" s="84">
        <v>6001689682</v>
      </c>
      <c r="AT1084" s="85">
        <v>43649</v>
      </c>
      <c r="AU1084" s="84" t="s">
        <v>3094</v>
      </c>
      <c r="AV1084" s="85">
        <v>43659</v>
      </c>
      <c r="AW1084" s="123">
        <v>43677</v>
      </c>
      <c r="AX1084" s="123">
        <v>43697</v>
      </c>
      <c r="AY1084" s="132">
        <v>62400</v>
      </c>
      <c r="AZ1084" s="132">
        <f>ROUNDDOWN(AY1084+(AY1084*MASTER!$A$2/100),0)</f>
        <v>67392</v>
      </c>
      <c r="BC1084" s="88">
        <v>0</v>
      </c>
      <c r="BG1084" s="88">
        <v>0</v>
      </c>
      <c r="BK1084" s="88">
        <v>0</v>
      </c>
      <c r="BS1084" s="88">
        <v>0</v>
      </c>
      <c r="BV1084" s="89">
        <v>70200</v>
      </c>
      <c r="BW1084" s="89">
        <v>0</v>
      </c>
      <c r="BX1084" s="89">
        <v>43636</v>
      </c>
      <c r="BY1084" s="89">
        <v>70200</v>
      </c>
      <c r="BZ1084" s="112">
        <v>100</v>
      </c>
      <c r="CK1084" s="88">
        <v>0</v>
      </c>
    </row>
    <row r="1085" spans="1:89" x14ac:dyDescent="0.15">
      <c r="A1085" s="84">
        <v>1</v>
      </c>
      <c r="B1085" s="85">
        <v>43650</v>
      </c>
      <c r="C1085" s="85">
        <v>43662</v>
      </c>
      <c r="F1085" s="85" t="s">
        <v>338</v>
      </c>
      <c r="H1085" s="85" t="s">
        <v>338</v>
      </c>
      <c r="J1085" s="84">
        <v>2</v>
      </c>
      <c r="L1085" s="84">
        <v>0</v>
      </c>
      <c r="M1085" s="85">
        <v>43636</v>
      </c>
      <c r="N1085" s="85" t="s">
        <v>265</v>
      </c>
      <c r="O1085" s="86" t="s">
        <v>340</v>
      </c>
      <c r="P1085" s="84" t="s">
        <v>78</v>
      </c>
      <c r="Q1085" s="86" t="s">
        <v>140</v>
      </c>
      <c r="R1085" s="86" t="s">
        <v>3104</v>
      </c>
      <c r="S1085" s="87" t="s">
        <v>1220</v>
      </c>
      <c r="T1085" s="87" t="s">
        <v>726</v>
      </c>
      <c r="U1085" s="88">
        <v>65000</v>
      </c>
      <c r="V1085" s="88">
        <v>70200</v>
      </c>
      <c r="W1085" s="88">
        <v>65000</v>
      </c>
      <c r="X1085" s="88">
        <v>70200</v>
      </c>
      <c r="Z1085" s="88">
        <v>0</v>
      </c>
      <c r="AA1085" s="85">
        <v>43661</v>
      </c>
      <c r="AB1085" s="85">
        <v>43662</v>
      </c>
      <c r="AD1085" s="84">
        <v>0</v>
      </c>
      <c r="AG1085" s="84">
        <v>0</v>
      </c>
      <c r="AJ1085" s="84">
        <v>0</v>
      </c>
      <c r="AN1085" s="84" t="s">
        <v>338</v>
      </c>
      <c r="AR1085" s="85">
        <v>43648</v>
      </c>
      <c r="AS1085" s="84">
        <v>6001689682</v>
      </c>
      <c r="AT1085" s="85">
        <v>43649</v>
      </c>
      <c r="AU1085" s="84" t="s">
        <v>3094</v>
      </c>
      <c r="AV1085" s="85">
        <v>43662</v>
      </c>
      <c r="AW1085" s="123">
        <v>43677</v>
      </c>
      <c r="AX1085" s="123">
        <v>43697</v>
      </c>
      <c r="AY1085" s="132">
        <v>62400</v>
      </c>
      <c r="AZ1085" s="132">
        <f>ROUNDDOWN(AY1085+(AY1085*MASTER!$A$2/100),0)</f>
        <v>67392</v>
      </c>
      <c r="BC1085" s="88">
        <v>0</v>
      </c>
      <c r="BG1085" s="88">
        <v>0</v>
      </c>
      <c r="BK1085" s="88">
        <v>0</v>
      </c>
      <c r="BS1085" s="88">
        <v>0</v>
      </c>
      <c r="BV1085" s="89">
        <v>70200</v>
      </c>
      <c r="BW1085" s="89">
        <v>0</v>
      </c>
      <c r="BX1085" s="89">
        <v>43636</v>
      </c>
      <c r="BY1085" s="89">
        <v>70200</v>
      </c>
      <c r="BZ1085" s="112">
        <v>100</v>
      </c>
      <c r="CK1085" s="88">
        <v>0</v>
      </c>
    </row>
    <row r="1086" spans="1:89" x14ac:dyDescent="0.15">
      <c r="A1086" s="84">
        <v>1</v>
      </c>
      <c r="B1086" s="85">
        <v>43650</v>
      </c>
      <c r="C1086" s="85">
        <v>43663</v>
      </c>
      <c r="F1086" s="85" t="s">
        <v>338</v>
      </c>
      <c r="H1086" s="85" t="s">
        <v>338</v>
      </c>
      <c r="J1086" s="84">
        <v>2</v>
      </c>
      <c r="L1086" s="84">
        <v>0</v>
      </c>
      <c r="M1086" s="85">
        <v>43636</v>
      </c>
      <c r="N1086" s="85" t="s">
        <v>265</v>
      </c>
      <c r="O1086" s="86" t="s">
        <v>340</v>
      </c>
      <c r="P1086" s="84" t="s">
        <v>78</v>
      </c>
      <c r="Q1086" s="86" t="s">
        <v>140</v>
      </c>
      <c r="R1086" s="86" t="s">
        <v>3105</v>
      </c>
      <c r="S1086" s="87" t="s">
        <v>1171</v>
      </c>
      <c r="T1086" s="87" t="s">
        <v>726</v>
      </c>
      <c r="U1086" s="88">
        <v>65000</v>
      </c>
      <c r="V1086" s="88">
        <v>70200</v>
      </c>
      <c r="W1086" s="88">
        <v>65000</v>
      </c>
      <c r="X1086" s="88">
        <v>70200</v>
      </c>
      <c r="Z1086" s="88">
        <v>0</v>
      </c>
      <c r="AA1086" s="85">
        <v>43662</v>
      </c>
      <c r="AB1086" s="85">
        <v>43663</v>
      </c>
      <c r="AD1086" s="84">
        <v>0</v>
      </c>
      <c r="AG1086" s="84">
        <v>0</v>
      </c>
      <c r="AJ1086" s="84">
        <v>0</v>
      </c>
      <c r="AN1086" s="84" t="s">
        <v>338</v>
      </c>
      <c r="AR1086" s="85">
        <v>43648</v>
      </c>
      <c r="AS1086" s="84">
        <v>6001689682</v>
      </c>
      <c r="AT1086" s="85">
        <v>43649</v>
      </c>
      <c r="AU1086" s="84" t="s">
        <v>3094</v>
      </c>
      <c r="AV1086" s="85">
        <v>43663</v>
      </c>
      <c r="AW1086" s="123">
        <v>43677</v>
      </c>
      <c r="AX1086" s="123">
        <v>43697</v>
      </c>
      <c r="AY1086" s="132">
        <v>62400</v>
      </c>
      <c r="AZ1086" s="132">
        <f>ROUNDDOWN(AY1086+(AY1086*MASTER!$A$2/100),0)</f>
        <v>67392</v>
      </c>
      <c r="BC1086" s="88">
        <v>0</v>
      </c>
      <c r="BG1086" s="88">
        <v>0</v>
      </c>
      <c r="BK1086" s="88">
        <v>0</v>
      </c>
      <c r="BS1086" s="88">
        <v>0</v>
      </c>
      <c r="BV1086" s="89">
        <v>70200</v>
      </c>
      <c r="BW1086" s="89">
        <v>0</v>
      </c>
      <c r="BX1086" s="89">
        <v>43636</v>
      </c>
      <c r="BY1086" s="89">
        <v>70200</v>
      </c>
      <c r="BZ1086" s="112">
        <v>100</v>
      </c>
      <c r="CK1086" s="88">
        <v>0</v>
      </c>
    </row>
    <row r="1087" spans="1:89" x14ac:dyDescent="0.15">
      <c r="A1087" s="84">
        <v>1</v>
      </c>
      <c r="B1087" s="85">
        <v>43650</v>
      </c>
      <c r="C1087" s="85">
        <v>43664</v>
      </c>
      <c r="F1087" s="85" t="s">
        <v>338</v>
      </c>
      <c r="H1087" s="85" t="s">
        <v>338</v>
      </c>
      <c r="J1087" s="84">
        <v>2</v>
      </c>
      <c r="L1087" s="84">
        <v>0</v>
      </c>
      <c r="M1087" s="85">
        <v>43636</v>
      </c>
      <c r="N1087" s="85" t="s">
        <v>265</v>
      </c>
      <c r="O1087" s="86" t="s">
        <v>340</v>
      </c>
      <c r="P1087" s="84" t="s">
        <v>78</v>
      </c>
      <c r="Q1087" s="86" t="s">
        <v>140</v>
      </c>
      <c r="R1087" s="86" t="s">
        <v>3106</v>
      </c>
      <c r="S1087" s="87" t="s">
        <v>1464</v>
      </c>
      <c r="T1087" s="87" t="s">
        <v>726</v>
      </c>
      <c r="U1087" s="88">
        <v>65000</v>
      </c>
      <c r="V1087" s="88">
        <v>70200</v>
      </c>
      <c r="W1087" s="88">
        <v>65000</v>
      </c>
      <c r="X1087" s="88">
        <v>70200</v>
      </c>
      <c r="Z1087" s="88">
        <v>0</v>
      </c>
      <c r="AA1087" s="85">
        <v>43663</v>
      </c>
      <c r="AB1087" s="85">
        <v>43664</v>
      </c>
      <c r="AD1087" s="84">
        <v>0</v>
      </c>
      <c r="AG1087" s="84">
        <v>0</v>
      </c>
      <c r="AJ1087" s="84">
        <v>0</v>
      </c>
      <c r="AN1087" s="84" t="s">
        <v>338</v>
      </c>
      <c r="AR1087" s="85">
        <v>43648</v>
      </c>
      <c r="AS1087" s="84">
        <v>6001689682</v>
      </c>
      <c r="AT1087" s="85">
        <v>43649</v>
      </c>
      <c r="AU1087" s="84" t="s">
        <v>3094</v>
      </c>
      <c r="AV1087" s="85">
        <v>43664</v>
      </c>
      <c r="AW1087" s="123">
        <v>43677</v>
      </c>
      <c r="AX1087" s="123">
        <v>43697</v>
      </c>
      <c r="AY1087" s="132">
        <v>62400</v>
      </c>
      <c r="AZ1087" s="132">
        <f>ROUNDDOWN(AY1087+(AY1087*MASTER!$A$2/100),0)</f>
        <v>67392</v>
      </c>
      <c r="BC1087" s="88">
        <v>0</v>
      </c>
      <c r="BG1087" s="88">
        <v>0</v>
      </c>
      <c r="BK1087" s="88">
        <v>0</v>
      </c>
      <c r="BS1087" s="88">
        <v>0</v>
      </c>
      <c r="BV1087" s="89">
        <v>70200</v>
      </c>
      <c r="BW1087" s="89">
        <v>0</v>
      </c>
      <c r="BX1087" s="89">
        <v>43636</v>
      </c>
      <c r="BY1087" s="89">
        <v>70200</v>
      </c>
      <c r="BZ1087" s="112">
        <v>100</v>
      </c>
      <c r="CK1087" s="88">
        <v>0</v>
      </c>
    </row>
    <row r="1088" spans="1:89" s="151" customFormat="1" x14ac:dyDescent="0.15">
      <c r="A1088" s="141">
        <v>3</v>
      </c>
      <c r="B1088" s="142"/>
      <c r="C1088" s="142">
        <v>43665</v>
      </c>
      <c r="D1088" s="142"/>
      <c r="E1088" s="142"/>
      <c r="F1088" s="142" t="s">
        <v>338</v>
      </c>
      <c r="G1088" s="142"/>
      <c r="H1088" s="142" t="s">
        <v>338</v>
      </c>
      <c r="I1088" s="141"/>
      <c r="J1088" s="141">
        <v>2</v>
      </c>
      <c r="K1088" s="142"/>
      <c r="L1088" s="141">
        <v>0</v>
      </c>
      <c r="M1088" s="142">
        <v>43636</v>
      </c>
      <c r="N1088" s="142" t="s">
        <v>265</v>
      </c>
      <c r="O1088" s="143" t="s">
        <v>340</v>
      </c>
      <c r="P1088" s="141" t="s">
        <v>78</v>
      </c>
      <c r="Q1088" s="143" t="s">
        <v>140</v>
      </c>
      <c r="R1088" s="143" t="s">
        <v>3107</v>
      </c>
      <c r="S1088" s="144" t="s">
        <v>1473</v>
      </c>
      <c r="T1088" s="144" t="s">
        <v>726</v>
      </c>
      <c r="U1088" s="145">
        <v>65000</v>
      </c>
      <c r="V1088" s="145">
        <v>70200</v>
      </c>
      <c r="W1088" s="145">
        <v>65000</v>
      </c>
      <c r="X1088" s="145">
        <v>70200</v>
      </c>
      <c r="Y1088" s="145"/>
      <c r="Z1088" s="145">
        <v>0</v>
      </c>
      <c r="AA1088" s="142">
        <v>43664</v>
      </c>
      <c r="AB1088" s="142">
        <v>43665</v>
      </c>
      <c r="AC1088" s="142"/>
      <c r="AD1088" s="141">
        <v>0</v>
      </c>
      <c r="AE1088" s="141"/>
      <c r="AF1088" s="141"/>
      <c r="AG1088" s="141">
        <v>0</v>
      </c>
      <c r="AH1088" s="141"/>
      <c r="AI1088" s="141"/>
      <c r="AJ1088" s="141">
        <v>0</v>
      </c>
      <c r="AK1088" s="141"/>
      <c r="AL1088" s="141"/>
      <c r="AM1088" s="141"/>
      <c r="AN1088" s="141" t="s">
        <v>338</v>
      </c>
      <c r="AO1088" s="142"/>
      <c r="AP1088" s="141"/>
      <c r="AQ1088" s="141"/>
      <c r="AR1088" s="142"/>
      <c r="AS1088" s="141"/>
      <c r="AT1088" s="142"/>
      <c r="AU1088" s="141"/>
      <c r="AV1088" s="142"/>
      <c r="AW1088" s="146"/>
      <c r="AX1088" s="146"/>
      <c r="AY1088" s="147">
        <v>62400</v>
      </c>
      <c r="AZ1088" s="132">
        <f>ROUNDDOWN(AY1088+(AY1088*MASTER!$A$2/100),0)</f>
        <v>67392</v>
      </c>
      <c r="BA1088" s="141"/>
      <c r="BB1088" s="145"/>
      <c r="BC1088" s="145">
        <v>0</v>
      </c>
      <c r="BD1088" s="141"/>
      <c r="BE1088" s="141"/>
      <c r="BF1088" s="145"/>
      <c r="BG1088" s="145">
        <v>0</v>
      </c>
      <c r="BH1088" s="141"/>
      <c r="BI1088" s="141"/>
      <c r="BJ1088" s="145"/>
      <c r="BK1088" s="145">
        <v>0</v>
      </c>
      <c r="BL1088" s="141"/>
      <c r="BM1088" s="145"/>
      <c r="BN1088" s="145"/>
      <c r="BO1088" s="145"/>
      <c r="BP1088" s="145"/>
      <c r="BQ1088" s="145"/>
      <c r="BR1088" s="145"/>
      <c r="BS1088" s="145">
        <v>0</v>
      </c>
      <c r="BT1088" s="148"/>
      <c r="BU1088" s="148"/>
      <c r="BV1088" s="149">
        <v>70200</v>
      </c>
      <c r="BW1088" s="149">
        <v>0</v>
      </c>
      <c r="BX1088" s="149">
        <v>43636</v>
      </c>
      <c r="BY1088" s="149">
        <v>70200</v>
      </c>
      <c r="BZ1088" s="150">
        <v>100</v>
      </c>
      <c r="CA1088" s="141"/>
      <c r="CB1088" s="141"/>
      <c r="CC1088" s="141"/>
      <c r="CD1088" s="144" t="s">
        <v>3108</v>
      </c>
      <c r="CE1088" s="142"/>
      <c r="CF1088" s="142"/>
      <c r="CG1088" s="142"/>
      <c r="CH1088" s="142"/>
      <c r="CI1088" s="142"/>
      <c r="CJ1088" s="142"/>
      <c r="CK1088" s="145">
        <v>0</v>
      </c>
    </row>
    <row r="1089" spans="1:89" x14ac:dyDescent="0.15">
      <c r="A1089" s="84">
        <v>1</v>
      </c>
      <c r="B1089" s="85">
        <v>43647</v>
      </c>
      <c r="C1089" s="85">
        <v>43666</v>
      </c>
      <c r="F1089" s="85" t="s">
        <v>338</v>
      </c>
      <c r="H1089" s="85" t="s">
        <v>338</v>
      </c>
      <c r="J1089" s="84">
        <v>2</v>
      </c>
      <c r="L1089" s="84">
        <v>0</v>
      </c>
      <c r="M1089" s="85">
        <v>43636</v>
      </c>
      <c r="N1089" s="85" t="s">
        <v>265</v>
      </c>
      <c r="O1089" s="86" t="s">
        <v>340</v>
      </c>
      <c r="P1089" s="84" t="s">
        <v>78</v>
      </c>
      <c r="Q1089" s="86" t="s">
        <v>140</v>
      </c>
      <c r="R1089" s="86" t="s">
        <v>3109</v>
      </c>
      <c r="S1089" s="87" t="s">
        <v>992</v>
      </c>
      <c r="T1089" s="87" t="s">
        <v>726</v>
      </c>
      <c r="U1089" s="88">
        <v>65000</v>
      </c>
      <c r="V1089" s="88">
        <v>70200</v>
      </c>
      <c r="W1089" s="88">
        <v>65000</v>
      </c>
      <c r="X1089" s="88">
        <v>70200</v>
      </c>
      <c r="Z1089" s="88">
        <v>0</v>
      </c>
      <c r="AA1089" s="85">
        <v>43665</v>
      </c>
      <c r="AB1089" s="85">
        <v>43666</v>
      </c>
      <c r="AD1089" s="84">
        <v>0</v>
      </c>
      <c r="AG1089" s="84">
        <v>0</v>
      </c>
      <c r="AJ1089" s="84">
        <v>0</v>
      </c>
      <c r="AN1089" s="84" t="s">
        <v>338</v>
      </c>
      <c r="AR1089" s="85">
        <v>43655</v>
      </c>
      <c r="AS1089" s="84">
        <v>6001691923</v>
      </c>
      <c r="AT1089" s="85">
        <v>43655</v>
      </c>
      <c r="AU1089" s="84" t="s">
        <v>3071</v>
      </c>
      <c r="AV1089" s="85">
        <v>43666</v>
      </c>
      <c r="AW1089" s="123">
        <v>43677</v>
      </c>
      <c r="AX1089" s="123">
        <v>43697</v>
      </c>
      <c r="AY1089" s="132">
        <v>62400</v>
      </c>
      <c r="AZ1089" s="132">
        <f>ROUNDDOWN(AY1089+(AY1089*MASTER!$A$2/100),0)</f>
        <v>67392</v>
      </c>
      <c r="BC1089" s="88">
        <v>0</v>
      </c>
      <c r="BG1089" s="88">
        <v>0</v>
      </c>
      <c r="BK1089" s="88">
        <v>0</v>
      </c>
      <c r="BS1089" s="88">
        <v>0</v>
      </c>
      <c r="BV1089" s="89">
        <v>70200</v>
      </c>
      <c r="BW1089" s="89">
        <v>0</v>
      </c>
      <c r="BX1089" s="89">
        <v>43636</v>
      </c>
      <c r="BY1089" s="89">
        <v>70200</v>
      </c>
      <c r="BZ1089" s="112">
        <v>100</v>
      </c>
      <c r="CK1089" s="88">
        <v>0</v>
      </c>
    </row>
    <row r="1090" spans="1:89" x14ac:dyDescent="0.15">
      <c r="A1090" s="84">
        <v>1</v>
      </c>
      <c r="B1090" s="85">
        <v>43650</v>
      </c>
      <c r="C1090" s="85">
        <v>43669</v>
      </c>
      <c r="F1090" s="85" t="s">
        <v>338</v>
      </c>
      <c r="H1090" s="85" t="s">
        <v>338</v>
      </c>
      <c r="J1090" s="84">
        <v>2</v>
      </c>
      <c r="L1090" s="84">
        <v>0</v>
      </c>
      <c r="M1090" s="85">
        <v>43636</v>
      </c>
      <c r="N1090" s="85" t="s">
        <v>265</v>
      </c>
      <c r="O1090" s="86" t="s">
        <v>340</v>
      </c>
      <c r="P1090" s="84" t="s">
        <v>78</v>
      </c>
      <c r="Q1090" s="86" t="s">
        <v>140</v>
      </c>
      <c r="R1090" s="86" t="s">
        <v>3110</v>
      </c>
      <c r="S1090" s="87" t="s">
        <v>605</v>
      </c>
      <c r="T1090" s="87" t="s">
        <v>726</v>
      </c>
      <c r="U1090" s="88">
        <v>65000</v>
      </c>
      <c r="V1090" s="88">
        <v>70200</v>
      </c>
      <c r="W1090" s="88">
        <v>65000</v>
      </c>
      <c r="X1090" s="88">
        <v>70200</v>
      </c>
      <c r="Z1090" s="88">
        <v>0</v>
      </c>
      <c r="AA1090" s="85">
        <v>43668</v>
      </c>
      <c r="AB1090" s="85">
        <v>43669</v>
      </c>
      <c r="AD1090" s="84">
        <v>0</v>
      </c>
      <c r="AG1090" s="84">
        <v>0</v>
      </c>
      <c r="AJ1090" s="84">
        <v>0</v>
      </c>
      <c r="AN1090" s="84" t="s">
        <v>338</v>
      </c>
      <c r="AR1090" s="85">
        <v>43648</v>
      </c>
      <c r="AS1090" s="84">
        <v>6001689682</v>
      </c>
      <c r="AT1090" s="85">
        <v>43649</v>
      </c>
      <c r="AU1090" s="84" t="s">
        <v>3094</v>
      </c>
      <c r="AV1090" s="85">
        <v>43669</v>
      </c>
      <c r="AW1090" s="123">
        <v>43677</v>
      </c>
      <c r="AX1090" s="123">
        <v>43697</v>
      </c>
      <c r="AY1090" s="132">
        <v>62400</v>
      </c>
      <c r="AZ1090" s="132">
        <f>ROUNDDOWN(AY1090+(AY1090*MASTER!$A$2/100),0)</f>
        <v>67392</v>
      </c>
      <c r="BC1090" s="88">
        <v>0</v>
      </c>
      <c r="BG1090" s="88">
        <v>0</v>
      </c>
      <c r="BK1090" s="88">
        <v>0</v>
      </c>
      <c r="BS1090" s="88">
        <v>0</v>
      </c>
      <c r="BV1090" s="89">
        <v>70200</v>
      </c>
      <c r="BW1090" s="89">
        <v>0</v>
      </c>
      <c r="BX1090" s="89">
        <v>43636</v>
      </c>
      <c r="BY1090" s="89">
        <v>70200</v>
      </c>
      <c r="BZ1090" s="112">
        <v>100</v>
      </c>
      <c r="CK1090" s="88">
        <v>0</v>
      </c>
    </row>
    <row r="1091" spans="1:89" s="151" customFormat="1" x14ac:dyDescent="0.15">
      <c r="A1091" s="141">
        <v>3</v>
      </c>
      <c r="B1091" s="142"/>
      <c r="C1091" s="142">
        <v>43670</v>
      </c>
      <c r="D1091" s="142"/>
      <c r="E1091" s="142"/>
      <c r="F1091" s="142" t="s">
        <v>338</v>
      </c>
      <c r="G1091" s="142"/>
      <c r="H1091" s="142" t="s">
        <v>338</v>
      </c>
      <c r="I1091" s="141"/>
      <c r="J1091" s="141">
        <v>2</v>
      </c>
      <c r="K1091" s="142"/>
      <c r="L1091" s="141">
        <v>0</v>
      </c>
      <c r="M1091" s="142">
        <v>43636</v>
      </c>
      <c r="N1091" s="142" t="s">
        <v>265</v>
      </c>
      <c r="O1091" s="143" t="s">
        <v>340</v>
      </c>
      <c r="P1091" s="141" t="s">
        <v>78</v>
      </c>
      <c r="Q1091" s="143" t="s">
        <v>140</v>
      </c>
      <c r="R1091" s="143" t="s">
        <v>3111</v>
      </c>
      <c r="S1091" s="144" t="s">
        <v>1731</v>
      </c>
      <c r="T1091" s="144" t="s">
        <v>1720</v>
      </c>
      <c r="U1091" s="145">
        <v>65000</v>
      </c>
      <c r="V1091" s="145">
        <v>70200</v>
      </c>
      <c r="W1091" s="145">
        <v>65000</v>
      </c>
      <c r="X1091" s="145">
        <v>70200</v>
      </c>
      <c r="Y1091" s="145"/>
      <c r="Z1091" s="145">
        <v>0</v>
      </c>
      <c r="AA1091" s="142">
        <v>43669</v>
      </c>
      <c r="AB1091" s="142">
        <v>43670</v>
      </c>
      <c r="AC1091" s="142"/>
      <c r="AD1091" s="141">
        <v>0</v>
      </c>
      <c r="AE1091" s="141"/>
      <c r="AF1091" s="141"/>
      <c r="AG1091" s="141">
        <v>0</v>
      </c>
      <c r="AH1091" s="141"/>
      <c r="AI1091" s="141"/>
      <c r="AJ1091" s="141">
        <v>0</v>
      </c>
      <c r="AK1091" s="141"/>
      <c r="AL1091" s="141"/>
      <c r="AM1091" s="141"/>
      <c r="AN1091" s="141" t="s">
        <v>338</v>
      </c>
      <c r="AO1091" s="142"/>
      <c r="AP1091" s="141"/>
      <c r="AQ1091" s="141"/>
      <c r="AR1091" s="142"/>
      <c r="AS1091" s="141"/>
      <c r="AT1091" s="142"/>
      <c r="AU1091" s="141"/>
      <c r="AV1091" s="142"/>
      <c r="AW1091" s="146"/>
      <c r="AX1091" s="146"/>
      <c r="AY1091" s="147">
        <v>62400</v>
      </c>
      <c r="AZ1091" s="132">
        <f>ROUNDDOWN(AY1091+(AY1091*MASTER!$A$2/100),0)</f>
        <v>67392</v>
      </c>
      <c r="BA1091" s="141"/>
      <c r="BB1091" s="145"/>
      <c r="BC1091" s="145">
        <v>0</v>
      </c>
      <c r="BD1091" s="141"/>
      <c r="BE1091" s="141"/>
      <c r="BF1091" s="145"/>
      <c r="BG1091" s="145">
        <v>0</v>
      </c>
      <c r="BH1091" s="141"/>
      <c r="BI1091" s="141"/>
      <c r="BJ1091" s="145"/>
      <c r="BK1091" s="145">
        <v>0</v>
      </c>
      <c r="BL1091" s="141"/>
      <c r="BM1091" s="145"/>
      <c r="BN1091" s="145"/>
      <c r="BO1091" s="145"/>
      <c r="BP1091" s="145"/>
      <c r="BQ1091" s="145"/>
      <c r="BR1091" s="145"/>
      <c r="BS1091" s="145">
        <v>0</v>
      </c>
      <c r="BT1091" s="148"/>
      <c r="BU1091" s="148"/>
      <c r="BV1091" s="149">
        <v>70200</v>
      </c>
      <c r="BW1091" s="149">
        <v>0</v>
      </c>
      <c r="BX1091" s="149">
        <v>43636</v>
      </c>
      <c r="BY1091" s="149">
        <v>70200</v>
      </c>
      <c r="BZ1091" s="150">
        <v>100</v>
      </c>
      <c r="CA1091" s="141"/>
      <c r="CB1091" s="141"/>
      <c r="CC1091" s="141"/>
      <c r="CD1091" s="144" t="s">
        <v>3108</v>
      </c>
      <c r="CE1091" s="142"/>
      <c r="CF1091" s="142"/>
      <c r="CG1091" s="142"/>
      <c r="CH1091" s="142"/>
      <c r="CI1091" s="142"/>
      <c r="CJ1091" s="142"/>
      <c r="CK1091" s="145">
        <v>0</v>
      </c>
    </row>
    <row r="1092" spans="1:89" x14ac:dyDescent="0.15">
      <c r="A1092" s="84">
        <v>1</v>
      </c>
      <c r="B1092" s="85">
        <v>43650</v>
      </c>
      <c r="C1092" s="85">
        <v>43671</v>
      </c>
      <c r="F1092" s="85" t="s">
        <v>338</v>
      </c>
      <c r="H1092" s="85" t="s">
        <v>338</v>
      </c>
      <c r="J1092" s="84">
        <v>2</v>
      </c>
      <c r="L1092" s="84">
        <v>0</v>
      </c>
      <c r="M1092" s="85">
        <v>43636</v>
      </c>
      <c r="N1092" s="85" t="s">
        <v>265</v>
      </c>
      <c r="O1092" s="86" t="s">
        <v>340</v>
      </c>
      <c r="P1092" s="84" t="s">
        <v>78</v>
      </c>
      <c r="Q1092" s="86" t="s">
        <v>140</v>
      </c>
      <c r="R1092" s="86" t="s">
        <v>3112</v>
      </c>
      <c r="S1092" s="87" t="s">
        <v>793</v>
      </c>
      <c r="T1092" s="87" t="s">
        <v>726</v>
      </c>
      <c r="U1092" s="88">
        <v>65000</v>
      </c>
      <c r="V1092" s="88">
        <v>70200</v>
      </c>
      <c r="W1092" s="88">
        <v>65000</v>
      </c>
      <c r="X1092" s="88">
        <v>70200</v>
      </c>
      <c r="Z1092" s="88">
        <v>0</v>
      </c>
      <c r="AA1092" s="85">
        <v>43670</v>
      </c>
      <c r="AB1092" s="85">
        <v>43671</v>
      </c>
      <c r="AD1092" s="84">
        <v>0</v>
      </c>
      <c r="AG1092" s="84">
        <v>0</v>
      </c>
      <c r="AJ1092" s="84">
        <v>0</v>
      </c>
      <c r="AN1092" s="84" t="s">
        <v>338</v>
      </c>
      <c r="AR1092" s="85">
        <v>43648</v>
      </c>
      <c r="AS1092" s="84">
        <v>6001689682</v>
      </c>
      <c r="AT1092" s="85">
        <v>43649</v>
      </c>
      <c r="AU1092" s="84" t="s">
        <v>3094</v>
      </c>
      <c r="AV1092" s="85">
        <v>43671</v>
      </c>
      <c r="AW1092" s="123">
        <v>43677</v>
      </c>
      <c r="AX1092" s="123">
        <v>43697</v>
      </c>
      <c r="AY1092" s="132">
        <v>62400</v>
      </c>
      <c r="AZ1092" s="132">
        <f>ROUNDDOWN(AY1092+(AY1092*MASTER!$A$2/100),0)</f>
        <v>67392</v>
      </c>
      <c r="BC1092" s="88">
        <v>0</v>
      </c>
      <c r="BG1092" s="88">
        <v>0</v>
      </c>
      <c r="BK1092" s="88">
        <v>0</v>
      </c>
      <c r="BS1092" s="88">
        <v>0</v>
      </c>
      <c r="BV1092" s="89">
        <v>70200</v>
      </c>
      <c r="BW1092" s="89">
        <v>0</v>
      </c>
      <c r="BX1092" s="89">
        <v>43636</v>
      </c>
      <c r="BY1092" s="89">
        <v>70200</v>
      </c>
      <c r="BZ1092" s="112">
        <v>100</v>
      </c>
      <c r="CK1092" s="88">
        <v>0</v>
      </c>
    </row>
    <row r="1093" spans="1:89" x14ac:dyDescent="0.15">
      <c r="A1093" s="84">
        <v>1</v>
      </c>
      <c r="B1093" s="85">
        <v>43650</v>
      </c>
      <c r="C1093" s="85">
        <v>43672</v>
      </c>
      <c r="F1093" s="85" t="s">
        <v>338</v>
      </c>
      <c r="H1093" s="85" t="s">
        <v>338</v>
      </c>
      <c r="J1093" s="84">
        <v>2</v>
      </c>
      <c r="L1093" s="84">
        <v>0</v>
      </c>
      <c r="M1093" s="85">
        <v>43636</v>
      </c>
      <c r="N1093" s="85" t="s">
        <v>265</v>
      </c>
      <c r="O1093" s="86" t="s">
        <v>340</v>
      </c>
      <c r="P1093" s="84" t="s">
        <v>78</v>
      </c>
      <c r="Q1093" s="86" t="s">
        <v>140</v>
      </c>
      <c r="R1093" s="86" t="s">
        <v>3113</v>
      </c>
      <c r="S1093" s="87" t="s">
        <v>1307</v>
      </c>
      <c r="T1093" s="87" t="s">
        <v>726</v>
      </c>
      <c r="U1093" s="88">
        <v>65000</v>
      </c>
      <c r="V1093" s="88">
        <v>70200</v>
      </c>
      <c r="W1093" s="88">
        <v>65000</v>
      </c>
      <c r="X1093" s="88">
        <v>70200</v>
      </c>
      <c r="Z1093" s="88">
        <v>0</v>
      </c>
      <c r="AA1093" s="85">
        <v>43671</v>
      </c>
      <c r="AB1093" s="85">
        <v>43672</v>
      </c>
      <c r="AD1093" s="84">
        <v>0</v>
      </c>
      <c r="AG1093" s="84">
        <v>0</v>
      </c>
      <c r="AJ1093" s="84">
        <v>0</v>
      </c>
      <c r="AN1093" s="84" t="s">
        <v>338</v>
      </c>
      <c r="AR1093" s="85">
        <v>43648</v>
      </c>
      <c r="AS1093" s="84">
        <v>6001689682</v>
      </c>
      <c r="AT1093" s="85">
        <v>43649</v>
      </c>
      <c r="AU1093" s="84" t="s">
        <v>3094</v>
      </c>
      <c r="AV1093" s="85">
        <v>43672</v>
      </c>
      <c r="AW1093" s="123">
        <v>43677</v>
      </c>
      <c r="AX1093" s="123">
        <v>43697</v>
      </c>
      <c r="AY1093" s="132">
        <v>62400</v>
      </c>
      <c r="AZ1093" s="132">
        <f>ROUNDDOWN(AY1093+(AY1093*MASTER!$A$2/100),0)</f>
        <v>67392</v>
      </c>
      <c r="BC1093" s="88">
        <v>0</v>
      </c>
      <c r="BG1093" s="88">
        <v>0</v>
      </c>
      <c r="BK1093" s="88">
        <v>0</v>
      </c>
      <c r="BS1093" s="88">
        <v>0</v>
      </c>
      <c r="BV1093" s="89">
        <v>70200</v>
      </c>
      <c r="BW1093" s="89">
        <v>0</v>
      </c>
      <c r="BX1093" s="89">
        <v>43636</v>
      </c>
      <c r="BY1093" s="89">
        <v>70200</v>
      </c>
      <c r="BZ1093" s="112">
        <v>100</v>
      </c>
      <c r="CK1093" s="88">
        <v>0</v>
      </c>
    </row>
    <row r="1094" spans="1:89" x14ac:dyDescent="0.15">
      <c r="A1094" s="84">
        <v>1</v>
      </c>
      <c r="B1094" s="85">
        <v>43650</v>
      </c>
      <c r="C1094" s="85">
        <v>43673</v>
      </c>
      <c r="F1094" s="85" t="s">
        <v>338</v>
      </c>
      <c r="H1094" s="85" t="s">
        <v>338</v>
      </c>
      <c r="J1094" s="84">
        <v>2</v>
      </c>
      <c r="L1094" s="84">
        <v>0</v>
      </c>
      <c r="M1094" s="85">
        <v>43636</v>
      </c>
      <c r="N1094" s="85" t="s">
        <v>265</v>
      </c>
      <c r="O1094" s="86" t="s">
        <v>340</v>
      </c>
      <c r="P1094" s="84" t="s">
        <v>78</v>
      </c>
      <c r="Q1094" s="86" t="s">
        <v>140</v>
      </c>
      <c r="R1094" s="86" t="s">
        <v>3114</v>
      </c>
      <c r="S1094" s="87" t="s">
        <v>2156</v>
      </c>
      <c r="T1094" s="87" t="s">
        <v>726</v>
      </c>
      <c r="U1094" s="88">
        <v>65000</v>
      </c>
      <c r="V1094" s="88">
        <v>70200</v>
      </c>
      <c r="W1094" s="88">
        <v>65000</v>
      </c>
      <c r="X1094" s="88">
        <v>70200</v>
      </c>
      <c r="Z1094" s="88">
        <v>0</v>
      </c>
      <c r="AA1094" s="85">
        <v>43672</v>
      </c>
      <c r="AB1094" s="85">
        <v>43673</v>
      </c>
      <c r="AD1094" s="84">
        <v>0</v>
      </c>
      <c r="AG1094" s="84">
        <v>0</v>
      </c>
      <c r="AJ1094" s="84">
        <v>0</v>
      </c>
      <c r="AN1094" s="84" t="s">
        <v>338</v>
      </c>
      <c r="AR1094" s="85">
        <v>43648</v>
      </c>
      <c r="AS1094" s="84">
        <v>6001689682</v>
      </c>
      <c r="AT1094" s="85">
        <v>43649</v>
      </c>
      <c r="AU1094" s="84" t="s">
        <v>3094</v>
      </c>
      <c r="AV1094" s="85">
        <v>43673</v>
      </c>
      <c r="AW1094" s="123">
        <v>43677</v>
      </c>
      <c r="AX1094" s="123">
        <v>43697</v>
      </c>
      <c r="AY1094" s="132">
        <v>62400</v>
      </c>
      <c r="AZ1094" s="132">
        <f>ROUNDDOWN(AY1094+(AY1094*MASTER!$A$2/100),0)</f>
        <v>67392</v>
      </c>
      <c r="BC1094" s="88">
        <v>0</v>
      </c>
      <c r="BG1094" s="88">
        <v>0</v>
      </c>
      <c r="BK1094" s="88">
        <v>0</v>
      </c>
      <c r="BS1094" s="88">
        <v>0</v>
      </c>
      <c r="BV1094" s="89">
        <v>70200</v>
      </c>
      <c r="BW1094" s="89">
        <v>0</v>
      </c>
      <c r="BX1094" s="89">
        <v>43636</v>
      </c>
      <c r="BY1094" s="89">
        <v>70200</v>
      </c>
      <c r="BZ1094" s="112">
        <v>100</v>
      </c>
      <c r="CK1094" s="88">
        <v>0</v>
      </c>
    </row>
    <row r="1095" spans="1:89" x14ac:dyDescent="0.15">
      <c r="A1095" s="84">
        <v>1</v>
      </c>
      <c r="B1095" s="85">
        <v>43650</v>
      </c>
      <c r="C1095" s="85">
        <v>43676</v>
      </c>
      <c r="F1095" s="85" t="s">
        <v>338</v>
      </c>
      <c r="H1095" s="85" t="s">
        <v>338</v>
      </c>
      <c r="J1095" s="84">
        <v>2</v>
      </c>
      <c r="L1095" s="84">
        <v>0</v>
      </c>
      <c r="M1095" s="85">
        <v>43636</v>
      </c>
      <c r="N1095" s="85" t="s">
        <v>265</v>
      </c>
      <c r="O1095" s="86" t="s">
        <v>340</v>
      </c>
      <c r="P1095" s="84" t="s">
        <v>78</v>
      </c>
      <c r="Q1095" s="86" t="s">
        <v>140</v>
      </c>
      <c r="R1095" s="86" t="s">
        <v>3115</v>
      </c>
      <c r="S1095" s="87" t="s">
        <v>1530</v>
      </c>
      <c r="T1095" s="87" t="s">
        <v>726</v>
      </c>
      <c r="U1095" s="88">
        <v>65000</v>
      </c>
      <c r="V1095" s="88">
        <v>70200</v>
      </c>
      <c r="W1095" s="88">
        <v>65000</v>
      </c>
      <c r="X1095" s="88">
        <v>70200</v>
      </c>
      <c r="Z1095" s="88">
        <v>0</v>
      </c>
      <c r="AA1095" s="85">
        <v>43675</v>
      </c>
      <c r="AB1095" s="85">
        <v>43676</v>
      </c>
      <c r="AD1095" s="84">
        <v>0</v>
      </c>
      <c r="AG1095" s="84">
        <v>0</v>
      </c>
      <c r="AJ1095" s="84">
        <v>0</v>
      </c>
      <c r="AN1095" s="84" t="s">
        <v>338</v>
      </c>
      <c r="AR1095" s="85">
        <v>43648</v>
      </c>
      <c r="AS1095" s="84">
        <v>6001689682</v>
      </c>
      <c r="AT1095" s="85">
        <v>43649</v>
      </c>
      <c r="AU1095" s="84" t="s">
        <v>3094</v>
      </c>
      <c r="AV1095" s="85">
        <v>43676</v>
      </c>
      <c r="AW1095" s="123">
        <v>43677</v>
      </c>
      <c r="AX1095" s="123">
        <v>43697</v>
      </c>
      <c r="AY1095" s="132">
        <v>62400</v>
      </c>
      <c r="AZ1095" s="132">
        <f>ROUNDDOWN(AY1095+(AY1095*MASTER!$A$2/100),0)</f>
        <v>67392</v>
      </c>
      <c r="BC1095" s="88">
        <v>0</v>
      </c>
      <c r="BG1095" s="88">
        <v>0</v>
      </c>
      <c r="BK1095" s="88">
        <v>0</v>
      </c>
      <c r="BS1095" s="88">
        <v>0</v>
      </c>
      <c r="BV1095" s="89">
        <v>70200</v>
      </c>
      <c r="BW1095" s="89">
        <v>0</v>
      </c>
      <c r="BX1095" s="89">
        <v>43636</v>
      </c>
      <c r="BY1095" s="89">
        <v>70200</v>
      </c>
      <c r="BZ1095" s="112">
        <v>100</v>
      </c>
      <c r="CK1095" s="88">
        <v>0</v>
      </c>
    </row>
    <row r="1096" spans="1:89" x14ac:dyDescent="0.15">
      <c r="A1096" s="84">
        <v>2</v>
      </c>
      <c r="B1096" s="85">
        <v>43643</v>
      </c>
      <c r="C1096" s="85">
        <v>43644</v>
      </c>
      <c r="D1096" s="85">
        <v>43684</v>
      </c>
      <c r="E1096" s="85">
        <v>43643</v>
      </c>
      <c r="F1096" s="85">
        <v>43644</v>
      </c>
      <c r="G1096" s="85">
        <v>43643</v>
      </c>
      <c r="H1096" s="85">
        <v>43640</v>
      </c>
      <c r="I1096" s="84" t="s">
        <v>1191</v>
      </c>
      <c r="J1096" s="84">
        <v>1</v>
      </c>
      <c r="L1096" s="84">
        <v>0</v>
      </c>
      <c r="M1096" s="85">
        <v>43636</v>
      </c>
      <c r="N1096" s="85" t="s">
        <v>265</v>
      </c>
      <c r="O1096" s="86" t="s">
        <v>340</v>
      </c>
      <c r="P1096" s="84" t="s">
        <v>26</v>
      </c>
      <c r="Q1096" s="86" t="s">
        <v>140</v>
      </c>
      <c r="R1096" s="86" t="s">
        <v>3116</v>
      </c>
      <c r="S1096" s="87" t="s">
        <v>2161</v>
      </c>
      <c r="T1096" s="87" t="s">
        <v>861</v>
      </c>
      <c r="U1096" s="88">
        <v>50000</v>
      </c>
      <c r="V1096" s="88">
        <v>54000</v>
      </c>
      <c r="W1096" s="88">
        <v>47000</v>
      </c>
      <c r="X1096" s="88">
        <v>50760</v>
      </c>
      <c r="Y1096" s="88">
        <v>3000</v>
      </c>
      <c r="Z1096" s="88">
        <v>3240</v>
      </c>
      <c r="AA1096" s="85">
        <v>43636</v>
      </c>
      <c r="AB1096" s="85">
        <v>43637</v>
      </c>
      <c r="AC1096" s="85">
        <v>43637</v>
      </c>
      <c r="AD1096" s="84">
        <v>0</v>
      </c>
      <c r="AG1096" s="84">
        <v>0</v>
      </c>
      <c r="AJ1096" s="84">
        <v>0</v>
      </c>
      <c r="AM1096" s="84" t="s">
        <v>290</v>
      </c>
      <c r="AN1096" s="84" t="s">
        <v>3117</v>
      </c>
      <c r="AR1096" s="85">
        <v>43642</v>
      </c>
      <c r="AS1096" s="84">
        <v>6001688309</v>
      </c>
      <c r="AT1096" s="85">
        <v>43642</v>
      </c>
      <c r="AU1096" s="84" t="s">
        <v>3118</v>
      </c>
      <c r="AV1096" s="85">
        <v>43644</v>
      </c>
      <c r="AW1096" s="123">
        <v>43646</v>
      </c>
      <c r="AX1096" s="123">
        <v>43666</v>
      </c>
      <c r="AY1096" s="132">
        <v>48000</v>
      </c>
      <c r="AZ1096" s="132">
        <f>ROUNDDOWN(AY1096+(AY1096*MASTER!$A$2/100),0)</f>
        <v>51840</v>
      </c>
      <c r="BA1096" s="84" t="s">
        <v>287</v>
      </c>
      <c r="BB1096" s="88">
        <v>24000</v>
      </c>
      <c r="BC1096" s="88">
        <v>25920</v>
      </c>
      <c r="BD1096" s="84" t="s">
        <v>2466</v>
      </c>
      <c r="BG1096" s="88">
        <v>0</v>
      </c>
      <c r="BI1096" s="84" t="s">
        <v>434</v>
      </c>
      <c r="BJ1096" s="88">
        <v>1950</v>
      </c>
      <c r="BK1096" s="88">
        <v>2106</v>
      </c>
      <c r="BL1096" s="84" t="s">
        <v>2637</v>
      </c>
      <c r="BS1096" s="88">
        <v>0</v>
      </c>
      <c r="BV1096" s="89">
        <v>50760</v>
      </c>
      <c r="BW1096" s="89">
        <v>28026</v>
      </c>
      <c r="BX1096" s="89">
        <v>43636</v>
      </c>
      <c r="BY1096" s="89">
        <v>22734</v>
      </c>
      <c r="BZ1096" s="112">
        <v>44.787234042553195</v>
      </c>
      <c r="CK1096" s="88">
        <v>0</v>
      </c>
    </row>
    <row r="1097" spans="1:89" x14ac:dyDescent="0.15">
      <c r="A1097" s="84">
        <v>2</v>
      </c>
      <c r="B1097" s="85">
        <v>43648</v>
      </c>
      <c r="C1097" s="85">
        <v>43648</v>
      </c>
      <c r="D1097" s="85">
        <v>43641</v>
      </c>
      <c r="E1097" s="85">
        <v>43641</v>
      </c>
      <c r="F1097" s="85" t="s">
        <v>338</v>
      </c>
      <c r="G1097" s="85">
        <v>43641</v>
      </c>
      <c r="H1097" s="85" t="s">
        <v>338</v>
      </c>
      <c r="I1097" s="84" t="s">
        <v>380</v>
      </c>
      <c r="J1097" s="84">
        <v>2</v>
      </c>
      <c r="L1097" s="84">
        <v>0</v>
      </c>
      <c r="M1097" s="85">
        <v>43636</v>
      </c>
      <c r="N1097" s="85" t="s">
        <v>265</v>
      </c>
      <c r="O1097" s="86" t="s">
        <v>340</v>
      </c>
      <c r="P1097" s="84" t="s">
        <v>6</v>
      </c>
      <c r="Q1097" s="86" t="s">
        <v>140</v>
      </c>
      <c r="R1097" s="86" t="s">
        <v>3119</v>
      </c>
      <c r="S1097" s="87" t="s">
        <v>805</v>
      </c>
      <c r="T1097" s="87" t="s">
        <v>342</v>
      </c>
      <c r="U1097" s="88">
        <v>35000</v>
      </c>
      <c r="V1097" s="88">
        <v>37800</v>
      </c>
      <c r="W1097" s="88">
        <v>35000</v>
      </c>
      <c r="X1097" s="88">
        <v>37800</v>
      </c>
      <c r="Z1097" s="88">
        <v>0</v>
      </c>
      <c r="AA1097" s="85">
        <v>43637</v>
      </c>
      <c r="AB1097" s="85">
        <v>43637</v>
      </c>
      <c r="AD1097" s="84">
        <v>0</v>
      </c>
      <c r="AG1097" s="84">
        <v>0</v>
      </c>
      <c r="AJ1097" s="84">
        <v>0</v>
      </c>
      <c r="AR1097" s="85">
        <v>43644</v>
      </c>
      <c r="AS1097" s="84">
        <v>6001689037</v>
      </c>
      <c r="AT1097" s="85">
        <v>43647</v>
      </c>
      <c r="AU1097" s="84" t="s">
        <v>3064</v>
      </c>
      <c r="AV1097" s="85">
        <v>43648</v>
      </c>
      <c r="AW1097" s="123">
        <v>43677</v>
      </c>
      <c r="AX1097" s="123">
        <v>43697</v>
      </c>
      <c r="AY1097" s="132">
        <v>33600</v>
      </c>
      <c r="AZ1097" s="132">
        <f>ROUNDDOWN(AY1097+(AY1097*MASTER!$A$2/100),0)</f>
        <v>36288</v>
      </c>
      <c r="BA1097" s="84" t="s">
        <v>286</v>
      </c>
      <c r="BB1097" s="88">
        <v>28000</v>
      </c>
      <c r="BC1097" s="88">
        <v>30240</v>
      </c>
      <c r="BD1097" s="84" t="s">
        <v>2637</v>
      </c>
      <c r="BG1097" s="88">
        <v>0</v>
      </c>
      <c r="BK1097" s="88">
        <v>0</v>
      </c>
      <c r="BS1097" s="88">
        <v>0</v>
      </c>
      <c r="BV1097" s="89">
        <v>37800</v>
      </c>
      <c r="BW1097" s="89">
        <v>30240</v>
      </c>
      <c r="BX1097" s="89">
        <v>43636</v>
      </c>
      <c r="BY1097" s="89">
        <v>7560</v>
      </c>
      <c r="BZ1097" s="112">
        <v>20</v>
      </c>
    </row>
    <row r="1098" spans="1:89" x14ac:dyDescent="0.15">
      <c r="A1098" s="84">
        <v>2</v>
      </c>
      <c r="B1098" s="85">
        <v>43658</v>
      </c>
      <c r="C1098" s="85">
        <v>43677</v>
      </c>
      <c r="E1098" s="85">
        <v>43741</v>
      </c>
      <c r="F1098" s="85" t="s">
        <v>338</v>
      </c>
      <c r="G1098" s="85">
        <v>43668</v>
      </c>
      <c r="H1098" s="85" t="s">
        <v>338</v>
      </c>
      <c r="I1098" s="84" t="s">
        <v>1191</v>
      </c>
      <c r="J1098" s="84">
        <v>2</v>
      </c>
      <c r="K1098" s="85">
        <v>43640</v>
      </c>
      <c r="L1098" s="84" t="s">
        <v>818</v>
      </c>
      <c r="M1098" s="85">
        <v>43637</v>
      </c>
      <c r="N1098" s="85" t="s">
        <v>265</v>
      </c>
      <c r="O1098" s="86" t="s">
        <v>340</v>
      </c>
      <c r="P1098" s="84" t="s">
        <v>26</v>
      </c>
      <c r="Q1098" s="86" t="s">
        <v>140</v>
      </c>
      <c r="R1098" s="86" t="s">
        <v>3120</v>
      </c>
      <c r="S1098" s="87" t="s">
        <v>410</v>
      </c>
      <c r="T1098" s="87" t="s">
        <v>2952</v>
      </c>
      <c r="U1098" s="88">
        <v>16800</v>
      </c>
      <c r="V1098" s="88">
        <v>18144</v>
      </c>
      <c r="W1098" s="88">
        <v>16800</v>
      </c>
      <c r="X1098" s="88">
        <v>18144</v>
      </c>
      <c r="Z1098" s="88">
        <v>0</v>
      </c>
      <c r="AA1098" s="85">
        <v>43662</v>
      </c>
      <c r="AB1098" s="85">
        <v>43662</v>
      </c>
      <c r="AD1098" s="84">
        <v>0</v>
      </c>
      <c r="AG1098" s="84">
        <v>0</v>
      </c>
      <c r="AJ1098" s="84">
        <v>0</v>
      </c>
      <c r="AN1098" s="84" t="s">
        <v>338</v>
      </c>
      <c r="AR1098" s="85">
        <v>43641</v>
      </c>
      <c r="AS1098" s="84">
        <v>6001687682</v>
      </c>
      <c r="AT1098" s="85">
        <v>43641</v>
      </c>
      <c r="AU1098" s="84" t="s">
        <v>2816</v>
      </c>
      <c r="AV1098" s="85">
        <v>43677</v>
      </c>
      <c r="AW1098" s="123">
        <v>43677</v>
      </c>
      <c r="AX1098" s="123">
        <v>43697</v>
      </c>
      <c r="AY1098" s="132">
        <v>16128</v>
      </c>
      <c r="AZ1098" s="132">
        <f>ROUNDDOWN(AY1098+(AY1098*MASTER!$A$2/100),0)</f>
        <v>17418</v>
      </c>
      <c r="BA1098" s="84" t="s">
        <v>778</v>
      </c>
      <c r="BC1098" s="88">
        <v>0</v>
      </c>
      <c r="BG1098" s="88">
        <v>0</v>
      </c>
      <c r="BK1098" s="88">
        <v>0</v>
      </c>
      <c r="BS1098" s="88">
        <v>0</v>
      </c>
      <c r="BV1098" s="89">
        <v>18144</v>
      </c>
      <c r="BW1098" s="89">
        <v>0</v>
      </c>
      <c r="BX1098" s="89">
        <v>0</v>
      </c>
      <c r="BY1098" s="89">
        <v>43640</v>
      </c>
      <c r="BZ1098" s="112">
        <v>100</v>
      </c>
      <c r="CK1098" s="88">
        <v>0</v>
      </c>
    </row>
    <row r="1099" spans="1:89" x14ac:dyDescent="0.15">
      <c r="A1099" s="84">
        <v>1</v>
      </c>
      <c r="B1099" s="85">
        <v>43662</v>
      </c>
      <c r="C1099" s="85">
        <v>43658</v>
      </c>
      <c r="F1099" s="85" t="s">
        <v>338</v>
      </c>
      <c r="H1099" s="85" t="s">
        <v>338</v>
      </c>
      <c r="J1099" s="84">
        <v>3</v>
      </c>
      <c r="L1099" s="84">
        <v>0</v>
      </c>
      <c r="M1099" s="85">
        <v>43637</v>
      </c>
      <c r="N1099" s="85" t="s">
        <v>265</v>
      </c>
      <c r="O1099" s="86" t="s">
        <v>340</v>
      </c>
      <c r="P1099" s="84" t="s">
        <v>26</v>
      </c>
      <c r="Q1099" s="86" t="s">
        <v>140</v>
      </c>
      <c r="R1099" s="86" t="s">
        <v>3121</v>
      </c>
      <c r="S1099" s="87" t="s">
        <v>562</v>
      </c>
      <c r="T1099" s="87" t="s">
        <v>3122</v>
      </c>
      <c r="U1099" s="88">
        <v>70000</v>
      </c>
      <c r="V1099" s="88">
        <v>75600</v>
      </c>
      <c r="X1099" s="88">
        <v>0</v>
      </c>
      <c r="Y1099" s="88">
        <v>70000</v>
      </c>
      <c r="Z1099" s="88">
        <v>75600</v>
      </c>
      <c r="AD1099" s="84">
        <v>0</v>
      </c>
      <c r="AG1099" s="84">
        <v>0</v>
      </c>
      <c r="AJ1099" s="84">
        <v>0</v>
      </c>
      <c r="AN1099" s="84" t="s">
        <v>338</v>
      </c>
      <c r="AR1099" s="85">
        <v>43657</v>
      </c>
      <c r="AS1099" s="84">
        <v>6001692766</v>
      </c>
      <c r="AT1099" s="85">
        <v>43662</v>
      </c>
      <c r="AU1099" s="84" t="s">
        <v>2964</v>
      </c>
      <c r="AV1099" s="85">
        <v>43658</v>
      </c>
      <c r="AW1099" s="123">
        <v>43677</v>
      </c>
      <c r="AX1099" s="123">
        <v>43697</v>
      </c>
      <c r="AY1099" s="132">
        <v>67200</v>
      </c>
      <c r="AZ1099" s="132">
        <f>ROUNDDOWN(AY1099+(AY1099*MASTER!$A$2/100),0)</f>
        <v>72576</v>
      </c>
      <c r="BC1099" s="88">
        <v>0</v>
      </c>
      <c r="BG1099" s="88">
        <v>0</v>
      </c>
      <c r="BI1099" s="84" t="s">
        <v>434</v>
      </c>
      <c r="BJ1099" s="88">
        <v>45500</v>
      </c>
      <c r="BK1099" s="88">
        <v>49140</v>
      </c>
      <c r="BL1099" s="84" t="s">
        <v>2466</v>
      </c>
      <c r="BS1099" s="88">
        <v>0</v>
      </c>
      <c r="BV1099" s="89">
        <v>0</v>
      </c>
      <c r="BW1099" s="89">
        <v>49140</v>
      </c>
      <c r="BX1099" s="89">
        <v>43637</v>
      </c>
      <c r="BY1099" s="89">
        <v>-49140</v>
      </c>
      <c r="BZ1099" s="112" t="s">
        <v>338</v>
      </c>
    </row>
    <row r="1100" spans="1:89" x14ac:dyDescent="0.15">
      <c r="A1100" s="84">
        <v>2</v>
      </c>
      <c r="B1100" s="85">
        <v>43648</v>
      </c>
      <c r="C1100" s="85">
        <v>43677</v>
      </c>
      <c r="D1100" s="85">
        <v>43684</v>
      </c>
      <c r="E1100" s="85">
        <v>43669</v>
      </c>
      <c r="F1100" s="85">
        <v>43664</v>
      </c>
      <c r="G1100" s="85">
        <v>43665</v>
      </c>
      <c r="H1100" s="85">
        <v>43660</v>
      </c>
      <c r="I1100" s="84" t="s">
        <v>401</v>
      </c>
      <c r="J1100" s="84">
        <v>1</v>
      </c>
      <c r="L1100" s="84">
        <v>0</v>
      </c>
      <c r="M1100" s="85">
        <v>43640</v>
      </c>
      <c r="N1100" s="85" t="s">
        <v>265</v>
      </c>
      <c r="O1100" s="86" t="s">
        <v>340</v>
      </c>
      <c r="P1100" s="84" t="s">
        <v>26</v>
      </c>
      <c r="Q1100" s="86" t="s">
        <v>140</v>
      </c>
      <c r="R1100" s="86" t="s">
        <v>3123</v>
      </c>
      <c r="S1100" s="87" t="s">
        <v>1307</v>
      </c>
      <c r="T1100" s="87" t="s">
        <v>2864</v>
      </c>
      <c r="U1100" s="88">
        <v>180000</v>
      </c>
      <c r="V1100" s="88">
        <v>194400</v>
      </c>
      <c r="W1100" s="88">
        <v>115000</v>
      </c>
      <c r="X1100" s="88">
        <v>124200</v>
      </c>
      <c r="Y1100" s="88">
        <v>65000</v>
      </c>
      <c r="Z1100" s="88">
        <v>70200</v>
      </c>
      <c r="AA1100" s="85">
        <v>43656</v>
      </c>
      <c r="AB1100" s="85">
        <v>43657</v>
      </c>
      <c r="AC1100" s="85">
        <v>43657</v>
      </c>
      <c r="AD1100" s="84">
        <v>0</v>
      </c>
      <c r="AG1100" s="84">
        <v>0</v>
      </c>
      <c r="AJ1100" s="84">
        <v>0</v>
      </c>
      <c r="AN1100" s="84" t="s">
        <v>338</v>
      </c>
      <c r="AR1100" s="85">
        <v>43642</v>
      </c>
      <c r="AS1100" s="84">
        <v>6001688308</v>
      </c>
      <c r="AT1100" s="85">
        <v>43642</v>
      </c>
      <c r="AU1100" s="84" t="s">
        <v>3087</v>
      </c>
      <c r="AV1100" s="85">
        <v>43677</v>
      </c>
      <c r="AW1100" s="123">
        <v>43677</v>
      </c>
      <c r="AX1100" s="123">
        <v>43697</v>
      </c>
      <c r="AY1100" s="132">
        <v>172800</v>
      </c>
      <c r="AZ1100" s="132">
        <f>ROUNDDOWN(AY1100+(AY1100*MASTER!$A$2/100),0)</f>
        <v>186624</v>
      </c>
      <c r="BA1100" s="84" t="s">
        <v>287</v>
      </c>
      <c r="BB1100" s="88">
        <v>62000</v>
      </c>
      <c r="BC1100" s="88">
        <v>66960</v>
      </c>
      <c r="BD1100" s="84" t="s">
        <v>2637</v>
      </c>
      <c r="BG1100" s="88">
        <v>0</v>
      </c>
      <c r="BI1100" s="84" t="s">
        <v>434</v>
      </c>
      <c r="BJ1100" s="88">
        <v>42250</v>
      </c>
      <c r="BK1100" s="88">
        <v>45630</v>
      </c>
      <c r="BL1100" s="84" t="s">
        <v>2637</v>
      </c>
      <c r="BS1100" s="88">
        <v>0</v>
      </c>
      <c r="BV1100" s="89">
        <v>124200</v>
      </c>
      <c r="BW1100" s="89">
        <v>112590</v>
      </c>
      <c r="BX1100" s="89">
        <v>43640</v>
      </c>
      <c r="BY1100" s="89">
        <v>11610</v>
      </c>
      <c r="BZ1100" s="112">
        <v>9.3478260869565215</v>
      </c>
      <c r="CK1100" s="88">
        <v>0</v>
      </c>
    </row>
    <row r="1101" spans="1:89" x14ac:dyDescent="0.15">
      <c r="A1101" s="84">
        <v>2</v>
      </c>
      <c r="C1101" s="85" t="s">
        <v>338</v>
      </c>
      <c r="F1101" s="85" t="s">
        <v>338</v>
      </c>
      <c r="H1101" s="85" t="s">
        <v>338</v>
      </c>
      <c r="J1101" s="84">
        <v>4</v>
      </c>
      <c r="L1101" s="84">
        <v>0</v>
      </c>
      <c r="M1101" s="85">
        <v>43640</v>
      </c>
      <c r="N1101" s="85" t="s">
        <v>265</v>
      </c>
      <c r="O1101" s="86" t="s">
        <v>340</v>
      </c>
      <c r="P1101" s="84" t="s">
        <v>272</v>
      </c>
      <c r="Q1101" s="86" t="s">
        <v>140</v>
      </c>
      <c r="R1101" s="86" t="s">
        <v>3124</v>
      </c>
      <c r="S1101" s="87" t="s">
        <v>351</v>
      </c>
      <c r="T1101" s="87" t="s">
        <v>3125</v>
      </c>
      <c r="U1101" s="88">
        <v>0</v>
      </c>
      <c r="V1101" s="88">
        <v>0</v>
      </c>
      <c r="W1101" s="88">
        <v>0</v>
      </c>
      <c r="X1101" s="88">
        <v>0</v>
      </c>
      <c r="Y1101" s="88">
        <v>0</v>
      </c>
      <c r="Z1101" s="88">
        <v>0</v>
      </c>
      <c r="AA1101" s="85">
        <v>43606</v>
      </c>
      <c r="AB1101" s="85">
        <v>43636</v>
      </c>
      <c r="AD1101" s="84">
        <v>0</v>
      </c>
      <c r="AG1101" s="84">
        <v>0</v>
      </c>
      <c r="AJ1101" s="84">
        <v>0</v>
      </c>
      <c r="AN1101" s="84" t="s">
        <v>338</v>
      </c>
      <c r="AY1101" s="132">
        <f>ROUNDDOWN((0.96*U1101),0)</f>
        <v>0</v>
      </c>
      <c r="AZ1101" s="132">
        <f>ROUNDDOWN(AY1101+(AY1101*MASTER!$A$2/100),0)</f>
        <v>0</v>
      </c>
      <c r="BA1101" s="84" t="s">
        <v>1045</v>
      </c>
      <c r="BB1101" s="88">
        <v>1035000</v>
      </c>
      <c r="BC1101" s="88">
        <v>1117800</v>
      </c>
      <c r="BD1101" s="84" t="s">
        <v>2466</v>
      </c>
      <c r="BG1101" s="88">
        <v>0</v>
      </c>
      <c r="BK1101" s="88">
        <v>0</v>
      </c>
      <c r="BS1101" s="88">
        <v>0</v>
      </c>
      <c r="BV1101" s="89">
        <v>0</v>
      </c>
      <c r="BW1101" s="89">
        <v>1117800</v>
      </c>
      <c r="BX1101" s="89">
        <v>43640</v>
      </c>
      <c r="BY1101" s="89">
        <v>-1117800</v>
      </c>
      <c r="BZ1101" s="112" t="s">
        <v>338</v>
      </c>
    </row>
    <row r="1102" spans="1:89" x14ac:dyDescent="0.15">
      <c r="A1102" s="84">
        <v>2</v>
      </c>
      <c r="B1102" s="85">
        <v>43663</v>
      </c>
      <c r="C1102" s="85">
        <v>43672</v>
      </c>
      <c r="D1102" s="85">
        <v>43705</v>
      </c>
      <c r="F1102" s="85">
        <v>43679</v>
      </c>
      <c r="G1102" s="85">
        <v>43676</v>
      </c>
      <c r="H1102" s="85">
        <v>43675</v>
      </c>
      <c r="I1102" s="84" t="s">
        <v>401</v>
      </c>
      <c r="J1102" s="84">
        <v>1</v>
      </c>
      <c r="K1102" s="85">
        <v>43658</v>
      </c>
      <c r="L1102" s="84" t="s">
        <v>818</v>
      </c>
      <c r="M1102" s="85">
        <v>43641</v>
      </c>
      <c r="N1102" s="85" t="s">
        <v>265</v>
      </c>
      <c r="O1102" s="86" t="s">
        <v>340</v>
      </c>
      <c r="P1102" s="84" t="s">
        <v>26</v>
      </c>
      <c r="Q1102" s="86" t="s">
        <v>140</v>
      </c>
      <c r="R1102" s="86" t="s">
        <v>3126</v>
      </c>
      <c r="S1102" s="87" t="s">
        <v>2075</v>
      </c>
      <c r="T1102" s="87" t="s">
        <v>3127</v>
      </c>
      <c r="U1102" s="88">
        <v>182500</v>
      </c>
      <c r="V1102" s="88">
        <v>197100</v>
      </c>
      <c r="W1102" s="88">
        <v>94000</v>
      </c>
      <c r="X1102" s="88">
        <v>101520</v>
      </c>
      <c r="Y1102" s="88">
        <v>88500</v>
      </c>
      <c r="Z1102" s="88">
        <v>95580</v>
      </c>
      <c r="AA1102" s="85">
        <v>43670</v>
      </c>
      <c r="AB1102" s="85">
        <v>43672</v>
      </c>
      <c r="AC1102" s="85">
        <v>43672</v>
      </c>
      <c r="AD1102" s="84">
        <v>0</v>
      </c>
      <c r="AG1102" s="84">
        <v>0</v>
      </c>
      <c r="AJ1102" s="84">
        <v>0</v>
      </c>
      <c r="AM1102" s="84" t="s">
        <v>290</v>
      </c>
      <c r="AN1102" s="84" t="s">
        <v>3128</v>
      </c>
      <c r="AR1102" s="85">
        <v>43658</v>
      </c>
      <c r="AS1102" s="84">
        <v>6001693222</v>
      </c>
      <c r="AT1102" s="85">
        <v>43658</v>
      </c>
      <c r="AU1102" s="84" t="s">
        <v>3046</v>
      </c>
      <c r="AV1102" s="85">
        <v>43672</v>
      </c>
      <c r="AW1102" s="123">
        <v>43677</v>
      </c>
      <c r="AX1102" s="123">
        <v>43697</v>
      </c>
      <c r="AY1102" s="132">
        <v>175200</v>
      </c>
      <c r="AZ1102" s="132">
        <f>ROUNDDOWN(AY1102+(AY1102*MASTER!$A$2/100),0)</f>
        <v>189216</v>
      </c>
      <c r="BA1102" s="84" t="s">
        <v>286</v>
      </c>
      <c r="BB1102" s="88">
        <v>44800</v>
      </c>
      <c r="BC1102" s="88">
        <v>48384</v>
      </c>
      <c r="BD1102" s="84" t="s">
        <v>2849</v>
      </c>
      <c r="BG1102" s="88">
        <v>0</v>
      </c>
      <c r="BI1102" s="84" t="s">
        <v>434</v>
      </c>
      <c r="BJ1102" s="88">
        <v>57525</v>
      </c>
      <c r="BK1102" s="88">
        <v>62127</v>
      </c>
      <c r="BL1102" s="84" t="s">
        <v>2849</v>
      </c>
      <c r="BS1102" s="88">
        <v>0</v>
      </c>
      <c r="BV1102" s="89">
        <v>101520</v>
      </c>
      <c r="BW1102" s="89">
        <v>110511</v>
      </c>
      <c r="BX1102" s="89">
        <v>0</v>
      </c>
      <c r="BY1102" s="89">
        <v>43658</v>
      </c>
      <c r="BZ1102" s="112">
        <v>-8.8563829787234045</v>
      </c>
      <c r="CK1102" s="88">
        <v>0</v>
      </c>
    </row>
    <row r="1103" spans="1:89" x14ac:dyDescent="0.15">
      <c r="A1103" s="84">
        <v>2</v>
      </c>
      <c r="B1103" s="85">
        <v>43675</v>
      </c>
      <c r="C1103" s="85">
        <v>43684</v>
      </c>
      <c r="D1103" s="85">
        <v>43705</v>
      </c>
      <c r="E1103" s="85">
        <v>43686</v>
      </c>
      <c r="F1103" s="85">
        <v>43691</v>
      </c>
      <c r="G1103" s="85">
        <v>43684</v>
      </c>
      <c r="H1103" s="85">
        <v>43687</v>
      </c>
      <c r="I1103" s="84" t="s">
        <v>401</v>
      </c>
      <c r="J1103" s="84">
        <v>1</v>
      </c>
      <c r="L1103" s="84">
        <v>0</v>
      </c>
      <c r="M1103" s="85">
        <v>43641</v>
      </c>
      <c r="N1103" s="85" t="s">
        <v>265</v>
      </c>
      <c r="O1103" s="86" t="s">
        <v>340</v>
      </c>
      <c r="P1103" s="84" t="s">
        <v>26</v>
      </c>
      <c r="Q1103" s="86" t="s">
        <v>140</v>
      </c>
      <c r="R1103" s="86" t="s">
        <v>3129</v>
      </c>
      <c r="S1103" s="87" t="s">
        <v>768</v>
      </c>
      <c r="T1103" s="87" t="s">
        <v>3130</v>
      </c>
      <c r="U1103" s="88">
        <v>96700</v>
      </c>
      <c r="V1103" s="88">
        <v>104436</v>
      </c>
      <c r="W1103" s="88">
        <v>75500</v>
      </c>
      <c r="X1103" s="88">
        <v>81540</v>
      </c>
      <c r="Y1103" s="88">
        <v>21200</v>
      </c>
      <c r="Z1103" s="88">
        <v>22896</v>
      </c>
      <c r="AA1103" s="85">
        <v>43681</v>
      </c>
      <c r="AB1103" s="85">
        <v>43684</v>
      </c>
      <c r="AC1103" s="85">
        <v>43684</v>
      </c>
      <c r="AD1103" s="84">
        <v>0</v>
      </c>
      <c r="AG1103" s="84">
        <v>0</v>
      </c>
      <c r="AJ1103" s="84">
        <v>0</v>
      </c>
      <c r="AM1103" s="84" t="s">
        <v>290</v>
      </c>
      <c r="AN1103" s="84" t="s">
        <v>3131</v>
      </c>
      <c r="AR1103" s="85">
        <v>43657</v>
      </c>
      <c r="AS1103" s="84">
        <v>6001692766</v>
      </c>
      <c r="AT1103" s="85">
        <v>43662</v>
      </c>
      <c r="AU1103" s="84" t="s">
        <v>2964</v>
      </c>
      <c r="AV1103" s="85">
        <v>43684</v>
      </c>
      <c r="AW1103" s="123">
        <v>43708</v>
      </c>
      <c r="AX1103" s="123">
        <v>43728</v>
      </c>
      <c r="AY1103" s="132">
        <v>92832</v>
      </c>
      <c r="AZ1103" s="132">
        <v>100259</v>
      </c>
      <c r="BA1103" s="84" t="s">
        <v>286</v>
      </c>
      <c r="BB1103" s="88">
        <v>30000</v>
      </c>
      <c r="BC1103" s="88">
        <v>32400</v>
      </c>
      <c r="BD1103" s="84" t="s">
        <v>2849</v>
      </c>
      <c r="BG1103" s="88">
        <v>0</v>
      </c>
      <c r="BI1103" s="84" t="s">
        <v>434</v>
      </c>
      <c r="BJ1103" s="88">
        <v>13780</v>
      </c>
      <c r="BK1103" s="88">
        <v>14882.4</v>
      </c>
      <c r="BL1103" s="84" t="s">
        <v>2849</v>
      </c>
      <c r="BS1103" s="88">
        <v>0</v>
      </c>
      <c r="BV1103" s="89">
        <v>81540</v>
      </c>
      <c r="BW1103" s="89">
        <v>47282.400000000001</v>
      </c>
      <c r="BX1103" s="89">
        <v>43641</v>
      </c>
      <c r="BY1103" s="89">
        <v>34257.599999999999</v>
      </c>
      <c r="BZ1103" s="112">
        <v>42.013245033112575</v>
      </c>
      <c r="CK1103" s="88">
        <v>0</v>
      </c>
    </row>
    <row r="1104" spans="1:89" x14ac:dyDescent="0.15">
      <c r="A1104" s="84">
        <v>2</v>
      </c>
      <c r="B1104" s="85">
        <v>43675</v>
      </c>
      <c r="C1104" s="85">
        <v>43685</v>
      </c>
      <c r="D1104" s="85">
        <v>43706</v>
      </c>
      <c r="E1104" s="85">
        <v>43741</v>
      </c>
      <c r="F1104" s="85">
        <v>43692</v>
      </c>
      <c r="G1104" s="85">
        <v>43685</v>
      </c>
      <c r="H1104" s="85">
        <v>43688</v>
      </c>
      <c r="I1104" s="84" t="s">
        <v>1191</v>
      </c>
      <c r="J1104" s="84">
        <v>2</v>
      </c>
      <c r="L1104" s="84">
        <v>0</v>
      </c>
      <c r="M1104" s="85">
        <v>43641</v>
      </c>
      <c r="N1104" s="85" t="s">
        <v>265</v>
      </c>
      <c r="O1104" s="86" t="s">
        <v>340</v>
      </c>
      <c r="P1104" s="84" t="s">
        <v>26</v>
      </c>
      <c r="Q1104" s="86" t="s">
        <v>140</v>
      </c>
      <c r="R1104" s="86" t="s">
        <v>3132</v>
      </c>
      <c r="S1104" s="87" t="s">
        <v>919</v>
      </c>
      <c r="T1104" s="87" t="s">
        <v>3133</v>
      </c>
      <c r="U1104" s="88">
        <v>1133200</v>
      </c>
      <c r="V1104" s="88">
        <v>1223856</v>
      </c>
      <c r="W1104" s="88">
        <v>1133200</v>
      </c>
      <c r="X1104" s="88">
        <v>1223856</v>
      </c>
      <c r="Z1104" s="88">
        <v>0</v>
      </c>
      <c r="AA1104" s="85">
        <v>43683</v>
      </c>
      <c r="AB1104" s="85">
        <v>43685</v>
      </c>
      <c r="AC1104" s="85">
        <v>43685</v>
      </c>
      <c r="AD1104" s="84">
        <v>0</v>
      </c>
      <c r="AG1104" s="84">
        <v>0</v>
      </c>
      <c r="AJ1104" s="84">
        <v>0</v>
      </c>
      <c r="AM1104" s="84" t="s">
        <v>290</v>
      </c>
      <c r="AN1104" s="84" t="s">
        <v>3134</v>
      </c>
      <c r="AR1104" s="85">
        <v>43669</v>
      </c>
      <c r="AS1104" s="84">
        <v>6001696219</v>
      </c>
      <c r="AT1104" s="85">
        <v>43670</v>
      </c>
      <c r="AU1104" s="84" t="s">
        <v>3135</v>
      </c>
      <c r="AV1104" s="85">
        <v>43685</v>
      </c>
      <c r="AW1104" s="123">
        <v>43708</v>
      </c>
      <c r="AX1104" s="123">
        <v>43728</v>
      </c>
      <c r="AY1104" s="132">
        <v>1087872</v>
      </c>
      <c r="AZ1104" s="132">
        <v>1174902</v>
      </c>
      <c r="BA1104" s="84" t="s">
        <v>287</v>
      </c>
      <c r="BB1104" s="88">
        <v>263100</v>
      </c>
      <c r="BC1104" s="88">
        <v>284148</v>
      </c>
      <c r="BD1104" s="84" t="s">
        <v>2849</v>
      </c>
      <c r="BG1104" s="88">
        <v>0</v>
      </c>
      <c r="BK1104" s="88">
        <v>0</v>
      </c>
      <c r="BS1104" s="88">
        <v>0</v>
      </c>
      <c r="BV1104" s="89">
        <v>1223856</v>
      </c>
      <c r="BW1104" s="89">
        <v>284148</v>
      </c>
      <c r="BX1104" s="89">
        <v>43641</v>
      </c>
      <c r="BY1104" s="89">
        <v>939708</v>
      </c>
      <c r="BZ1104" s="112">
        <v>76.782562654429938</v>
      </c>
      <c r="CK1104" s="88">
        <v>0</v>
      </c>
    </row>
    <row r="1105" spans="1:89" x14ac:dyDescent="0.15">
      <c r="A1105" s="84">
        <v>2</v>
      </c>
      <c r="B1105" s="85">
        <v>43663</v>
      </c>
      <c r="C1105" s="85">
        <v>43673</v>
      </c>
      <c r="D1105" s="85">
        <v>43706</v>
      </c>
      <c r="E1105" s="85">
        <v>43699</v>
      </c>
      <c r="F1105" s="85">
        <v>43680</v>
      </c>
      <c r="G1105" s="85">
        <v>43675</v>
      </c>
      <c r="H1105" s="85">
        <v>43676</v>
      </c>
      <c r="I1105" s="84" t="s">
        <v>1191</v>
      </c>
      <c r="J1105" s="84">
        <v>1</v>
      </c>
      <c r="K1105" s="85">
        <v>43644</v>
      </c>
      <c r="L1105" s="84" t="s">
        <v>818</v>
      </c>
      <c r="M1105" s="85">
        <v>43641</v>
      </c>
      <c r="N1105" s="85" t="s">
        <v>265</v>
      </c>
      <c r="O1105" s="86" t="s">
        <v>340</v>
      </c>
      <c r="P1105" s="84" t="s">
        <v>26</v>
      </c>
      <c r="Q1105" s="86" t="s">
        <v>140</v>
      </c>
      <c r="R1105" s="86" t="s">
        <v>3136</v>
      </c>
      <c r="S1105" s="87" t="s">
        <v>1108</v>
      </c>
      <c r="T1105" s="87" t="s">
        <v>3137</v>
      </c>
      <c r="U1105" s="88">
        <v>83000</v>
      </c>
      <c r="V1105" s="88">
        <v>89640</v>
      </c>
      <c r="W1105" s="88">
        <v>63000</v>
      </c>
      <c r="X1105" s="88">
        <v>68040</v>
      </c>
      <c r="Y1105" s="88">
        <v>20000</v>
      </c>
      <c r="Z1105" s="88">
        <v>21600</v>
      </c>
      <c r="AA1105" s="85">
        <v>43671</v>
      </c>
      <c r="AB1105" s="85">
        <v>43673</v>
      </c>
      <c r="AC1105" s="85">
        <v>43673</v>
      </c>
      <c r="AD1105" s="84">
        <v>0</v>
      </c>
      <c r="AG1105" s="84">
        <v>0</v>
      </c>
      <c r="AJ1105" s="84">
        <v>0</v>
      </c>
      <c r="AM1105" s="84" t="s">
        <v>290</v>
      </c>
      <c r="AN1105" s="84" t="s">
        <v>3138</v>
      </c>
      <c r="AR1105" s="85">
        <v>43663</v>
      </c>
      <c r="AS1105" s="84">
        <v>6001694059</v>
      </c>
      <c r="AT1105" s="85">
        <v>43663</v>
      </c>
      <c r="AU1105" s="84" t="s">
        <v>3081</v>
      </c>
      <c r="AV1105" s="85">
        <v>43673</v>
      </c>
      <c r="AW1105" s="123">
        <v>43677</v>
      </c>
      <c r="AX1105" s="123">
        <v>43697</v>
      </c>
      <c r="AY1105" s="132">
        <v>79680</v>
      </c>
      <c r="AZ1105" s="132">
        <f>ROUNDDOWN(AY1105+(AY1105*MASTER!$A$2/100),0)</f>
        <v>86054</v>
      </c>
      <c r="BA1105" s="84" t="s">
        <v>287</v>
      </c>
      <c r="BB1105" s="88">
        <v>39000</v>
      </c>
      <c r="BC1105" s="88">
        <v>42120</v>
      </c>
      <c r="BD1105" s="84" t="s">
        <v>2849</v>
      </c>
      <c r="BG1105" s="88">
        <v>0</v>
      </c>
      <c r="BI1105" s="84" t="s">
        <v>434</v>
      </c>
      <c r="BJ1105" s="88">
        <v>13000</v>
      </c>
      <c r="BK1105" s="88">
        <v>14040</v>
      </c>
      <c r="BL1105" s="84" t="s">
        <v>2849</v>
      </c>
      <c r="BS1105" s="88">
        <v>0</v>
      </c>
      <c r="BV1105" s="89">
        <v>68040</v>
      </c>
      <c r="BW1105" s="89">
        <v>56160</v>
      </c>
      <c r="BX1105" s="89">
        <v>0</v>
      </c>
      <c r="BY1105" s="89">
        <v>43644</v>
      </c>
      <c r="BZ1105" s="112">
        <v>17.460317460317459</v>
      </c>
      <c r="CK1105" s="88">
        <v>0</v>
      </c>
    </row>
    <row r="1106" spans="1:89" x14ac:dyDescent="0.15">
      <c r="A1106" s="84">
        <v>1</v>
      </c>
      <c r="B1106" s="85">
        <v>43642</v>
      </c>
      <c r="C1106" s="85">
        <v>43650</v>
      </c>
      <c r="F1106" s="85" t="s">
        <v>338</v>
      </c>
      <c r="H1106" s="85" t="s">
        <v>338</v>
      </c>
      <c r="J1106" s="84">
        <v>2</v>
      </c>
      <c r="L1106" s="84">
        <v>0</v>
      </c>
      <c r="M1106" s="85">
        <v>43641</v>
      </c>
      <c r="N1106" s="85" t="s">
        <v>265</v>
      </c>
      <c r="O1106" s="86" t="s">
        <v>340</v>
      </c>
      <c r="P1106" s="84" t="s">
        <v>78</v>
      </c>
      <c r="Q1106" s="86" t="s">
        <v>140</v>
      </c>
      <c r="R1106" s="86" t="s">
        <v>3139</v>
      </c>
      <c r="S1106" s="87" t="s">
        <v>407</v>
      </c>
      <c r="T1106" s="87" t="s">
        <v>408</v>
      </c>
      <c r="U1106" s="88">
        <v>8300</v>
      </c>
      <c r="V1106" s="88">
        <v>8964</v>
      </c>
      <c r="W1106" s="88">
        <v>8300</v>
      </c>
      <c r="X1106" s="88">
        <v>8964</v>
      </c>
      <c r="Z1106" s="88">
        <v>0</v>
      </c>
      <c r="AD1106" s="84">
        <v>0</v>
      </c>
      <c r="AG1106" s="84">
        <v>0</v>
      </c>
      <c r="AJ1106" s="84">
        <v>0</v>
      </c>
      <c r="AR1106" s="85">
        <v>43641</v>
      </c>
      <c r="AS1106" s="84">
        <v>6001687662</v>
      </c>
      <c r="AT1106" s="85">
        <v>43641</v>
      </c>
      <c r="AU1106" s="84" t="s">
        <v>3140</v>
      </c>
      <c r="AV1106" s="85">
        <v>43650</v>
      </c>
      <c r="AW1106" s="123">
        <v>43646</v>
      </c>
      <c r="AX1106" s="123">
        <v>43666</v>
      </c>
      <c r="AY1106" s="132">
        <v>7968</v>
      </c>
      <c r="AZ1106" s="132">
        <f>ROUNDDOWN(AY1106+(AY1106*MASTER!$A$2/100),0)</f>
        <v>8605</v>
      </c>
      <c r="BC1106" s="88">
        <v>0</v>
      </c>
      <c r="BG1106" s="88">
        <v>0</v>
      </c>
      <c r="BK1106" s="88">
        <v>0</v>
      </c>
      <c r="BS1106" s="88">
        <v>0</v>
      </c>
      <c r="BV1106" s="89">
        <v>8964</v>
      </c>
      <c r="BW1106" s="89">
        <v>0</v>
      </c>
      <c r="BX1106" s="89">
        <v>43641</v>
      </c>
      <c r="BY1106" s="89">
        <v>8964</v>
      </c>
      <c r="BZ1106" s="112">
        <v>100</v>
      </c>
      <c r="CK1106" s="88">
        <v>0</v>
      </c>
    </row>
    <row r="1107" spans="1:89" x14ac:dyDescent="0.15">
      <c r="A1107" s="84">
        <v>2</v>
      </c>
      <c r="B1107" s="85">
        <v>43678</v>
      </c>
      <c r="C1107" s="85">
        <v>43684</v>
      </c>
      <c r="D1107" s="85">
        <v>43705</v>
      </c>
      <c r="E1107" s="85">
        <v>43686</v>
      </c>
      <c r="F1107" s="85">
        <v>43691</v>
      </c>
      <c r="G1107" s="85">
        <v>43684</v>
      </c>
      <c r="H1107" s="85">
        <v>43687</v>
      </c>
      <c r="I1107" s="84" t="s">
        <v>401</v>
      </c>
      <c r="J1107" s="84">
        <v>1</v>
      </c>
      <c r="L1107" s="84">
        <v>0</v>
      </c>
      <c r="M1107" s="85">
        <v>43642</v>
      </c>
      <c r="N1107" s="85" t="s">
        <v>265</v>
      </c>
      <c r="O1107" s="86" t="s">
        <v>340</v>
      </c>
      <c r="P1107" s="84" t="s">
        <v>26</v>
      </c>
      <c r="Q1107" s="86" t="s">
        <v>140</v>
      </c>
      <c r="R1107" s="86" t="s">
        <v>3141</v>
      </c>
      <c r="S1107" s="87" t="s">
        <v>1758</v>
      </c>
      <c r="T1107" s="87" t="s">
        <v>3142</v>
      </c>
      <c r="U1107" s="88">
        <v>87500</v>
      </c>
      <c r="V1107" s="88">
        <v>94500</v>
      </c>
      <c r="W1107" s="88">
        <v>75500</v>
      </c>
      <c r="X1107" s="88">
        <v>81540</v>
      </c>
      <c r="Y1107" s="88">
        <v>12000</v>
      </c>
      <c r="Z1107" s="88">
        <v>12960</v>
      </c>
      <c r="AA1107" s="85">
        <v>43681</v>
      </c>
      <c r="AB1107" s="85">
        <v>43684</v>
      </c>
      <c r="AC1107" s="85">
        <v>43684</v>
      </c>
      <c r="AD1107" s="84">
        <v>0</v>
      </c>
      <c r="AG1107" s="84">
        <v>0</v>
      </c>
      <c r="AJ1107" s="84">
        <v>0</v>
      </c>
      <c r="AM1107" s="84" t="s">
        <v>290</v>
      </c>
      <c r="AN1107" s="84" t="s">
        <v>3143</v>
      </c>
      <c r="AR1107" s="85">
        <v>43676</v>
      </c>
      <c r="AS1107" s="84">
        <v>6001698276</v>
      </c>
      <c r="AT1107" s="85">
        <v>43677</v>
      </c>
      <c r="AU1107" s="84" t="s">
        <v>3144</v>
      </c>
      <c r="AV1107" s="85">
        <v>43684</v>
      </c>
      <c r="AW1107" s="123">
        <v>43708</v>
      </c>
      <c r="AX1107" s="123">
        <v>43728</v>
      </c>
      <c r="AY1107" s="132">
        <v>84000</v>
      </c>
      <c r="AZ1107" s="132">
        <f>ROUNDDOWN(AY1107+(AY1107*MASTER!$A$2/100),0)</f>
        <v>90720</v>
      </c>
      <c r="BA1107" s="84" t="s">
        <v>286</v>
      </c>
      <c r="BB1107" s="88">
        <v>36000</v>
      </c>
      <c r="BC1107" s="88">
        <v>38880</v>
      </c>
      <c r="BD1107" s="84" t="s">
        <v>2849</v>
      </c>
      <c r="BG1107" s="88">
        <v>0</v>
      </c>
      <c r="BI1107" s="84" t="s">
        <v>434</v>
      </c>
      <c r="BJ1107" s="88">
        <v>7800</v>
      </c>
      <c r="BK1107" s="88">
        <v>8424</v>
      </c>
      <c r="BL1107" s="84" t="s">
        <v>2849</v>
      </c>
      <c r="BS1107" s="88">
        <v>0</v>
      </c>
      <c r="BV1107" s="89">
        <v>81540</v>
      </c>
      <c r="BW1107" s="89">
        <v>47304</v>
      </c>
      <c r="BX1107" s="89">
        <v>43642</v>
      </c>
      <c r="BY1107" s="89">
        <v>34236</v>
      </c>
      <c r="BZ1107" s="112">
        <v>41.986754966887418</v>
      </c>
      <c r="CK1107" s="88">
        <v>0</v>
      </c>
    </row>
    <row r="1108" spans="1:89" x14ac:dyDescent="0.15">
      <c r="A1108" s="84">
        <v>2</v>
      </c>
      <c r="B1108" s="85">
        <v>43678</v>
      </c>
      <c r="C1108" s="85">
        <v>43687</v>
      </c>
      <c r="D1108" s="85">
        <v>43705</v>
      </c>
      <c r="E1108" s="85">
        <v>43697</v>
      </c>
      <c r="F1108" s="85">
        <v>43694</v>
      </c>
      <c r="G1108" s="85">
        <v>43696</v>
      </c>
      <c r="H1108" s="85">
        <v>43690</v>
      </c>
      <c r="I1108" s="84" t="s">
        <v>401</v>
      </c>
      <c r="J1108" s="84">
        <v>1</v>
      </c>
      <c r="L1108" s="84">
        <v>0</v>
      </c>
      <c r="M1108" s="85">
        <v>43642</v>
      </c>
      <c r="N1108" s="85" t="s">
        <v>265</v>
      </c>
      <c r="O1108" s="86" t="s">
        <v>340</v>
      </c>
      <c r="P1108" s="84" t="s">
        <v>26</v>
      </c>
      <c r="Q1108" s="86" t="s">
        <v>140</v>
      </c>
      <c r="R1108" s="86" t="s">
        <v>3145</v>
      </c>
      <c r="S1108" s="87" t="s">
        <v>1467</v>
      </c>
      <c r="T1108" s="87" t="s">
        <v>3142</v>
      </c>
      <c r="U1108" s="88">
        <v>87500</v>
      </c>
      <c r="V1108" s="88">
        <v>94500</v>
      </c>
      <c r="W1108" s="88">
        <v>75500</v>
      </c>
      <c r="X1108" s="88">
        <v>81540</v>
      </c>
      <c r="Y1108" s="88">
        <v>12000</v>
      </c>
      <c r="Z1108" s="88">
        <v>12960</v>
      </c>
      <c r="AA1108" s="85">
        <v>43684</v>
      </c>
      <c r="AB1108" s="85">
        <v>43687</v>
      </c>
      <c r="AC1108" s="85">
        <v>43687</v>
      </c>
      <c r="AD1108" s="84">
        <v>0</v>
      </c>
      <c r="AG1108" s="84">
        <v>0</v>
      </c>
      <c r="AJ1108" s="84">
        <v>0</v>
      </c>
      <c r="AM1108" s="84" t="s">
        <v>290</v>
      </c>
      <c r="AN1108" s="84" t="s">
        <v>3146</v>
      </c>
      <c r="AR1108" s="85">
        <v>43676</v>
      </c>
      <c r="AS1108" s="84">
        <v>6001698276</v>
      </c>
      <c r="AT1108" s="85">
        <v>43677</v>
      </c>
      <c r="AU1108" s="84" t="s">
        <v>3144</v>
      </c>
      <c r="AV1108" s="85">
        <v>43687</v>
      </c>
      <c r="AW1108" s="123">
        <v>43708</v>
      </c>
      <c r="AX1108" s="123">
        <v>43728</v>
      </c>
      <c r="AY1108" s="132">
        <v>84000</v>
      </c>
      <c r="AZ1108" s="132">
        <f>ROUNDDOWN(AY1108+(AY1108*MASTER!$A$2/100),0)</f>
        <v>90720</v>
      </c>
      <c r="BA1108" s="84" t="s">
        <v>286</v>
      </c>
      <c r="BB1108" s="88">
        <v>28000</v>
      </c>
      <c r="BC1108" s="88">
        <v>30240</v>
      </c>
      <c r="BD1108" s="84" t="s">
        <v>2849</v>
      </c>
      <c r="BG1108" s="88">
        <v>0</v>
      </c>
      <c r="BI1108" s="84" t="s">
        <v>434</v>
      </c>
      <c r="BJ1108" s="88">
        <v>7800</v>
      </c>
      <c r="BK1108" s="88">
        <v>8424</v>
      </c>
      <c r="BL1108" s="84" t="s">
        <v>2849</v>
      </c>
      <c r="BS1108" s="88">
        <v>0</v>
      </c>
      <c r="BV1108" s="89">
        <v>81540</v>
      </c>
      <c r="BW1108" s="89">
        <v>38664</v>
      </c>
      <c r="BX1108" s="89">
        <v>43642</v>
      </c>
      <c r="BY1108" s="89">
        <v>42876</v>
      </c>
      <c r="BZ1108" s="112">
        <v>52.58278145695364</v>
      </c>
      <c r="CK1108" s="88">
        <v>0</v>
      </c>
    </row>
    <row r="1109" spans="1:89" x14ac:dyDescent="0.15">
      <c r="A1109" s="84">
        <v>2</v>
      </c>
      <c r="B1109" s="85">
        <v>43675</v>
      </c>
      <c r="C1109" s="85">
        <v>43684</v>
      </c>
      <c r="D1109" s="85">
        <v>43706</v>
      </c>
      <c r="E1109" s="85">
        <v>43741</v>
      </c>
      <c r="F1109" s="85">
        <v>43691</v>
      </c>
      <c r="G1109" s="85">
        <v>43684</v>
      </c>
      <c r="H1109" s="85">
        <v>43687</v>
      </c>
      <c r="I1109" s="84" t="s">
        <v>1191</v>
      </c>
      <c r="J1109" s="84">
        <v>1</v>
      </c>
      <c r="L1109" s="84">
        <v>0</v>
      </c>
      <c r="M1109" s="85">
        <v>43642</v>
      </c>
      <c r="N1109" s="85" t="s">
        <v>265</v>
      </c>
      <c r="O1109" s="86" t="s">
        <v>340</v>
      </c>
      <c r="P1109" s="84" t="s">
        <v>26</v>
      </c>
      <c r="Q1109" s="86" t="s">
        <v>140</v>
      </c>
      <c r="R1109" s="86" t="s">
        <v>3147</v>
      </c>
      <c r="S1109" s="87" t="s">
        <v>1680</v>
      </c>
      <c r="T1109" s="87" t="s">
        <v>1846</v>
      </c>
      <c r="U1109" s="88">
        <v>79500</v>
      </c>
      <c r="V1109" s="88">
        <v>85860</v>
      </c>
      <c r="W1109" s="88">
        <v>67500</v>
      </c>
      <c r="X1109" s="88">
        <v>72900</v>
      </c>
      <c r="Y1109" s="88">
        <v>12000</v>
      </c>
      <c r="Z1109" s="88">
        <v>12960</v>
      </c>
      <c r="AA1109" s="85">
        <v>43682</v>
      </c>
      <c r="AB1109" s="85">
        <v>43684</v>
      </c>
      <c r="AC1109" s="85">
        <v>43684</v>
      </c>
      <c r="AD1109" s="84">
        <v>0</v>
      </c>
      <c r="AG1109" s="84">
        <v>0</v>
      </c>
      <c r="AJ1109" s="84">
        <v>0</v>
      </c>
      <c r="AM1109" s="84" t="s">
        <v>290</v>
      </c>
      <c r="AN1109" s="84" t="s">
        <v>3148</v>
      </c>
      <c r="AR1109" s="85">
        <v>43657</v>
      </c>
      <c r="AS1109" s="84">
        <v>6001692766</v>
      </c>
      <c r="AT1109" s="85">
        <v>43662</v>
      </c>
      <c r="AU1109" s="84" t="s">
        <v>2964</v>
      </c>
      <c r="AV1109" s="85">
        <v>43684</v>
      </c>
      <c r="AW1109" s="123">
        <v>43708</v>
      </c>
      <c r="AX1109" s="123">
        <v>43728</v>
      </c>
      <c r="AY1109" s="132">
        <v>76320</v>
      </c>
      <c r="AZ1109" s="132">
        <v>82426</v>
      </c>
      <c r="BA1109" s="84" t="s">
        <v>287</v>
      </c>
      <c r="BB1109" s="88">
        <v>32000</v>
      </c>
      <c r="BC1109" s="88">
        <v>34560</v>
      </c>
      <c r="BD1109" s="84" t="s">
        <v>2849</v>
      </c>
      <c r="BG1109" s="88">
        <v>0</v>
      </c>
      <c r="BI1109" s="84" t="s">
        <v>434</v>
      </c>
      <c r="BJ1109" s="88">
        <v>7800</v>
      </c>
      <c r="BK1109" s="88">
        <v>8424</v>
      </c>
      <c r="BL1109" s="84" t="s">
        <v>2849</v>
      </c>
      <c r="BS1109" s="88">
        <v>0</v>
      </c>
      <c r="BV1109" s="89">
        <v>72900</v>
      </c>
      <c r="BW1109" s="89">
        <v>42984</v>
      </c>
      <c r="BX1109" s="89">
        <v>43642</v>
      </c>
      <c r="BY1109" s="89">
        <v>29916</v>
      </c>
      <c r="BZ1109" s="112">
        <v>41.037037037037038</v>
      </c>
      <c r="CK1109" s="88">
        <v>0</v>
      </c>
    </row>
    <row r="1110" spans="1:89" x14ac:dyDescent="0.15">
      <c r="A1110" s="84">
        <v>2</v>
      </c>
      <c r="B1110" s="85">
        <v>43675</v>
      </c>
      <c r="C1110" s="85">
        <v>43686</v>
      </c>
      <c r="D1110" s="85" t="s">
        <v>374</v>
      </c>
      <c r="E1110" s="85">
        <v>43697</v>
      </c>
      <c r="F1110" s="85">
        <v>43693</v>
      </c>
      <c r="G1110" s="85">
        <v>43698</v>
      </c>
      <c r="H1110" s="85">
        <v>43689</v>
      </c>
      <c r="I1110" s="84" t="s">
        <v>401</v>
      </c>
      <c r="J1110" s="84">
        <v>1</v>
      </c>
      <c r="L1110" s="84">
        <v>0</v>
      </c>
      <c r="M1110" s="85">
        <v>43642</v>
      </c>
      <c r="N1110" s="85" t="s">
        <v>265</v>
      </c>
      <c r="O1110" s="86" t="s">
        <v>340</v>
      </c>
      <c r="P1110" s="84" t="s">
        <v>26</v>
      </c>
      <c r="Q1110" s="86" t="s">
        <v>140</v>
      </c>
      <c r="R1110" s="86" t="s">
        <v>3149</v>
      </c>
      <c r="S1110" s="87" t="s">
        <v>676</v>
      </c>
      <c r="T1110" s="87" t="s">
        <v>763</v>
      </c>
      <c r="U1110" s="88">
        <v>23900</v>
      </c>
      <c r="V1110" s="88">
        <v>25812</v>
      </c>
      <c r="W1110" s="88">
        <v>14700</v>
      </c>
      <c r="X1110" s="88">
        <v>15876</v>
      </c>
      <c r="Y1110" s="88">
        <v>9200</v>
      </c>
      <c r="Z1110" s="88">
        <v>9936</v>
      </c>
      <c r="AA1110" s="85">
        <v>43685</v>
      </c>
      <c r="AB1110" s="85">
        <v>43686</v>
      </c>
      <c r="AC1110" s="85">
        <v>43686</v>
      </c>
      <c r="AD1110" s="84">
        <v>0</v>
      </c>
      <c r="AG1110" s="84">
        <v>0</v>
      </c>
      <c r="AJ1110" s="84">
        <v>0</v>
      </c>
      <c r="AM1110" s="84" t="s">
        <v>290</v>
      </c>
      <c r="AN1110" s="84" t="s">
        <v>3150</v>
      </c>
      <c r="AR1110" s="85">
        <v>43655</v>
      </c>
      <c r="AS1110" s="84">
        <v>6001691923</v>
      </c>
      <c r="AT1110" s="85">
        <v>43655</v>
      </c>
      <c r="AU1110" s="84" t="s">
        <v>3071</v>
      </c>
      <c r="AV1110" s="85">
        <v>43686</v>
      </c>
      <c r="AW1110" s="123">
        <v>43708</v>
      </c>
      <c r="AX1110" s="123">
        <v>43728</v>
      </c>
      <c r="AY1110" s="132">
        <v>22944</v>
      </c>
      <c r="AZ1110" s="132">
        <v>24780</v>
      </c>
      <c r="BA1110" s="84" t="s">
        <v>778</v>
      </c>
      <c r="BC1110" s="88">
        <v>0</v>
      </c>
      <c r="BG1110" s="88">
        <v>0</v>
      </c>
      <c r="BI1110" s="84" t="s">
        <v>276</v>
      </c>
      <c r="BJ1110" s="88">
        <v>5980</v>
      </c>
      <c r="BK1110" s="88">
        <v>6458.4</v>
      </c>
      <c r="BL1110" s="84" t="s">
        <v>2849</v>
      </c>
      <c r="BS1110" s="88">
        <v>0</v>
      </c>
      <c r="BV1110" s="89">
        <v>15876</v>
      </c>
      <c r="BW1110" s="89">
        <v>6458.4</v>
      </c>
      <c r="BX1110" s="89">
        <v>43642</v>
      </c>
      <c r="BY1110" s="89">
        <v>9417.6</v>
      </c>
      <c r="BZ1110" s="112">
        <v>59.319727891156461</v>
      </c>
      <c r="CK1110" s="88">
        <v>0</v>
      </c>
    </row>
    <row r="1111" spans="1:89" x14ac:dyDescent="0.15">
      <c r="A1111" s="84">
        <v>2</v>
      </c>
      <c r="B1111" s="85">
        <v>43662</v>
      </c>
      <c r="C1111" s="85">
        <v>43670</v>
      </c>
      <c r="D1111" s="85" t="s">
        <v>374</v>
      </c>
      <c r="F1111" s="85">
        <v>43677</v>
      </c>
      <c r="G1111" s="85">
        <v>43671</v>
      </c>
      <c r="H1111" s="85">
        <v>43673</v>
      </c>
      <c r="I1111" s="84" t="s">
        <v>1191</v>
      </c>
      <c r="J1111" s="84">
        <v>1</v>
      </c>
      <c r="L1111" s="84">
        <v>0</v>
      </c>
      <c r="M1111" s="85">
        <v>43642</v>
      </c>
      <c r="N1111" s="85" t="s">
        <v>265</v>
      </c>
      <c r="O1111" s="86" t="s">
        <v>340</v>
      </c>
      <c r="P1111" s="84" t="s">
        <v>26</v>
      </c>
      <c r="Q1111" s="86" t="s">
        <v>140</v>
      </c>
      <c r="R1111" s="86" t="s">
        <v>3151</v>
      </c>
      <c r="S1111" s="87" t="s">
        <v>1454</v>
      </c>
      <c r="T1111" s="87" t="s">
        <v>721</v>
      </c>
      <c r="U1111" s="88">
        <v>23900</v>
      </c>
      <c r="V1111" s="88">
        <v>25812</v>
      </c>
      <c r="W1111" s="88">
        <v>14700</v>
      </c>
      <c r="X1111" s="88">
        <v>15876</v>
      </c>
      <c r="Y1111" s="88">
        <v>9200</v>
      </c>
      <c r="Z1111" s="88">
        <v>9936</v>
      </c>
      <c r="AA1111" s="85">
        <v>43668</v>
      </c>
      <c r="AB1111" s="85">
        <v>43670</v>
      </c>
      <c r="AC1111" s="85">
        <v>43670</v>
      </c>
      <c r="AD1111" s="84">
        <v>0</v>
      </c>
      <c r="AG1111" s="84">
        <v>0</v>
      </c>
      <c r="AJ1111" s="84">
        <v>0</v>
      </c>
      <c r="AM1111" s="84" t="s">
        <v>290</v>
      </c>
      <c r="AN1111" s="84" t="s">
        <v>3152</v>
      </c>
      <c r="AR1111" s="85">
        <v>43651</v>
      </c>
      <c r="AS1111" s="84">
        <v>6001690945</v>
      </c>
      <c r="AT1111" s="85">
        <v>43651</v>
      </c>
      <c r="AU1111" s="84" t="s">
        <v>3153</v>
      </c>
      <c r="AV1111" s="85">
        <v>43670</v>
      </c>
      <c r="AW1111" s="123">
        <v>43677</v>
      </c>
      <c r="AX1111" s="123">
        <v>43697</v>
      </c>
      <c r="AY1111" s="132">
        <v>22944</v>
      </c>
      <c r="AZ1111" s="132">
        <v>24780</v>
      </c>
      <c r="BA1111" s="84" t="s">
        <v>778</v>
      </c>
      <c r="BC1111" s="88">
        <v>0</v>
      </c>
      <c r="BG1111" s="88">
        <v>0</v>
      </c>
      <c r="BI1111" s="84" t="s">
        <v>276</v>
      </c>
      <c r="BJ1111" s="88">
        <v>5980</v>
      </c>
      <c r="BK1111" s="88">
        <v>6458.4</v>
      </c>
      <c r="BL1111" s="84" t="s">
        <v>3158</v>
      </c>
      <c r="BS1111" s="88">
        <v>0</v>
      </c>
      <c r="BV1111" s="89">
        <v>15876</v>
      </c>
      <c r="BW1111" s="89">
        <v>6458.4</v>
      </c>
      <c r="BX1111" s="89">
        <v>43642</v>
      </c>
      <c r="BY1111" s="89">
        <v>9417.6</v>
      </c>
      <c r="BZ1111" s="112">
        <v>59.319727891156461</v>
      </c>
      <c r="CK1111" s="88">
        <v>0</v>
      </c>
    </row>
    <row r="1112" spans="1:89" x14ac:dyDescent="0.15">
      <c r="A1112" s="84">
        <v>2</v>
      </c>
      <c r="B1112" s="85">
        <v>43663</v>
      </c>
      <c r="C1112" s="85">
        <v>43658</v>
      </c>
      <c r="F1112" s="85" t="s">
        <v>338</v>
      </c>
      <c r="G1112" s="85">
        <v>43643</v>
      </c>
      <c r="H1112" s="85" t="s">
        <v>338</v>
      </c>
      <c r="I1112" s="84" t="s">
        <v>401</v>
      </c>
      <c r="J1112" s="84">
        <v>2</v>
      </c>
      <c r="L1112" s="84">
        <v>0</v>
      </c>
      <c r="M1112" s="85">
        <v>43642</v>
      </c>
      <c r="N1112" s="85" t="s">
        <v>265</v>
      </c>
      <c r="O1112" s="86" t="s">
        <v>340</v>
      </c>
      <c r="P1112" s="84" t="s">
        <v>26</v>
      </c>
      <c r="Q1112" s="86" t="s">
        <v>140</v>
      </c>
      <c r="R1112" s="86" t="s">
        <v>3154</v>
      </c>
      <c r="S1112" s="87" t="s">
        <v>1154</v>
      </c>
      <c r="T1112" s="87" t="s">
        <v>3155</v>
      </c>
      <c r="U1112" s="88">
        <v>54000</v>
      </c>
      <c r="V1112" s="88">
        <v>58320</v>
      </c>
      <c r="W1112" s="88">
        <v>54000</v>
      </c>
      <c r="X1112" s="88">
        <v>58320</v>
      </c>
      <c r="Z1112" s="88">
        <v>0</v>
      </c>
      <c r="AA1112" s="85">
        <v>43642</v>
      </c>
      <c r="AB1112" s="85">
        <v>43642</v>
      </c>
      <c r="AD1112" s="84">
        <v>0</v>
      </c>
      <c r="AG1112" s="84">
        <v>0</v>
      </c>
      <c r="AJ1112" s="84">
        <v>0</v>
      </c>
      <c r="AN1112" s="84" t="s">
        <v>338</v>
      </c>
      <c r="AR1112" s="85">
        <v>43657</v>
      </c>
      <c r="AS1112" s="84">
        <v>6001692766</v>
      </c>
      <c r="AT1112" s="85">
        <v>43662</v>
      </c>
      <c r="AU1112" s="84" t="s">
        <v>2964</v>
      </c>
      <c r="AV1112" s="85">
        <v>43658</v>
      </c>
      <c r="AW1112" s="123">
        <v>43677</v>
      </c>
      <c r="AX1112" s="123">
        <v>43697</v>
      </c>
      <c r="AY1112" s="132">
        <v>51840</v>
      </c>
      <c r="AZ1112" s="132">
        <f>ROUNDDOWN(AY1112+(AY1112*MASTER!$A$2/100),0)</f>
        <v>55987</v>
      </c>
      <c r="BA1112" s="84" t="s">
        <v>778</v>
      </c>
      <c r="BC1112" s="88">
        <v>0</v>
      </c>
      <c r="BG1112" s="88">
        <v>0</v>
      </c>
      <c r="BK1112" s="88">
        <v>0</v>
      </c>
      <c r="BS1112" s="88">
        <v>0</v>
      </c>
      <c r="BV1112" s="89">
        <v>58320</v>
      </c>
      <c r="BW1112" s="89">
        <v>0</v>
      </c>
      <c r="BX1112" s="89">
        <v>43642</v>
      </c>
      <c r="BY1112" s="89">
        <v>58320</v>
      </c>
      <c r="BZ1112" s="112">
        <v>100</v>
      </c>
      <c r="CK1112" s="88">
        <v>0</v>
      </c>
    </row>
    <row r="1113" spans="1:89" x14ac:dyDescent="0.15">
      <c r="A1113" s="84">
        <v>2</v>
      </c>
      <c r="B1113" s="85">
        <v>43683</v>
      </c>
      <c r="C1113" s="85">
        <v>43703</v>
      </c>
      <c r="D1113" s="85">
        <v>43705</v>
      </c>
      <c r="E1113" s="85">
        <v>43697</v>
      </c>
      <c r="F1113" s="85">
        <v>43701</v>
      </c>
      <c r="G1113" s="85">
        <v>43696</v>
      </c>
      <c r="H1113" s="85">
        <v>43697</v>
      </c>
      <c r="I1113" s="84" t="s">
        <v>401</v>
      </c>
      <c r="J1113" s="84">
        <v>1</v>
      </c>
      <c r="L1113" s="84">
        <v>0</v>
      </c>
      <c r="M1113" s="85">
        <v>43642</v>
      </c>
      <c r="N1113" s="85" t="s">
        <v>265</v>
      </c>
      <c r="O1113" s="86" t="s">
        <v>340</v>
      </c>
      <c r="P1113" s="84" t="s">
        <v>26</v>
      </c>
      <c r="Q1113" s="86" t="s">
        <v>140</v>
      </c>
      <c r="R1113" s="86" t="s">
        <v>3407</v>
      </c>
      <c r="S1113" s="87" t="s">
        <v>1085</v>
      </c>
      <c r="T1113" s="87" t="s">
        <v>828</v>
      </c>
      <c r="U1113" s="88">
        <v>95000</v>
      </c>
      <c r="V1113" s="88">
        <v>102600</v>
      </c>
      <c r="W1113" s="88">
        <v>80000</v>
      </c>
      <c r="X1113" s="88">
        <v>86400</v>
      </c>
      <c r="Y1113" s="88">
        <v>15000</v>
      </c>
      <c r="Z1113" s="88">
        <v>16200</v>
      </c>
      <c r="AA1113" s="85">
        <v>43693</v>
      </c>
      <c r="AB1113" s="85">
        <v>43694</v>
      </c>
      <c r="AC1113" s="85">
        <v>43694</v>
      </c>
      <c r="AD1113" s="84">
        <v>0</v>
      </c>
      <c r="AG1113" s="84">
        <v>0</v>
      </c>
      <c r="AJ1113" s="84">
        <v>0</v>
      </c>
      <c r="AN1113" s="84" t="s">
        <v>338</v>
      </c>
      <c r="AR1113" s="85">
        <v>43647</v>
      </c>
      <c r="AS1113" s="84">
        <v>6001689326</v>
      </c>
      <c r="AT1113" s="85">
        <v>43647</v>
      </c>
      <c r="AU1113" s="84" t="s">
        <v>3004</v>
      </c>
      <c r="AV1113" s="85">
        <v>43703</v>
      </c>
      <c r="AW1113" s="123">
        <v>43708</v>
      </c>
      <c r="AX1113" s="123">
        <v>43728</v>
      </c>
      <c r="AY1113" s="132">
        <v>91200</v>
      </c>
      <c r="AZ1113" s="132">
        <f>ROUNDDOWN(AY1113+(AY1113*MASTER!$A$2/100),0)</f>
        <v>98496</v>
      </c>
      <c r="BA1113" s="84" t="s">
        <v>543</v>
      </c>
      <c r="BB1113" s="88">
        <v>33000</v>
      </c>
      <c r="BC1113" s="88">
        <v>35640</v>
      </c>
      <c r="BD1113" s="84" t="s">
        <v>2849</v>
      </c>
      <c r="BG1113" s="88">
        <v>0</v>
      </c>
      <c r="BI1113" s="84" t="s">
        <v>434</v>
      </c>
      <c r="BJ1113" s="88">
        <v>9750</v>
      </c>
      <c r="BK1113" s="88">
        <v>10530</v>
      </c>
      <c r="BL1113" s="84" t="s">
        <v>2849</v>
      </c>
      <c r="BS1113" s="88">
        <v>0</v>
      </c>
      <c r="BV1113" s="89">
        <v>86400</v>
      </c>
      <c r="BW1113" s="89">
        <v>46170</v>
      </c>
      <c r="BX1113" s="89">
        <v>43642</v>
      </c>
      <c r="BY1113" s="89">
        <v>40230</v>
      </c>
      <c r="BZ1113" s="112">
        <v>46.5625</v>
      </c>
      <c r="CK1113" s="88">
        <v>0</v>
      </c>
    </row>
    <row r="1114" spans="1:89" x14ac:dyDescent="0.15">
      <c r="A1114" s="84">
        <v>2</v>
      </c>
      <c r="B1114" s="85">
        <v>43658</v>
      </c>
      <c r="C1114" s="85">
        <v>43671</v>
      </c>
      <c r="D1114" s="85">
        <v>43676</v>
      </c>
      <c r="E1114" s="85">
        <v>43662</v>
      </c>
      <c r="F1114" s="85">
        <v>43667</v>
      </c>
      <c r="G1114" s="85">
        <v>43662</v>
      </c>
      <c r="H1114" s="85">
        <v>43663</v>
      </c>
      <c r="I1114" s="84" t="s">
        <v>401</v>
      </c>
      <c r="J1114" s="84">
        <v>2</v>
      </c>
      <c r="L1114" s="84">
        <v>0</v>
      </c>
      <c r="M1114" s="85">
        <v>43642</v>
      </c>
      <c r="N1114" s="85" t="s">
        <v>265</v>
      </c>
      <c r="O1114" s="86" t="s">
        <v>340</v>
      </c>
      <c r="P1114" s="84" t="s">
        <v>26</v>
      </c>
      <c r="Q1114" s="86" t="s">
        <v>140</v>
      </c>
      <c r="R1114" s="86" t="s">
        <v>3156</v>
      </c>
      <c r="S1114" s="87" t="s">
        <v>1270</v>
      </c>
      <c r="T1114" s="87" t="s">
        <v>2952</v>
      </c>
      <c r="U1114" s="88">
        <v>49500</v>
      </c>
      <c r="V1114" s="88">
        <v>53460</v>
      </c>
      <c r="W1114" s="88">
        <v>49500</v>
      </c>
      <c r="X1114" s="88">
        <v>53460</v>
      </c>
      <c r="Z1114" s="88">
        <v>0</v>
      </c>
      <c r="AA1114" s="85">
        <v>43659</v>
      </c>
      <c r="AB1114" s="85">
        <v>43660</v>
      </c>
      <c r="AC1114" s="85">
        <v>43660</v>
      </c>
      <c r="AD1114" s="84">
        <v>0</v>
      </c>
      <c r="AG1114" s="84">
        <v>0</v>
      </c>
      <c r="AJ1114" s="84">
        <v>0</v>
      </c>
      <c r="AN1114" s="84" t="s">
        <v>338</v>
      </c>
      <c r="AR1114" s="85">
        <v>43647</v>
      </c>
      <c r="AS1114" s="84">
        <v>6001689326</v>
      </c>
      <c r="AT1114" s="85">
        <v>43647</v>
      </c>
      <c r="AU1114" s="84" t="s">
        <v>3004</v>
      </c>
      <c r="AV1114" s="85">
        <v>43671</v>
      </c>
      <c r="AW1114" s="123">
        <v>43677</v>
      </c>
      <c r="AX1114" s="123">
        <v>43697</v>
      </c>
      <c r="AY1114" s="132">
        <v>47520</v>
      </c>
      <c r="AZ1114" s="132">
        <v>51322</v>
      </c>
      <c r="BA1114" s="84" t="s">
        <v>543</v>
      </c>
      <c r="BB1114" s="88">
        <v>24000</v>
      </c>
      <c r="BC1114" s="88">
        <v>25920</v>
      </c>
      <c r="BD1114" s="84" t="s">
        <v>2637</v>
      </c>
      <c r="BG1114" s="88">
        <v>0</v>
      </c>
      <c r="BK1114" s="88">
        <v>0</v>
      </c>
      <c r="BS1114" s="88">
        <v>0</v>
      </c>
      <c r="BV1114" s="89">
        <v>53460</v>
      </c>
      <c r="BW1114" s="89">
        <v>25920</v>
      </c>
      <c r="BX1114" s="89">
        <v>43642</v>
      </c>
      <c r="BY1114" s="89">
        <v>27540</v>
      </c>
      <c r="BZ1114" s="112">
        <v>51.515151515151516</v>
      </c>
      <c r="CK1114" s="88">
        <v>0</v>
      </c>
    </row>
    <row r="1115" spans="1:89" x14ac:dyDescent="0.15">
      <c r="A1115" s="84">
        <v>2</v>
      </c>
      <c r="B1115" s="85">
        <v>43663</v>
      </c>
      <c r="C1115" s="85">
        <v>43671</v>
      </c>
      <c r="E1115" s="85">
        <v>43741</v>
      </c>
      <c r="F1115" s="85">
        <v>43679</v>
      </c>
      <c r="G1115" s="85">
        <v>43675</v>
      </c>
      <c r="H1115" s="85">
        <v>43675</v>
      </c>
      <c r="I1115" s="84" t="s">
        <v>1191</v>
      </c>
      <c r="J1115" s="84">
        <v>2</v>
      </c>
      <c r="L1115" s="84">
        <v>0</v>
      </c>
      <c r="M1115" s="85">
        <v>43643</v>
      </c>
      <c r="N1115" s="85" t="s">
        <v>265</v>
      </c>
      <c r="O1115" s="86" t="s">
        <v>340</v>
      </c>
      <c r="P1115" s="84" t="s">
        <v>26</v>
      </c>
      <c r="Q1115" s="86" t="s">
        <v>140</v>
      </c>
      <c r="R1115" s="86" t="s">
        <v>3157</v>
      </c>
      <c r="S1115" s="87" t="s">
        <v>1248</v>
      </c>
      <c r="T1115" s="87" t="s">
        <v>2952</v>
      </c>
      <c r="U1115" s="88">
        <v>49500</v>
      </c>
      <c r="V1115" s="88">
        <v>53460</v>
      </c>
      <c r="W1115" s="88">
        <v>49500</v>
      </c>
      <c r="X1115" s="88">
        <v>53460</v>
      </c>
      <c r="Z1115" s="88">
        <v>0</v>
      </c>
      <c r="AA1115" s="85">
        <v>43671</v>
      </c>
      <c r="AB1115" s="85">
        <v>43672</v>
      </c>
      <c r="AC1115" s="85">
        <v>43672</v>
      </c>
      <c r="AD1115" s="84">
        <v>0</v>
      </c>
      <c r="AG1115" s="84">
        <v>0</v>
      </c>
      <c r="AJ1115" s="84">
        <v>0</v>
      </c>
      <c r="AN1115" s="84" t="s">
        <v>338</v>
      </c>
      <c r="AR1115" s="85">
        <v>43648</v>
      </c>
      <c r="AS1115" s="84">
        <v>6001689682</v>
      </c>
      <c r="AT1115" s="85">
        <v>43649</v>
      </c>
      <c r="AU1115" s="84" t="s">
        <v>3094</v>
      </c>
      <c r="AV1115" s="85">
        <v>43671</v>
      </c>
      <c r="AW1115" s="123">
        <v>43677</v>
      </c>
      <c r="AX1115" s="123">
        <v>43697</v>
      </c>
      <c r="AY1115" s="132">
        <v>47520</v>
      </c>
      <c r="AZ1115" s="132">
        <v>51322</v>
      </c>
      <c r="BA1115" s="84" t="s">
        <v>287</v>
      </c>
      <c r="BB1115" s="88">
        <v>22000</v>
      </c>
      <c r="BC1115" s="88">
        <v>23760</v>
      </c>
      <c r="BD1115" s="84" t="s">
        <v>2849</v>
      </c>
      <c r="BG1115" s="88">
        <v>0</v>
      </c>
      <c r="BK1115" s="88">
        <v>0</v>
      </c>
      <c r="BS1115" s="88">
        <v>0</v>
      </c>
      <c r="BV1115" s="89">
        <v>53460</v>
      </c>
      <c r="BW1115" s="89">
        <v>23760</v>
      </c>
      <c r="BX1115" s="89">
        <v>43643</v>
      </c>
      <c r="BY1115" s="89">
        <v>29700</v>
      </c>
      <c r="BZ1115" s="112">
        <v>55.555555555555557</v>
      </c>
      <c r="CK1115" s="88">
        <v>0</v>
      </c>
    </row>
    <row r="1116" spans="1:89" x14ac:dyDescent="0.15">
      <c r="A1116" s="84">
        <v>2</v>
      </c>
      <c r="B1116" s="85">
        <v>43658</v>
      </c>
      <c r="C1116" s="85">
        <v>43671</v>
      </c>
      <c r="E1116" s="85">
        <v>43741</v>
      </c>
      <c r="F1116" s="85">
        <v>43680</v>
      </c>
      <c r="G1116" s="85">
        <v>43675</v>
      </c>
      <c r="H1116" s="85">
        <v>43676</v>
      </c>
      <c r="I1116" s="84" t="s">
        <v>1191</v>
      </c>
      <c r="J1116" s="84">
        <v>2</v>
      </c>
      <c r="L1116" s="84">
        <v>0</v>
      </c>
      <c r="M1116" s="85">
        <v>43643</v>
      </c>
      <c r="N1116" s="85" t="s">
        <v>265</v>
      </c>
      <c r="O1116" s="86" t="s">
        <v>340</v>
      </c>
      <c r="P1116" s="84" t="s">
        <v>26</v>
      </c>
      <c r="Q1116" s="86" t="s">
        <v>140</v>
      </c>
      <c r="R1116" s="86" t="s">
        <v>3159</v>
      </c>
      <c r="S1116" s="87" t="s">
        <v>1108</v>
      </c>
      <c r="T1116" s="87" t="s">
        <v>2952</v>
      </c>
      <c r="U1116" s="88">
        <v>49500</v>
      </c>
      <c r="V1116" s="88">
        <v>53460</v>
      </c>
      <c r="W1116" s="88">
        <v>49500</v>
      </c>
      <c r="X1116" s="88">
        <v>53460</v>
      </c>
      <c r="Z1116" s="88">
        <v>0</v>
      </c>
      <c r="AA1116" s="85">
        <v>43672</v>
      </c>
      <c r="AB1116" s="85">
        <v>43673</v>
      </c>
      <c r="AC1116" s="85">
        <v>43673</v>
      </c>
      <c r="AD1116" s="84">
        <v>0</v>
      </c>
      <c r="AG1116" s="84">
        <v>0</v>
      </c>
      <c r="AJ1116" s="84">
        <v>0</v>
      </c>
      <c r="AN1116" s="84" t="s">
        <v>338</v>
      </c>
      <c r="AR1116" s="85">
        <v>43648</v>
      </c>
      <c r="AS1116" s="84">
        <v>6001689682</v>
      </c>
      <c r="AT1116" s="85">
        <v>43649</v>
      </c>
      <c r="AU1116" s="84" t="s">
        <v>3094</v>
      </c>
      <c r="AV1116" s="85">
        <v>43671</v>
      </c>
      <c r="AW1116" s="123">
        <v>43677</v>
      </c>
      <c r="AX1116" s="123">
        <v>43697</v>
      </c>
      <c r="AY1116" s="132">
        <v>47520</v>
      </c>
      <c r="AZ1116" s="132">
        <v>51322</v>
      </c>
      <c r="BA1116" s="84" t="s">
        <v>287</v>
      </c>
      <c r="BB1116" s="88">
        <v>21000</v>
      </c>
      <c r="BC1116" s="88">
        <v>22680</v>
      </c>
      <c r="BD1116" s="84" t="s">
        <v>2849</v>
      </c>
      <c r="BG1116" s="88">
        <v>0</v>
      </c>
      <c r="BK1116" s="88">
        <v>0</v>
      </c>
      <c r="BS1116" s="88">
        <v>0</v>
      </c>
      <c r="BV1116" s="89">
        <v>53460</v>
      </c>
      <c r="BW1116" s="89">
        <v>22680</v>
      </c>
      <c r="BX1116" s="89">
        <v>43643</v>
      </c>
      <c r="BY1116" s="89">
        <v>30780</v>
      </c>
      <c r="BZ1116" s="112">
        <v>57.575757575757578</v>
      </c>
      <c r="CK1116" s="88">
        <v>0</v>
      </c>
    </row>
    <row r="1117" spans="1:89" x14ac:dyDescent="0.15">
      <c r="A1117" s="84">
        <v>2</v>
      </c>
      <c r="B1117" s="85">
        <v>43658</v>
      </c>
      <c r="C1117" s="85">
        <v>43671</v>
      </c>
      <c r="D1117" s="85">
        <v>43676</v>
      </c>
      <c r="E1117" s="85">
        <v>43662</v>
      </c>
      <c r="F1117" s="85">
        <v>43668</v>
      </c>
      <c r="G1117" s="85">
        <v>43662</v>
      </c>
      <c r="H1117" s="85">
        <v>43664</v>
      </c>
      <c r="I1117" s="84" t="s">
        <v>401</v>
      </c>
      <c r="J1117" s="84">
        <v>2</v>
      </c>
      <c r="L1117" s="84">
        <v>0</v>
      </c>
      <c r="M1117" s="85">
        <v>43643</v>
      </c>
      <c r="N1117" s="85" t="s">
        <v>265</v>
      </c>
      <c r="O1117" s="86" t="s">
        <v>340</v>
      </c>
      <c r="P1117" s="84" t="s">
        <v>26</v>
      </c>
      <c r="Q1117" s="86" t="s">
        <v>140</v>
      </c>
      <c r="R1117" s="86" t="s">
        <v>3160</v>
      </c>
      <c r="S1117" s="87" t="s">
        <v>1264</v>
      </c>
      <c r="T1117" s="87" t="s">
        <v>2952</v>
      </c>
      <c r="U1117" s="88">
        <v>49500</v>
      </c>
      <c r="V1117" s="88">
        <v>53460</v>
      </c>
      <c r="W1117" s="88">
        <v>49500</v>
      </c>
      <c r="X1117" s="88">
        <v>53460</v>
      </c>
      <c r="Z1117" s="88">
        <v>0</v>
      </c>
      <c r="AA1117" s="85">
        <v>43660</v>
      </c>
      <c r="AB1117" s="85">
        <v>43661</v>
      </c>
      <c r="AC1117" s="85">
        <v>43661</v>
      </c>
      <c r="AD1117" s="84">
        <v>0</v>
      </c>
      <c r="AG1117" s="84">
        <v>0</v>
      </c>
      <c r="AJ1117" s="84">
        <v>0</v>
      </c>
      <c r="AN1117" s="84" t="s">
        <v>338</v>
      </c>
      <c r="AR1117" s="85">
        <v>43648</v>
      </c>
      <c r="AS1117" s="84">
        <v>6001689682</v>
      </c>
      <c r="AT1117" s="85">
        <v>43649</v>
      </c>
      <c r="AU1117" s="84" t="s">
        <v>3094</v>
      </c>
      <c r="AV1117" s="85">
        <v>43671</v>
      </c>
      <c r="AW1117" s="123">
        <v>43677</v>
      </c>
      <c r="AX1117" s="123">
        <v>43697</v>
      </c>
      <c r="AY1117" s="132">
        <v>47520</v>
      </c>
      <c r="AZ1117" s="132">
        <v>51322</v>
      </c>
      <c r="BA1117" s="84" t="s">
        <v>543</v>
      </c>
      <c r="BB1117" s="88">
        <v>23000</v>
      </c>
      <c r="BC1117" s="88">
        <v>24840</v>
      </c>
      <c r="BD1117" s="84" t="s">
        <v>2637</v>
      </c>
      <c r="BG1117" s="88">
        <v>0</v>
      </c>
      <c r="BK1117" s="88">
        <v>0</v>
      </c>
      <c r="BS1117" s="88">
        <v>0</v>
      </c>
      <c r="BV1117" s="89">
        <v>53460</v>
      </c>
      <c r="BW1117" s="89">
        <v>24840</v>
      </c>
      <c r="BX1117" s="89">
        <v>43643</v>
      </c>
      <c r="BY1117" s="89">
        <v>28620</v>
      </c>
      <c r="BZ1117" s="112">
        <v>53.535353535353536</v>
      </c>
      <c r="CK1117" s="88">
        <v>0</v>
      </c>
    </row>
    <row r="1118" spans="1:89" x14ac:dyDescent="0.15">
      <c r="A1118" s="84">
        <v>2</v>
      </c>
      <c r="B1118" s="85">
        <v>43658</v>
      </c>
      <c r="C1118" s="85">
        <v>43671</v>
      </c>
      <c r="E1118" s="85">
        <v>43741</v>
      </c>
      <c r="F1118" s="85">
        <v>43667</v>
      </c>
      <c r="G1118" s="85">
        <v>43668</v>
      </c>
      <c r="H1118" s="85">
        <v>43663</v>
      </c>
      <c r="I1118" s="84" t="s">
        <v>1191</v>
      </c>
      <c r="J1118" s="84">
        <v>2</v>
      </c>
      <c r="L1118" s="84">
        <v>0</v>
      </c>
      <c r="M1118" s="85">
        <v>43643</v>
      </c>
      <c r="N1118" s="85" t="s">
        <v>265</v>
      </c>
      <c r="O1118" s="86" t="s">
        <v>340</v>
      </c>
      <c r="P1118" s="84" t="s">
        <v>26</v>
      </c>
      <c r="Q1118" s="86" t="s">
        <v>140</v>
      </c>
      <c r="R1118" s="86" t="s">
        <v>3161</v>
      </c>
      <c r="S1118" s="87" t="s">
        <v>2132</v>
      </c>
      <c r="T1118" s="87" t="s">
        <v>2952</v>
      </c>
      <c r="U1118" s="88">
        <v>49500</v>
      </c>
      <c r="V1118" s="88">
        <v>53460</v>
      </c>
      <c r="W1118" s="88">
        <v>49500</v>
      </c>
      <c r="X1118" s="88">
        <v>53460</v>
      </c>
      <c r="Z1118" s="88">
        <v>0</v>
      </c>
      <c r="AA1118" s="85">
        <v>43659</v>
      </c>
      <c r="AB1118" s="85">
        <v>43660</v>
      </c>
      <c r="AC1118" s="85">
        <v>43660</v>
      </c>
      <c r="AD1118" s="84">
        <v>0</v>
      </c>
      <c r="AG1118" s="84">
        <v>0</v>
      </c>
      <c r="AJ1118" s="84">
        <v>0</v>
      </c>
      <c r="AN1118" s="84" t="s">
        <v>338</v>
      </c>
      <c r="AR1118" s="85">
        <v>43648</v>
      </c>
      <c r="AS1118" s="84">
        <v>6001689682</v>
      </c>
      <c r="AT1118" s="85">
        <v>43649</v>
      </c>
      <c r="AU1118" s="84" t="s">
        <v>3094</v>
      </c>
      <c r="AV1118" s="85">
        <v>43671</v>
      </c>
      <c r="AW1118" s="123">
        <v>43677</v>
      </c>
      <c r="AX1118" s="123">
        <v>43697</v>
      </c>
      <c r="AY1118" s="132">
        <v>47520</v>
      </c>
      <c r="AZ1118" s="132">
        <v>51322</v>
      </c>
      <c r="BA1118" s="84" t="s">
        <v>14</v>
      </c>
      <c r="BB1118" s="88">
        <v>34000</v>
      </c>
      <c r="BC1118" s="88">
        <v>36720</v>
      </c>
      <c r="BD1118" s="84" t="s">
        <v>2637</v>
      </c>
      <c r="BG1118" s="88">
        <v>0</v>
      </c>
      <c r="BK1118" s="88">
        <v>0</v>
      </c>
      <c r="BS1118" s="88">
        <v>0</v>
      </c>
      <c r="BV1118" s="89">
        <v>53460</v>
      </c>
      <c r="BW1118" s="89">
        <v>36720</v>
      </c>
      <c r="BX1118" s="89">
        <v>43643</v>
      </c>
      <c r="BY1118" s="89">
        <v>16740</v>
      </c>
      <c r="BZ1118" s="112">
        <v>31.313131313131315</v>
      </c>
      <c r="CK1118" s="88">
        <v>0</v>
      </c>
    </row>
    <row r="1119" spans="1:89" x14ac:dyDescent="0.15">
      <c r="A1119" s="84">
        <v>2</v>
      </c>
      <c r="B1119" s="85">
        <v>43658</v>
      </c>
      <c r="C1119" s="85">
        <v>43671</v>
      </c>
      <c r="D1119" s="85">
        <v>43676</v>
      </c>
      <c r="E1119" s="85">
        <v>43662</v>
      </c>
      <c r="F1119" s="85">
        <v>43669</v>
      </c>
      <c r="G1119" s="85">
        <v>43662</v>
      </c>
      <c r="H1119" s="85">
        <v>43665</v>
      </c>
      <c r="I1119" s="84" t="s">
        <v>401</v>
      </c>
      <c r="J1119" s="84">
        <v>2</v>
      </c>
      <c r="L1119" s="84">
        <v>0</v>
      </c>
      <c r="M1119" s="85">
        <v>43643</v>
      </c>
      <c r="N1119" s="85" t="s">
        <v>265</v>
      </c>
      <c r="O1119" s="86" t="s">
        <v>340</v>
      </c>
      <c r="P1119" s="84" t="s">
        <v>26</v>
      </c>
      <c r="Q1119" s="86" t="s">
        <v>140</v>
      </c>
      <c r="R1119" s="86" t="s">
        <v>3162</v>
      </c>
      <c r="S1119" s="87" t="s">
        <v>709</v>
      </c>
      <c r="T1119" s="87" t="s">
        <v>2952</v>
      </c>
      <c r="U1119" s="88">
        <v>49500</v>
      </c>
      <c r="V1119" s="88">
        <v>53460</v>
      </c>
      <c r="W1119" s="88">
        <v>49500</v>
      </c>
      <c r="X1119" s="88">
        <v>53460</v>
      </c>
      <c r="Z1119" s="88">
        <v>0</v>
      </c>
      <c r="AA1119" s="85">
        <v>43661</v>
      </c>
      <c r="AB1119" s="85">
        <v>43662</v>
      </c>
      <c r="AC1119" s="85">
        <v>43662</v>
      </c>
      <c r="AD1119" s="84">
        <v>0</v>
      </c>
      <c r="AG1119" s="84">
        <v>0</v>
      </c>
      <c r="AJ1119" s="84">
        <v>0</v>
      </c>
      <c r="AN1119" s="84" t="s">
        <v>338</v>
      </c>
      <c r="AR1119" s="85">
        <v>43648</v>
      </c>
      <c r="AS1119" s="84">
        <v>6001689682</v>
      </c>
      <c r="AT1119" s="85">
        <v>43649</v>
      </c>
      <c r="AU1119" s="84" t="s">
        <v>3094</v>
      </c>
      <c r="AV1119" s="85">
        <v>43671</v>
      </c>
      <c r="AW1119" s="123">
        <v>43677</v>
      </c>
      <c r="AX1119" s="123">
        <v>43697</v>
      </c>
      <c r="AY1119" s="132">
        <v>47520</v>
      </c>
      <c r="AZ1119" s="132">
        <v>51322</v>
      </c>
      <c r="BA1119" s="84" t="s">
        <v>543</v>
      </c>
      <c r="BB1119" s="88">
        <v>21000</v>
      </c>
      <c r="BC1119" s="88">
        <v>22680</v>
      </c>
      <c r="BD1119" s="84" t="s">
        <v>2637</v>
      </c>
      <c r="BG1119" s="88">
        <v>0</v>
      </c>
      <c r="BK1119" s="88">
        <v>0</v>
      </c>
      <c r="BS1119" s="88">
        <v>0</v>
      </c>
      <c r="BV1119" s="89">
        <v>53460</v>
      </c>
      <c r="BW1119" s="89">
        <v>22680</v>
      </c>
      <c r="BX1119" s="89">
        <v>43643</v>
      </c>
      <c r="BY1119" s="89">
        <v>30780</v>
      </c>
      <c r="BZ1119" s="112">
        <v>57.575757575757578</v>
      </c>
      <c r="CK1119" s="88">
        <v>0</v>
      </c>
    </row>
    <row r="1120" spans="1:89" x14ac:dyDescent="0.15">
      <c r="A1120" s="84">
        <v>1</v>
      </c>
      <c r="B1120" s="85">
        <v>43650</v>
      </c>
      <c r="C1120" s="85">
        <v>43674</v>
      </c>
      <c r="F1120" s="85" t="s">
        <v>338</v>
      </c>
      <c r="H1120" s="85" t="s">
        <v>338</v>
      </c>
      <c r="J1120" s="84">
        <v>2</v>
      </c>
      <c r="L1120" s="84">
        <v>0</v>
      </c>
      <c r="M1120" s="85">
        <v>43643</v>
      </c>
      <c r="N1120" s="85" t="s">
        <v>265</v>
      </c>
      <c r="O1120" s="86" t="s">
        <v>340</v>
      </c>
      <c r="P1120" s="84" t="s">
        <v>78</v>
      </c>
      <c r="Q1120" s="86" t="s">
        <v>140</v>
      </c>
      <c r="R1120" s="86" t="s">
        <v>3163</v>
      </c>
      <c r="S1120" s="87" t="s">
        <v>1142</v>
      </c>
      <c r="T1120" s="87" t="s">
        <v>726</v>
      </c>
      <c r="U1120" s="88">
        <v>65000</v>
      </c>
      <c r="V1120" s="88">
        <v>70200</v>
      </c>
      <c r="W1120" s="88">
        <v>65000</v>
      </c>
      <c r="X1120" s="88">
        <v>70200</v>
      </c>
      <c r="Z1120" s="88">
        <v>0</v>
      </c>
      <c r="AA1120" s="85">
        <v>43673</v>
      </c>
      <c r="AB1120" s="85">
        <v>43674</v>
      </c>
      <c r="AD1120" s="84">
        <v>0</v>
      </c>
      <c r="AG1120" s="84">
        <v>0</v>
      </c>
      <c r="AJ1120" s="84">
        <v>0</v>
      </c>
      <c r="AN1120" s="84" t="s">
        <v>338</v>
      </c>
      <c r="AR1120" s="85">
        <v>43648</v>
      </c>
      <c r="AS1120" s="84">
        <v>6001689682</v>
      </c>
      <c r="AT1120" s="85">
        <v>43649</v>
      </c>
      <c r="AU1120" s="84" t="s">
        <v>3094</v>
      </c>
      <c r="AV1120" s="85">
        <v>43674</v>
      </c>
      <c r="AW1120" s="123">
        <v>43677</v>
      </c>
      <c r="AX1120" s="123">
        <v>43697</v>
      </c>
      <c r="AY1120" s="132">
        <v>62400</v>
      </c>
      <c r="AZ1120" s="132">
        <f>ROUNDDOWN(AY1120+(AY1120*MASTER!$A$2/100),0)</f>
        <v>67392</v>
      </c>
      <c r="BC1120" s="88">
        <v>0</v>
      </c>
      <c r="BG1120" s="88">
        <v>0</v>
      </c>
      <c r="BK1120" s="88">
        <v>0</v>
      </c>
      <c r="BS1120" s="88">
        <v>0</v>
      </c>
      <c r="BV1120" s="89">
        <v>70200</v>
      </c>
      <c r="BW1120" s="89">
        <v>0</v>
      </c>
      <c r="BX1120" s="89">
        <v>43643</v>
      </c>
      <c r="BY1120" s="89">
        <v>70200</v>
      </c>
      <c r="BZ1120" s="112">
        <v>100</v>
      </c>
      <c r="CK1120" s="88">
        <v>0</v>
      </c>
    </row>
    <row r="1121" spans="1:89" x14ac:dyDescent="0.15">
      <c r="A1121" s="84">
        <v>2</v>
      </c>
      <c r="B1121" s="85">
        <v>43650</v>
      </c>
      <c r="C1121" s="85">
        <v>43651</v>
      </c>
      <c r="D1121" s="85">
        <v>43643</v>
      </c>
      <c r="E1121" s="85">
        <v>43643</v>
      </c>
      <c r="F1121" s="85" t="s">
        <v>338</v>
      </c>
      <c r="G1121" s="85">
        <v>43643</v>
      </c>
      <c r="H1121" s="85" t="s">
        <v>338</v>
      </c>
      <c r="I1121" s="84" t="s">
        <v>380</v>
      </c>
      <c r="J1121" s="84">
        <v>2</v>
      </c>
      <c r="L1121" s="84">
        <v>0</v>
      </c>
      <c r="M1121" s="85">
        <v>43643</v>
      </c>
      <c r="N1121" s="85" t="s">
        <v>265</v>
      </c>
      <c r="O1121" s="86" t="s">
        <v>340</v>
      </c>
      <c r="P1121" s="84" t="s">
        <v>6</v>
      </c>
      <c r="Q1121" s="86" t="s">
        <v>140</v>
      </c>
      <c r="R1121" s="86" t="s">
        <v>3164</v>
      </c>
      <c r="S1121" s="87" t="s">
        <v>1619</v>
      </c>
      <c r="T1121" s="87" t="s">
        <v>3165</v>
      </c>
      <c r="U1121" s="88">
        <v>35000</v>
      </c>
      <c r="V1121" s="88">
        <v>37800</v>
      </c>
      <c r="W1121" s="88">
        <v>35000</v>
      </c>
      <c r="X1121" s="88">
        <v>37800</v>
      </c>
      <c r="Z1121" s="88">
        <v>0</v>
      </c>
      <c r="AA1121" s="85">
        <v>43640</v>
      </c>
      <c r="AB1121" s="85">
        <v>43640</v>
      </c>
      <c r="AD1121" s="84">
        <v>0</v>
      </c>
      <c r="AG1121" s="84">
        <v>0</v>
      </c>
      <c r="AJ1121" s="84">
        <v>0</v>
      </c>
      <c r="AN1121" s="84" t="s">
        <v>338</v>
      </c>
      <c r="AR1121" s="85">
        <v>43649</v>
      </c>
      <c r="AS1121" s="84">
        <v>6001690025</v>
      </c>
      <c r="AT1121" s="85">
        <v>43649</v>
      </c>
      <c r="AU1121" s="84" t="s">
        <v>2987</v>
      </c>
      <c r="AV1121" s="85">
        <v>43651</v>
      </c>
      <c r="AW1121" s="123">
        <v>43677</v>
      </c>
      <c r="AX1121" s="123">
        <v>43697</v>
      </c>
      <c r="AY1121" s="132">
        <v>33600</v>
      </c>
      <c r="AZ1121" s="132">
        <f>ROUNDDOWN(AY1121+(AY1121*MASTER!$A$2/100),0)</f>
        <v>36288</v>
      </c>
      <c r="BA1121" s="84" t="s">
        <v>286</v>
      </c>
      <c r="BB1121" s="88">
        <v>22000</v>
      </c>
      <c r="BC1121" s="88">
        <v>23760</v>
      </c>
      <c r="BD1121" s="84" t="s">
        <v>2637</v>
      </c>
      <c r="BG1121" s="88">
        <v>0</v>
      </c>
      <c r="BK1121" s="88">
        <v>0</v>
      </c>
      <c r="BS1121" s="88">
        <v>0</v>
      </c>
      <c r="BV1121" s="89">
        <v>37800</v>
      </c>
      <c r="BW1121" s="89">
        <v>23760</v>
      </c>
      <c r="BX1121" s="89">
        <v>43643</v>
      </c>
      <c r="BY1121" s="89">
        <v>14040</v>
      </c>
      <c r="BZ1121" s="112">
        <v>37.142857142857146</v>
      </c>
      <c r="CK1121" s="88">
        <v>0</v>
      </c>
    </row>
    <row r="1122" spans="1:89" x14ac:dyDescent="0.15">
      <c r="A1122" s="84">
        <v>1</v>
      </c>
      <c r="B1122" s="85">
        <v>43662</v>
      </c>
      <c r="C1122" s="85">
        <v>43658</v>
      </c>
      <c r="F1122" s="85" t="s">
        <v>338</v>
      </c>
      <c r="H1122" s="85" t="s">
        <v>338</v>
      </c>
      <c r="J1122" s="84">
        <v>3</v>
      </c>
      <c r="L1122" s="84">
        <v>0</v>
      </c>
      <c r="M1122" s="85">
        <v>43643</v>
      </c>
      <c r="N1122" s="85" t="s">
        <v>265</v>
      </c>
      <c r="O1122" s="86" t="s">
        <v>340</v>
      </c>
      <c r="P1122" s="84" t="s">
        <v>26</v>
      </c>
      <c r="Q1122" s="86" t="s">
        <v>140</v>
      </c>
      <c r="R1122" s="86" t="s">
        <v>3166</v>
      </c>
      <c r="S1122" s="87" t="s">
        <v>562</v>
      </c>
      <c r="T1122" s="87" t="s">
        <v>3048</v>
      </c>
      <c r="U1122" s="88">
        <v>192500</v>
      </c>
      <c r="V1122" s="88">
        <v>207900</v>
      </c>
      <c r="X1122" s="88">
        <v>0</v>
      </c>
      <c r="Y1122" s="88">
        <v>192500</v>
      </c>
      <c r="Z1122" s="88">
        <v>207900</v>
      </c>
      <c r="AD1122" s="84">
        <v>0</v>
      </c>
      <c r="AG1122" s="84">
        <v>0</v>
      </c>
      <c r="AJ1122" s="84">
        <v>0</v>
      </c>
      <c r="AN1122" s="84" t="s">
        <v>338</v>
      </c>
      <c r="AR1122" s="85">
        <v>43657</v>
      </c>
      <c r="AS1122" s="84">
        <v>6001692766</v>
      </c>
      <c r="AT1122" s="85">
        <v>43662</v>
      </c>
      <c r="AU1122" s="84" t="s">
        <v>2964</v>
      </c>
      <c r="AV1122" s="85">
        <v>43658</v>
      </c>
      <c r="AW1122" s="123">
        <v>43677</v>
      </c>
      <c r="AX1122" s="123">
        <v>43697</v>
      </c>
      <c r="AY1122" s="132">
        <v>184800</v>
      </c>
      <c r="AZ1122" s="132">
        <f>ROUNDDOWN(AY1122+(AY1122*MASTER!$A$2/100),0)</f>
        <v>199584</v>
      </c>
      <c r="BC1122" s="88">
        <v>0</v>
      </c>
      <c r="BG1122" s="88">
        <v>0</v>
      </c>
      <c r="BK1122" s="88">
        <v>0</v>
      </c>
      <c r="BS1122" s="88">
        <v>0</v>
      </c>
      <c r="BV1122" s="89">
        <v>0</v>
      </c>
      <c r="BW1122" s="89">
        <v>0</v>
      </c>
      <c r="BX1122" s="89">
        <v>43643</v>
      </c>
      <c r="BY1122" s="89">
        <v>0</v>
      </c>
      <c r="BZ1122" s="112" t="s">
        <v>338</v>
      </c>
    </row>
    <row r="1123" spans="1:89" x14ac:dyDescent="0.15">
      <c r="A1123" s="84">
        <v>1</v>
      </c>
      <c r="C1123" s="85" t="s">
        <v>338</v>
      </c>
      <c r="F1123" s="85" t="s">
        <v>338</v>
      </c>
      <c r="H1123" s="85" t="s">
        <v>338</v>
      </c>
      <c r="J1123" s="84">
        <v>2</v>
      </c>
      <c r="L1123" s="84">
        <v>0</v>
      </c>
      <c r="M1123" s="85">
        <v>43643</v>
      </c>
      <c r="N1123" s="85" t="s">
        <v>264</v>
      </c>
      <c r="O1123" s="86" t="s">
        <v>340</v>
      </c>
      <c r="P1123" s="84" t="s">
        <v>272</v>
      </c>
      <c r="Q1123" s="86" t="s">
        <v>140</v>
      </c>
      <c r="R1123" s="86" t="s">
        <v>3167</v>
      </c>
      <c r="S1123" s="87" t="s">
        <v>387</v>
      </c>
      <c r="T1123" s="87" t="s">
        <v>3168</v>
      </c>
      <c r="U1123" s="88">
        <v>900000</v>
      </c>
      <c r="V1123" s="88">
        <v>972000</v>
      </c>
      <c r="W1123" s="88">
        <v>900000</v>
      </c>
      <c r="X1123" s="88">
        <v>972000</v>
      </c>
      <c r="Z1123" s="88">
        <v>0</v>
      </c>
      <c r="AD1123" s="84">
        <v>0</v>
      </c>
      <c r="AG1123" s="84">
        <v>0</v>
      </c>
      <c r="AJ1123" s="84">
        <v>0</v>
      </c>
      <c r="AR1123" s="85">
        <v>43647</v>
      </c>
      <c r="AS1123" s="84">
        <v>6001689325</v>
      </c>
      <c r="AT1123" s="85">
        <v>43647</v>
      </c>
      <c r="AU1123" s="84" t="s">
        <v>3169</v>
      </c>
      <c r="AV1123" s="85">
        <v>43671</v>
      </c>
      <c r="AW1123" s="123">
        <v>43677</v>
      </c>
      <c r="AX1123" s="123">
        <v>43697</v>
      </c>
      <c r="AY1123" s="140">
        <v>900000</v>
      </c>
      <c r="AZ1123" s="132">
        <f>ROUNDDOWN(AY1123+(AY1123*MASTER!$A$2/100),0)</f>
        <v>972000</v>
      </c>
      <c r="BC1123" s="88">
        <v>0</v>
      </c>
      <c r="BG1123" s="88">
        <v>0</v>
      </c>
      <c r="BK1123" s="88">
        <v>0</v>
      </c>
      <c r="BS1123" s="88">
        <v>0</v>
      </c>
      <c r="BV1123" s="89">
        <v>972000</v>
      </c>
      <c r="BW1123" s="89">
        <v>0</v>
      </c>
      <c r="BX1123" s="89">
        <v>43643</v>
      </c>
      <c r="BY1123" s="89">
        <v>972000</v>
      </c>
      <c r="BZ1123" s="112">
        <v>100</v>
      </c>
    </row>
    <row r="1124" spans="1:89" x14ac:dyDescent="0.15">
      <c r="A1124" s="84">
        <v>2</v>
      </c>
      <c r="B1124" s="85">
        <v>43655</v>
      </c>
      <c r="C1124" s="85">
        <v>43677</v>
      </c>
      <c r="E1124" s="85">
        <v>43668</v>
      </c>
      <c r="F1124" s="85">
        <v>43672</v>
      </c>
      <c r="G1124" s="85">
        <v>43668</v>
      </c>
      <c r="H1124" s="85">
        <v>43668</v>
      </c>
      <c r="I1124" s="84" t="s">
        <v>401</v>
      </c>
      <c r="J1124" s="84">
        <v>1</v>
      </c>
      <c r="L1124" s="84">
        <v>0</v>
      </c>
      <c r="M1124" s="85">
        <v>43643</v>
      </c>
      <c r="N1124" s="85" t="s">
        <v>265</v>
      </c>
      <c r="O1124" s="86" t="s">
        <v>340</v>
      </c>
      <c r="P1124" s="84" t="s">
        <v>26</v>
      </c>
      <c r="Q1124" s="86" t="s">
        <v>140</v>
      </c>
      <c r="R1124" s="86" t="s">
        <v>3170</v>
      </c>
      <c r="S1124" s="87" t="s">
        <v>2977</v>
      </c>
      <c r="T1124" s="87" t="s">
        <v>2864</v>
      </c>
      <c r="U1124" s="88">
        <v>180000</v>
      </c>
      <c r="V1124" s="88">
        <v>194400</v>
      </c>
      <c r="W1124" s="88">
        <v>115000</v>
      </c>
      <c r="X1124" s="88">
        <v>124200</v>
      </c>
      <c r="Y1124" s="88">
        <v>65000</v>
      </c>
      <c r="Z1124" s="88">
        <v>70200</v>
      </c>
      <c r="AA1124" s="85">
        <v>43664</v>
      </c>
      <c r="AB1124" s="85">
        <v>43665</v>
      </c>
      <c r="AC1124" s="85">
        <v>43665</v>
      </c>
      <c r="AD1124" s="84">
        <v>0</v>
      </c>
      <c r="AG1124" s="84">
        <v>0</v>
      </c>
      <c r="AJ1124" s="84">
        <v>0</v>
      </c>
      <c r="AN1124" s="84" t="s">
        <v>338</v>
      </c>
      <c r="AR1124" s="85">
        <v>43648</v>
      </c>
      <c r="AS1124" s="84">
        <v>6001689682</v>
      </c>
      <c r="AT1124" s="85">
        <v>43649</v>
      </c>
      <c r="AU1124" s="84" t="s">
        <v>3094</v>
      </c>
      <c r="AV1124" s="85">
        <v>43677</v>
      </c>
      <c r="AW1124" s="123">
        <v>43677</v>
      </c>
      <c r="AX1124" s="123">
        <v>43697</v>
      </c>
      <c r="AY1124" s="132">
        <v>172800</v>
      </c>
      <c r="AZ1124" s="132">
        <f>ROUNDDOWN(AY1124+(AY1124*MASTER!$A$2/100),0)</f>
        <v>186624</v>
      </c>
      <c r="BA1124" s="84" t="s">
        <v>286</v>
      </c>
      <c r="BB1124" s="88">
        <v>62000</v>
      </c>
      <c r="BC1124" s="88">
        <v>66960</v>
      </c>
      <c r="BD1124" s="84" t="s">
        <v>2637</v>
      </c>
      <c r="BG1124" s="88">
        <v>0</v>
      </c>
      <c r="BI1124" s="84" t="s">
        <v>276</v>
      </c>
      <c r="BJ1124" s="88">
        <v>42250</v>
      </c>
      <c r="BK1124" s="88">
        <v>45630</v>
      </c>
      <c r="BL1124" s="84" t="s">
        <v>2660</v>
      </c>
      <c r="BS1124" s="88">
        <v>0</v>
      </c>
      <c r="BV1124" s="89">
        <v>124200</v>
      </c>
      <c r="BW1124" s="89">
        <v>112590</v>
      </c>
      <c r="BX1124" s="89">
        <v>43643</v>
      </c>
      <c r="BY1124" s="89">
        <v>11610</v>
      </c>
      <c r="BZ1124" s="112">
        <v>9.3478260869565215</v>
      </c>
      <c r="CK1124" s="88">
        <v>0</v>
      </c>
    </row>
    <row r="1125" spans="1:89" x14ac:dyDescent="0.15">
      <c r="A1125" s="84">
        <v>1</v>
      </c>
      <c r="B1125" s="85">
        <v>43712</v>
      </c>
      <c r="C1125" s="85">
        <v>43713</v>
      </c>
      <c r="F1125" s="85" t="s">
        <v>338</v>
      </c>
      <c r="H1125" s="85" t="s">
        <v>338</v>
      </c>
      <c r="J1125" s="84">
        <v>3</v>
      </c>
      <c r="K1125" s="85">
        <v>43706</v>
      </c>
      <c r="L1125" s="84" t="s">
        <v>1210</v>
      </c>
      <c r="M1125" s="85">
        <v>43643</v>
      </c>
      <c r="N1125" s="85" t="s">
        <v>265</v>
      </c>
      <c r="O1125" s="86" t="s">
        <v>340</v>
      </c>
      <c r="P1125" s="84" t="s">
        <v>6</v>
      </c>
      <c r="Q1125" s="86" t="s">
        <v>140</v>
      </c>
      <c r="R1125" s="86" t="s">
        <v>3171</v>
      </c>
      <c r="S1125" s="87" t="s">
        <v>1111</v>
      </c>
      <c r="T1125" s="87" t="s">
        <v>2136</v>
      </c>
      <c r="U1125" s="88">
        <v>15000</v>
      </c>
      <c r="V1125" s="88">
        <v>16200</v>
      </c>
      <c r="X1125" s="88">
        <v>0</v>
      </c>
      <c r="Y1125" s="88">
        <v>15000</v>
      </c>
      <c r="Z1125" s="88">
        <v>16200</v>
      </c>
      <c r="AD1125" s="84">
        <v>0</v>
      </c>
      <c r="AG1125" s="84">
        <v>0</v>
      </c>
      <c r="AJ1125" s="84">
        <v>0</v>
      </c>
      <c r="AR1125" s="85">
        <v>43711</v>
      </c>
      <c r="AS1125" s="84">
        <v>6001708122</v>
      </c>
      <c r="AT1125" s="85">
        <v>43711</v>
      </c>
      <c r="AU1125" s="84" t="s">
        <v>3614</v>
      </c>
      <c r="AV1125" s="85">
        <v>43713</v>
      </c>
      <c r="AW1125" s="123">
        <v>43738</v>
      </c>
      <c r="AX1125" s="123">
        <v>43758</v>
      </c>
      <c r="AY1125" s="132">
        <v>14400</v>
      </c>
      <c r="AZ1125" s="132">
        <f>ROUNDDOWN(AY1125+(AY1125*MASTER!$A$2/100),0)</f>
        <v>15552</v>
      </c>
      <c r="BC1125" s="88">
        <v>0</v>
      </c>
      <c r="BG1125" s="88">
        <v>0</v>
      </c>
      <c r="BK1125" s="88">
        <v>0</v>
      </c>
      <c r="BS1125" s="88">
        <v>0</v>
      </c>
      <c r="BV1125" s="89">
        <v>0</v>
      </c>
      <c r="BW1125" s="89">
        <v>0</v>
      </c>
      <c r="BX1125" s="89">
        <v>0</v>
      </c>
      <c r="BY1125" s="89">
        <v>43706</v>
      </c>
      <c r="BZ1125" s="112" t="s">
        <v>338</v>
      </c>
      <c r="CD1125" s="87" t="s">
        <v>3618</v>
      </c>
    </row>
    <row r="1126" spans="1:89" x14ac:dyDescent="0.15">
      <c r="A1126" s="84">
        <v>2</v>
      </c>
      <c r="B1126" s="85">
        <v>43675</v>
      </c>
      <c r="C1126" s="85">
        <v>43684</v>
      </c>
      <c r="D1126" s="85">
        <v>43686</v>
      </c>
      <c r="E1126" s="85">
        <v>43699</v>
      </c>
      <c r="F1126" s="85">
        <v>43691</v>
      </c>
      <c r="G1126" s="85">
        <v>43686</v>
      </c>
      <c r="H1126" s="85">
        <v>43687</v>
      </c>
      <c r="I1126" s="84" t="s">
        <v>1191</v>
      </c>
      <c r="J1126" s="84">
        <v>1</v>
      </c>
      <c r="L1126" s="84">
        <v>0</v>
      </c>
      <c r="M1126" s="85">
        <v>43643</v>
      </c>
      <c r="N1126" s="85" t="s">
        <v>265</v>
      </c>
      <c r="O1126" s="86" t="s">
        <v>340</v>
      </c>
      <c r="P1126" s="84" t="s">
        <v>26</v>
      </c>
      <c r="Q1126" s="86" t="s">
        <v>140</v>
      </c>
      <c r="R1126" s="86" t="s">
        <v>3172</v>
      </c>
      <c r="S1126" s="87" t="s">
        <v>571</v>
      </c>
      <c r="T1126" s="87" t="s">
        <v>3173</v>
      </c>
      <c r="U1126" s="88">
        <v>616900</v>
      </c>
      <c r="V1126" s="88">
        <v>666252</v>
      </c>
      <c r="W1126" s="88">
        <v>518200</v>
      </c>
      <c r="X1126" s="88">
        <v>559656</v>
      </c>
      <c r="Y1126" s="88">
        <v>98700</v>
      </c>
      <c r="Z1126" s="88">
        <v>106596</v>
      </c>
      <c r="AA1126" s="85">
        <v>43681</v>
      </c>
      <c r="AB1126" s="85">
        <v>43684</v>
      </c>
      <c r="AC1126" s="85">
        <v>43684</v>
      </c>
      <c r="AD1126" s="84">
        <v>0</v>
      </c>
      <c r="AG1126" s="84">
        <v>0</v>
      </c>
      <c r="AJ1126" s="84">
        <v>0</v>
      </c>
      <c r="AM1126" s="84" t="s">
        <v>290</v>
      </c>
      <c r="AN1126" s="84" t="s">
        <v>3174</v>
      </c>
      <c r="AR1126" s="85">
        <v>43669</v>
      </c>
      <c r="AS1126" s="84">
        <v>6001696219</v>
      </c>
      <c r="AT1126" s="85">
        <v>43670</v>
      </c>
      <c r="AU1126" s="84" t="s">
        <v>3135</v>
      </c>
      <c r="AV1126" s="85">
        <v>43684</v>
      </c>
      <c r="AW1126" s="123">
        <v>43708</v>
      </c>
      <c r="AX1126" s="123">
        <v>43728</v>
      </c>
      <c r="AY1126" s="132">
        <v>592224</v>
      </c>
      <c r="AZ1126" s="132">
        <v>639602</v>
      </c>
      <c r="BA1126" s="84" t="s">
        <v>287</v>
      </c>
      <c r="BB1126" s="88">
        <v>278200</v>
      </c>
      <c r="BC1126" s="88">
        <v>300456</v>
      </c>
      <c r="BD1126" s="84" t="s">
        <v>2849</v>
      </c>
      <c r="BG1126" s="88">
        <v>0</v>
      </c>
      <c r="BI1126" s="84" t="s">
        <v>434</v>
      </c>
      <c r="BJ1126" s="88">
        <v>64155</v>
      </c>
      <c r="BK1126" s="88">
        <v>69287.399999999994</v>
      </c>
      <c r="BL1126" s="84" t="s">
        <v>2849</v>
      </c>
      <c r="BS1126" s="88">
        <v>0</v>
      </c>
      <c r="BV1126" s="89">
        <v>559656</v>
      </c>
      <c r="BW1126" s="89">
        <v>369743.4</v>
      </c>
      <c r="BX1126" s="89">
        <v>43643</v>
      </c>
      <c r="BY1126" s="89">
        <v>189912.6</v>
      </c>
      <c r="BZ1126" s="112">
        <v>33.933809340023153</v>
      </c>
    </row>
    <row r="1127" spans="1:89" x14ac:dyDescent="0.15">
      <c r="A1127" s="84">
        <v>2</v>
      </c>
      <c r="B1127" s="85">
        <v>43675</v>
      </c>
      <c r="C1127" s="85">
        <v>43683</v>
      </c>
      <c r="D1127" s="85">
        <v>43705</v>
      </c>
      <c r="E1127" s="85">
        <v>43686</v>
      </c>
      <c r="F1127" s="85">
        <v>43690</v>
      </c>
      <c r="G1127" s="85">
        <v>43684</v>
      </c>
      <c r="H1127" s="85">
        <v>43686</v>
      </c>
      <c r="I1127" s="84" t="s">
        <v>401</v>
      </c>
      <c r="J1127" s="84">
        <v>1</v>
      </c>
      <c r="L1127" s="84">
        <v>0</v>
      </c>
      <c r="M1127" s="85">
        <v>43644</v>
      </c>
      <c r="N1127" s="85" t="s">
        <v>265</v>
      </c>
      <c r="O1127" s="86" t="s">
        <v>340</v>
      </c>
      <c r="P1127" s="84" t="s">
        <v>26</v>
      </c>
      <c r="Q1127" s="86" t="s">
        <v>140</v>
      </c>
      <c r="R1127" s="86" t="s">
        <v>3175</v>
      </c>
      <c r="S1127" s="87" t="s">
        <v>1986</v>
      </c>
      <c r="T1127" s="87" t="s">
        <v>3176</v>
      </c>
      <c r="U1127" s="88">
        <v>76200</v>
      </c>
      <c r="V1127" s="88">
        <v>82296</v>
      </c>
      <c r="W1127" s="88">
        <v>47000</v>
      </c>
      <c r="X1127" s="88">
        <v>50760</v>
      </c>
      <c r="Y1127" s="88">
        <v>29200</v>
      </c>
      <c r="Z1127" s="88">
        <v>31536</v>
      </c>
      <c r="AA1127" s="85">
        <v>43682</v>
      </c>
      <c r="AB1127" s="85">
        <v>43683</v>
      </c>
      <c r="AC1127" s="85">
        <v>43683</v>
      </c>
      <c r="AD1127" s="84">
        <v>0</v>
      </c>
      <c r="AG1127" s="84">
        <v>0</v>
      </c>
      <c r="AJ1127" s="84">
        <v>0</v>
      </c>
      <c r="AM1127" s="84" t="s">
        <v>290</v>
      </c>
      <c r="AN1127" s="84" t="s">
        <v>3177</v>
      </c>
      <c r="AR1127" s="85">
        <v>43655</v>
      </c>
      <c r="AS1127" s="84">
        <v>6001691923</v>
      </c>
      <c r="AT1127" s="85">
        <v>43655</v>
      </c>
      <c r="AU1127" s="84" t="s">
        <v>3071</v>
      </c>
      <c r="AV1127" s="85">
        <v>43683</v>
      </c>
      <c r="AW1127" s="123">
        <v>43708</v>
      </c>
      <c r="AX1127" s="123">
        <v>43728</v>
      </c>
      <c r="AY1127" s="132">
        <v>73152</v>
      </c>
      <c r="AZ1127" s="132">
        <f>ROUNDDOWN(AY1127+(AY1127*MASTER!$A$2/100),0)</f>
        <v>79004</v>
      </c>
      <c r="BA1127" s="84" t="s">
        <v>543</v>
      </c>
      <c r="BB1127" s="88">
        <v>23000</v>
      </c>
      <c r="BC1127" s="88">
        <v>24840</v>
      </c>
      <c r="BD1127" s="84" t="s">
        <v>2849</v>
      </c>
      <c r="BG1127" s="88">
        <v>0</v>
      </c>
      <c r="BI1127" s="84" t="s">
        <v>434</v>
      </c>
      <c r="BJ1127" s="88">
        <v>18980</v>
      </c>
      <c r="BK1127" s="88">
        <v>20498.400000000001</v>
      </c>
      <c r="BL1127" s="84" t="s">
        <v>2849</v>
      </c>
      <c r="BS1127" s="88">
        <v>0</v>
      </c>
      <c r="BV1127" s="89">
        <v>50760</v>
      </c>
      <c r="BW1127" s="89">
        <v>45338.400000000001</v>
      </c>
      <c r="BX1127" s="89">
        <v>43644</v>
      </c>
      <c r="BY1127" s="89">
        <v>5421.6</v>
      </c>
      <c r="BZ1127" s="112">
        <v>10.680851063829785</v>
      </c>
      <c r="CK1127" s="88">
        <v>0</v>
      </c>
    </row>
    <row r="1128" spans="1:89" x14ac:dyDescent="0.15">
      <c r="A1128" s="84">
        <v>2</v>
      </c>
      <c r="B1128" s="85">
        <v>43675</v>
      </c>
      <c r="C1128" s="85">
        <v>43683</v>
      </c>
      <c r="D1128" s="85">
        <v>43706</v>
      </c>
      <c r="E1128" s="85">
        <v>43741</v>
      </c>
      <c r="F1128" s="85">
        <v>43690</v>
      </c>
      <c r="G1128" s="85">
        <v>43698</v>
      </c>
      <c r="H1128" s="85">
        <v>43686</v>
      </c>
      <c r="I1128" s="84" t="s">
        <v>1191</v>
      </c>
      <c r="J1128" s="84">
        <v>1</v>
      </c>
      <c r="L1128" s="84">
        <v>0</v>
      </c>
      <c r="M1128" s="85">
        <v>43644</v>
      </c>
      <c r="N1128" s="85" t="s">
        <v>265</v>
      </c>
      <c r="O1128" s="86" t="s">
        <v>340</v>
      </c>
      <c r="P1128" s="84" t="s">
        <v>26</v>
      </c>
      <c r="Q1128" s="86" t="s">
        <v>140</v>
      </c>
      <c r="R1128" s="86" t="s">
        <v>3178</v>
      </c>
      <c r="S1128" s="87" t="s">
        <v>1739</v>
      </c>
      <c r="T1128" s="87" t="s">
        <v>3179</v>
      </c>
      <c r="U1128" s="88">
        <v>166500</v>
      </c>
      <c r="V1128" s="88">
        <v>179820</v>
      </c>
      <c r="W1128" s="88">
        <v>78000</v>
      </c>
      <c r="X1128" s="88">
        <v>84240</v>
      </c>
      <c r="Y1128" s="88">
        <v>88500</v>
      </c>
      <c r="Z1128" s="88">
        <v>95580</v>
      </c>
      <c r="AA1128" s="85">
        <v>43681</v>
      </c>
      <c r="AB1128" s="85">
        <v>43683</v>
      </c>
      <c r="AC1128" s="85">
        <v>43683</v>
      </c>
      <c r="AD1128" s="84">
        <v>0</v>
      </c>
      <c r="AG1128" s="84">
        <v>0</v>
      </c>
      <c r="AJ1128" s="84">
        <v>0</v>
      </c>
      <c r="AM1128" s="84" t="s">
        <v>290</v>
      </c>
      <c r="AN1128" s="84" t="s">
        <v>3180</v>
      </c>
      <c r="AR1128" s="85">
        <v>43669</v>
      </c>
      <c r="AS1128" s="84">
        <v>6001696217</v>
      </c>
      <c r="AT1128" s="85">
        <v>43670</v>
      </c>
      <c r="AU1128" s="84" t="s">
        <v>3024</v>
      </c>
      <c r="AV1128" s="85">
        <v>43683</v>
      </c>
      <c r="AW1128" s="123">
        <v>43708</v>
      </c>
      <c r="AX1128" s="123">
        <v>43728</v>
      </c>
      <c r="AY1128" s="132">
        <v>159840</v>
      </c>
      <c r="AZ1128" s="132">
        <f>ROUNDDOWN(AY1128+(AY1128*MASTER!$A$2/100),0)</f>
        <v>172627</v>
      </c>
      <c r="BA1128" s="84" t="s">
        <v>287</v>
      </c>
      <c r="BB1128" s="88">
        <v>23000</v>
      </c>
      <c r="BC1128" s="88">
        <v>24840</v>
      </c>
      <c r="BD1128" s="84" t="s">
        <v>2849</v>
      </c>
      <c r="BG1128" s="88">
        <v>0</v>
      </c>
      <c r="BI1128" s="84" t="s">
        <v>434</v>
      </c>
      <c r="BJ1128" s="88">
        <v>57525</v>
      </c>
      <c r="BK1128" s="88">
        <v>62127</v>
      </c>
      <c r="BL1128" s="84" t="s">
        <v>2849</v>
      </c>
      <c r="BS1128" s="88">
        <v>0</v>
      </c>
      <c r="BV1128" s="89">
        <v>84240</v>
      </c>
      <c r="BW1128" s="89">
        <v>86967</v>
      </c>
      <c r="BX1128" s="89">
        <v>43644</v>
      </c>
      <c r="BY1128" s="89">
        <v>-2727</v>
      </c>
      <c r="BZ1128" s="112">
        <v>-3.2371794871794877</v>
      </c>
      <c r="CK1128" s="88">
        <v>0</v>
      </c>
    </row>
    <row r="1129" spans="1:89" x14ac:dyDescent="0.15">
      <c r="A1129" s="84">
        <v>2</v>
      </c>
      <c r="C1129" s="85" t="s">
        <v>338</v>
      </c>
      <c r="F1129" s="85" t="s">
        <v>338</v>
      </c>
      <c r="H1129" s="85" t="s">
        <v>338</v>
      </c>
      <c r="I1129" s="84" t="s">
        <v>569</v>
      </c>
      <c r="J1129" s="84">
        <v>4</v>
      </c>
      <c r="L1129" s="84">
        <v>0</v>
      </c>
      <c r="M1129" s="85">
        <v>43644</v>
      </c>
      <c r="N1129" s="85" t="s">
        <v>265</v>
      </c>
      <c r="O1129" s="86" t="s">
        <v>340</v>
      </c>
      <c r="P1129" s="84" t="s">
        <v>78</v>
      </c>
      <c r="Q1129" s="86" t="s">
        <v>140</v>
      </c>
      <c r="R1129" s="86" t="s">
        <v>3181</v>
      </c>
      <c r="S1129" s="87" t="s">
        <v>562</v>
      </c>
      <c r="T1129" s="87" t="s">
        <v>3182</v>
      </c>
      <c r="U1129" s="88">
        <v>0</v>
      </c>
      <c r="V1129" s="88">
        <v>0</v>
      </c>
      <c r="W1129" s="88">
        <v>0</v>
      </c>
      <c r="X1129" s="88">
        <v>0</v>
      </c>
      <c r="Y1129" s="88">
        <v>0</v>
      </c>
      <c r="Z1129" s="88">
        <v>0</v>
      </c>
      <c r="AA1129" s="85">
        <v>43606</v>
      </c>
      <c r="AB1129" s="85">
        <v>43636</v>
      </c>
      <c r="AD1129" s="84">
        <v>0</v>
      </c>
      <c r="AG1129" s="84">
        <v>0</v>
      </c>
      <c r="AJ1129" s="84">
        <v>0</v>
      </c>
      <c r="AN1129" s="84" t="s">
        <v>338</v>
      </c>
      <c r="AY1129" s="132">
        <f>ROUNDDOWN((0.96*U1129),0)</f>
        <v>0</v>
      </c>
      <c r="AZ1129" s="132">
        <f>ROUNDDOWN(AY1129+(AY1129*MASTER!$A$2/100),0)</f>
        <v>0</v>
      </c>
      <c r="BA1129" s="84" t="s">
        <v>289</v>
      </c>
      <c r="BB1129" s="88">
        <v>683883</v>
      </c>
      <c r="BC1129" s="88">
        <v>738593.64</v>
      </c>
      <c r="BD1129" s="84" t="s">
        <v>2466</v>
      </c>
      <c r="BG1129" s="88">
        <v>0</v>
      </c>
      <c r="BK1129" s="88">
        <v>0</v>
      </c>
      <c r="BS1129" s="88">
        <v>0</v>
      </c>
      <c r="BV1129" s="89">
        <v>0</v>
      </c>
      <c r="BW1129" s="89">
        <v>738593.64</v>
      </c>
      <c r="BX1129" s="89">
        <v>43644</v>
      </c>
      <c r="BY1129" s="89">
        <v>-738593.64</v>
      </c>
      <c r="BZ1129" s="112" t="s">
        <v>338</v>
      </c>
    </row>
    <row r="1130" spans="1:89" x14ac:dyDescent="0.15">
      <c r="A1130" s="84">
        <v>2</v>
      </c>
      <c r="C1130" s="85" t="s">
        <v>338</v>
      </c>
      <c r="F1130" s="85" t="s">
        <v>338</v>
      </c>
      <c r="H1130" s="85" t="s">
        <v>338</v>
      </c>
      <c r="I1130" s="84" t="s">
        <v>569</v>
      </c>
      <c r="J1130" s="84">
        <v>4</v>
      </c>
      <c r="L1130" s="84">
        <v>0</v>
      </c>
      <c r="M1130" s="85">
        <v>43644</v>
      </c>
      <c r="N1130" s="85" t="s">
        <v>265</v>
      </c>
      <c r="O1130" s="86" t="s">
        <v>340</v>
      </c>
      <c r="P1130" s="84" t="s">
        <v>6</v>
      </c>
      <c r="Q1130" s="86" t="s">
        <v>140</v>
      </c>
      <c r="R1130" s="86" t="s">
        <v>3183</v>
      </c>
      <c r="S1130" s="87" t="s">
        <v>1697</v>
      </c>
      <c r="T1130" s="87" t="s">
        <v>3184</v>
      </c>
      <c r="U1130" s="88">
        <v>0</v>
      </c>
      <c r="V1130" s="88">
        <v>0</v>
      </c>
      <c r="W1130" s="88">
        <v>0</v>
      </c>
      <c r="X1130" s="88">
        <v>0</v>
      </c>
      <c r="Y1130" s="88">
        <v>0</v>
      </c>
      <c r="Z1130" s="88">
        <v>0</v>
      </c>
      <c r="AA1130" s="85">
        <v>43641</v>
      </c>
      <c r="AB1130" s="85">
        <v>43641</v>
      </c>
      <c r="AD1130" s="84">
        <v>0</v>
      </c>
      <c r="AG1130" s="84">
        <v>0</v>
      </c>
      <c r="AJ1130" s="84">
        <v>0</v>
      </c>
      <c r="AN1130" s="84" t="s">
        <v>338</v>
      </c>
      <c r="AY1130" s="132">
        <f>ROUNDDOWN((0.96*U1130),0)</f>
        <v>0</v>
      </c>
      <c r="AZ1130" s="132">
        <f>ROUNDDOWN(AY1130+(AY1130*MASTER!$A$2/100),0)</f>
        <v>0</v>
      </c>
      <c r="BA1130" s="84" t="s">
        <v>400</v>
      </c>
      <c r="BB1130" s="88">
        <v>21000</v>
      </c>
      <c r="BC1130" s="88">
        <v>22680</v>
      </c>
      <c r="BD1130" s="84" t="s">
        <v>2637</v>
      </c>
      <c r="BG1130" s="88">
        <v>0</v>
      </c>
      <c r="BK1130" s="88">
        <v>0</v>
      </c>
      <c r="BS1130" s="88">
        <v>0</v>
      </c>
      <c r="BV1130" s="89">
        <v>0</v>
      </c>
      <c r="BW1130" s="89">
        <v>22680</v>
      </c>
      <c r="BX1130" s="89">
        <v>43644</v>
      </c>
      <c r="BY1130" s="89">
        <v>-22680</v>
      </c>
      <c r="BZ1130" s="112" t="s">
        <v>338</v>
      </c>
    </row>
    <row r="1131" spans="1:89" x14ac:dyDescent="0.15">
      <c r="A1131" s="84">
        <v>2</v>
      </c>
      <c r="B1131" s="85">
        <v>43675</v>
      </c>
      <c r="C1131" s="85">
        <v>43687</v>
      </c>
      <c r="D1131" s="85">
        <v>43712</v>
      </c>
      <c r="E1131" s="85">
        <v>43697</v>
      </c>
      <c r="F1131" s="85">
        <v>43693</v>
      </c>
      <c r="G1131" s="85">
        <v>43696</v>
      </c>
      <c r="H1131" s="85">
        <v>43689</v>
      </c>
      <c r="I1131" s="84" t="s">
        <v>401</v>
      </c>
      <c r="J1131" s="84">
        <v>1</v>
      </c>
      <c r="K1131" s="85">
        <v>43655</v>
      </c>
      <c r="L1131" s="84" t="s">
        <v>818</v>
      </c>
      <c r="M1131" s="85">
        <v>43647</v>
      </c>
      <c r="N1131" s="85" t="s">
        <v>265</v>
      </c>
      <c r="O1131" s="86" t="s">
        <v>340</v>
      </c>
      <c r="P1131" s="84" t="s">
        <v>26</v>
      </c>
      <c r="Q1131" s="86" t="s">
        <v>209</v>
      </c>
      <c r="R1131" s="86" t="s">
        <v>3185</v>
      </c>
      <c r="S1131" s="87" t="s">
        <v>382</v>
      </c>
      <c r="T1131" s="87" t="s">
        <v>3186</v>
      </c>
      <c r="U1131" s="88">
        <v>59200</v>
      </c>
      <c r="V1131" s="88">
        <v>63936</v>
      </c>
      <c r="W1131" s="88">
        <v>47000</v>
      </c>
      <c r="X1131" s="88">
        <v>50760</v>
      </c>
      <c r="Y1131" s="88">
        <v>12200</v>
      </c>
      <c r="Z1131" s="88">
        <v>13176</v>
      </c>
      <c r="AA1131" s="85">
        <v>43684</v>
      </c>
      <c r="AB1131" s="85">
        <v>43686</v>
      </c>
      <c r="AC1131" s="85">
        <v>43686</v>
      </c>
      <c r="AD1131" s="84">
        <v>0</v>
      </c>
      <c r="AG1131" s="84">
        <v>0</v>
      </c>
      <c r="AJ1131" s="84">
        <v>0</v>
      </c>
      <c r="AM1131" s="84" t="s">
        <v>290</v>
      </c>
      <c r="AN1131" s="84" t="s">
        <v>3187</v>
      </c>
      <c r="AR1131" s="85">
        <v>43658</v>
      </c>
      <c r="AS1131" s="84">
        <v>6001693431</v>
      </c>
      <c r="AT1131" s="85">
        <v>43658</v>
      </c>
      <c r="AU1131" s="84" t="s">
        <v>3188</v>
      </c>
      <c r="AV1131" s="85">
        <v>43687</v>
      </c>
      <c r="AW1131" s="123">
        <v>43708</v>
      </c>
      <c r="AX1131" s="123">
        <v>43728</v>
      </c>
      <c r="AY1131" s="132">
        <v>56832</v>
      </c>
      <c r="AZ1131" s="132">
        <v>61379</v>
      </c>
      <c r="BA1131" s="84" t="s">
        <v>400</v>
      </c>
      <c r="BB1131" s="88">
        <v>44000</v>
      </c>
      <c r="BC1131" s="88">
        <v>47520</v>
      </c>
      <c r="BD1131" s="84" t="s">
        <v>2849</v>
      </c>
      <c r="BG1131" s="88">
        <v>0</v>
      </c>
      <c r="BI1131" s="84" t="s">
        <v>434</v>
      </c>
      <c r="BJ1131" s="88">
        <v>7930</v>
      </c>
      <c r="BK1131" s="88">
        <v>8564.4</v>
      </c>
      <c r="BL1131" s="84" t="s">
        <v>2849</v>
      </c>
      <c r="BS1131" s="88">
        <v>0</v>
      </c>
      <c r="BV1131" s="89">
        <v>50760</v>
      </c>
      <c r="BW1131" s="89">
        <v>56084.4</v>
      </c>
      <c r="BX1131" s="89">
        <v>0</v>
      </c>
      <c r="BY1131" s="89">
        <v>43655</v>
      </c>
      <c r="BZ1131" s="112">
        <v>-10.489361702127663</v>
      </c>
      <c r="CK1131" s="88">
        <v>0</v>
      </c>
    </row>
    <row r="1132" spans="1:89" x14ac:dyDescent="0.15">
      <c r="A1132" s="84">
        <v>2</v>
      </c>
      <c r="B1132" s="85">
        <v>43675</v>
      </c>
      <c r="C1132" s="85">
        <v>43686</v>
      </c>
      <c r="D1132" s="85">
        <v>43706</v>
      </c>
      <c r="E1132" s="85">
        <v>43699</v>
      </c>
      <c r="F1132" s="85">
        <v>43690</v>
      </c>
      <c r="G1132" s="85">
        <v>43686</v>
      </c>
      <c r="H1132" s="85">
        <v>43686</v>
      </c>
      <c r="I1132" s="84" t="s">
        <v>1191</v>
      </c>
      <c r="J1132" s="84">
        <v>1</v>
      </c>
      <c r="L1132" s="84">
        <v>0</v>
      </c>
      <c r="M1132" s="85">
        <v>43647</v>
      </c>
      <c r="N1132" s="85" t="s">
        <v>265</v>
      </c>
      <c r="O1132" s="86" t="s">
        <v>340</v>
      </c>
      <c r="P1132" s="84" t="s">
        <v>26</v>
      </c>
      <c r="Q1132" s="86" t="s">
        <v>209</v>
      </c>
      <c r="R1132" s="86" t="s">
        <v>3189</v>
      </c>
      <c r="S1132" s="87" t="s">
        <v>1278</v>
      </c>
      <c r="T1132" s="87" t="s">
        <v>3190</v>
      </c>
      <c r="U1132" s="88">
        <v>67000</v>
      </c>
      <c r="V1132" s="88">
        <v>72360</v>
      </c>
      <c r="W1132" s="88">
        <v>47000</v>
      </c>
      <c r="X1132" s="88">
        <v>50760</v>
      </c>
      <c r="Y1132" s="88">
        <v>20000</v>
      </c>
      <c r="Z1132" s="88">
        <v>21600</v>
      </c>
      <c r="AA1132" s="85">
        <v>43682</v>
      </c>
      <c r="AB1132" s="85">
        <v>43683</v>
      </c>
      <c r="AC1132" s="85">
        <v>43683</v>
      </c>
      <c r="AD1132" s="84">
        <v>0</v>
      </c>
      <c r="AG1132" s="84">
        <v>0</v>
      </c>
      <c r="AJ1132" s="84">
        <v>0</v>
      </c>
      <c r="AM1132" s="84" t="s">
        <v>290</v>
      </c>
      <c r="AN1132" s="84" t="s">
        <v>3191</v>
      </c>
      <c r="AR1132" s="85">
        <v>43658</v>
      </c>
      <c r="AS1132" s="84">
        <v>6001693431</v>
      </c>
      <c r="AT1132" s="85">
        <v>43658</v>
      </c>
      <c r="AU1132" s="84" t="s">
        <v>3188</v>
      </c>
      <c r="AV1132" s="85">
        <v>43686</v>
      </c>
      <c r="AW1132" s="123">
        <v>43708</v>
      </c>
      <c r="AX1132" s="123">
        <v>43728</v>
      </c>
      <c r="AY1132" s="132">
        <v>64320</v>
      </c>
      <c r="AZ1132" s="132">
        <v>69466</v>
      </c>
      <c r="BA1132" s="84" t="s">
        <v>287</v>
      </c>
      <c r="BB1132" s="88">
        <v>21000</v>
      </c>
      <c r="BC1132" s="88">
        <v>22680</v>
      </c>
      <c r="BD1132" s="84" t="s">
        <v>2849</v>
      </c>
      <c r="BG1132" s="88">
        <v>0</v>
      </c>
      <c r="BI1132" s="84" t="s">
        <v>434</v>
      </c>
      <c r="BJ1132" s="88">
        <v>13000</v>
      </c>
      <c r="BK1132" s="88">
        <v>14040</v>
      </c>
      <c r="BL1132" s="84" t="s">
        <v>2849</v>
      </c>
      <c r="BS1132" s="88">
        <v>0</v>
      </c>
      <c r="BV1132" s="89">
        <v>50760</v>
      </c>
      <c r="BW1132" s="89">
        <v>36720</v>
      </c>
      <c r="BX1132" s="89">
        <v>43647</v>
      </c>
      <c r="BY1132" s="89">
        <v>14040</v>
      </c>
      <c r="BZ1132" s="112">
        <v>27.659574468085108</v>
      </c>
      <c r="CK1132" s="88">
        <v>0</v>
      </c>
    </row>
    <row r="1133" spans="1:89" x14ac:dyDescent="0.15">
      <c r="A1133" s="84">
        <v>2</v>
      </c>
      <c r="B1133" s="85">
        <v>43675</v>
      </c>
      <c r="C1133" s="85">
        <v>43680</v>
      </c>
      <c r="D1133" s="85">
        <v>43706</v>
      </c>
      <c r="E1133" s="85">
        <v>43699</v>
      </c>
      <c r="F1133" s="85">
        <v>43687</v>
      </c>
      <c r="G1133" s="85">
        <v>43682</v>
      </c>
      <c r="H1133" s="85">
        <v>43683</v>
      </c>
      <c r="I1133" s="84" t="s">
        <v>1191</v>
      </c>
      <c r="J1133" s="84">
        <v>1</v>
      </c>
      <c r="L1133" s="84">
        <v>0</v>
      </c>
      <c r="M1133" s="85">
        <v>43647</v>
      </c>
      <c r="N1133" s="85" t="s">
        <v>265</v>
      </c>
      <c r="O1133" s="86" t="s">
        <v>340</v>
      </c>
      <c r="P1133" s="84" t="s">
        <v>26</v>
      </c>
      <c r="Q1133" s="86" t="s">
        <v>209</v>
      </c>
      <c r="R1133" s="86" t="s">
        <v>3192</v>
      </c>
      <c r="S1133" s="87" t="s">
        <v>928</v>
      </c>
      <c r="T1133" s="87" t="s">
        <v>2015</v>
      </c>
      <c r="U1133" s="88">
        <v>59000</v>
      </c>
      <c r="V1133" s="88">
        <v>63720</v>
      </c>
      <c r="W1133" s="88">
        <v>47000</v>
      </c>
      <c r="X1133" s="88">
        <v>50760</v>
      </c>
      <c r="Y1133" s="88">
        <v>12000</v>
      </c>
      <c r="Z1133" s="88">
        <v>12960</v>
      </c>
      <c r="AA1133" s="85">
        <v>43679</v>
      </c>
      <c r="AB1133" s="85">
        <v>43680</v>
      </c>
      <c r="AC1133" s="85">
        <v>43680</v>
      </c>
      <c r="AD1133" s="84">
        <v>0</v>
      </c>
      <c r="AG1133" s="84">
        <v>0</v>
      </c>
      <c r="AJ1133" s="84">
        <v>0</v>
      </c>
      <c r="AM1133" s="84" t="s">
        <v>290</v>
      </c>
      <c r="AN1133" s="84" t="s">
        <v>3193</v>
      </c>
      <c r="AR1133" s="85">
        <v>43670</v>
      </c>
      <c r="AS1133" s="84">
        <v>6001696926</v>
      </c>
      <c r="AT1133" s="85">
        <v>43671</v>
      </c>
      <c r="AU1133" s="84" t="s">
        <v>3194</v>
      </c>
      <c r="AV1133" s="85">
        <v>43680</v>
      </c>
      <c r="AW1133" s="123">
        <v>43708</v>
      </c>
      <c r="AX1133" s="123">
        <v>43728</v>
      </c>
      <c r="AY1133" s="132">
        <v>56640</v>
      </c>
      <c r="AZ1133" s="132">
        <f>ROUNDDOWN(AY1133+(AY1133*MASTER!$A$2/100),0)</f>
        <v>61171</v>
      </c>
      <c r="BA1133" s="84" t="s">
        <v>287</v>
      </c>
      <c r="BB1133" s="88">
        <v>21000</v>
      </c>
      <c r="BC1133" s="88">
        <v>22680</v>
      </c>
      <c r="BD1133" s="84" t="s">
        <v>2849</v>
      </c>
      <c r="BG1133" s="88">
        <v>0</v>
      </c>
      <c r="BI1133" s="84" t="s">
        <v>434</v>
      </c>
      <c r="BJ1133" s="88">
        <v>7800</v>
      </c>
      <c r="BK1133" s="88">
        <v>8424</v>
      </c>
      <c r="BL1133" s="84" t="s">
        <v>2849</v>
      </c>
      <c r="BS1133" s="88">
        <v>0</v>
      </c>
      <c r="BV1133" s="89">
        <v>50760</v>
      </c>
      <c r="BW1133" s="89">
        <v>31104</v>
      </c>
      <c r="BX1133" s="89">
        <v>43647</v>
      </c>
      <c r="BY1133" s="89">
        <v>19656</v>
      </c>
      <c r="BZ1133" s="112">
        <v>38.723404255319153</v>
      </c>
      <c r="CK1133" s="88">
        <v>0</v>
      </c>
    </row>
    <row r="1134" spans="1:89" x14ac:dyDescent="0.15">
      <c r="A1134" s="84">
        <v>2</v>
      </c>
      <c r="B1134" s="85">
        <v>43675</v>
      </c>
      <c r="C1134" s="85">
        <v>43686</v>
      </c>
      <c r="D1134" s="85">
        <v>43706</v>
      </c>
      <c r="E1134" s="85">
        <v>43699</v>
      </c>
      <c r="F1134" s="85">
        <v>43693</v>
      </c>
      <c r="G1134" s="85">
        <v>43686</v>
      </c>
      <c r="H1134" s="85">
        <v>43689</v>
      </c>
      <c r="I1134" s="84" t="s">
        <v>1191</v>
      </c>
      <c r="J1134" s="84">
        <v>1</v>
      </c>
      <c r="L1134" s="84">
        <v>0</v>
      </c>
      <c r="M1134" s="85">
        <v>43647</v>
      </c>
      <c r="N1134" s="85" t="s">
        <v>265</v>
      </c>
      <c r="O1134" s="86" t="s">
        <v>340</v>
      </c>
      <c r="P1134" s="84" t="s">
        <v>26</v>
      </c>
      <c r="Q1134" s="86" t="s">
        <v>209</v>
      </c>
      <c r="R1134" s="86" t="s">
        <v>3195</v>
      </c>
      <c r="S1134" s="87" t="s">
        <v>1753</v>
      </c>
      <c r="T1134" s="87" t="s">
        <v>1360</v>
      </c>
      <c r="U1134" s="88">
        <v>67000</v>
      </c>
      <c r="V1134" s="88">
        <v>72360</v>
      </c>
      <c r="W1134" s="88">
        <v>47000</v>
      </c>
      <c r="X1134" s="88">
        <v>50760</v>
      </c>
      <c r="Y1134" s="88">
        <v>20000</v>
      </c>
      <c r="Z1134" s="88">
        <v>21600</v>
      </c>
      <c r="AA1134" s="85">
        <v>43685</v>
      </c>
      <c r="AB1134" s="85">
        <v>43686</v>
      </c>
      <c r="AC1134" s="85">
        <v>43686</v>
      </c>
      <c r="AD1134" s="84">
        <v>0</v>
      </c>
      <c r="AG1134" s="84">
        <v>0</v>
      </c>
      <c r="AJ1134" s="84">
        <v>0</v>
      </c>
      <c r="AM1134" s="84" t="s">
        <v>290</v>
      </c>
      <c r="AN1134" s="84" t="s">
        <v>3196</v>
      </c>
      <c r="AR1134" s="85">
        <v>43658</v>
      </c>
      <c r="AS1134" s="84">
        <v>6001693431</v>
      </c>
      <c r="AT1134" s="85">
        <v>43658</v>
      </c>
      <c r="AU1134" s="84" t="s">
        <v>3188</v>
      </c>
      <c r="AV1134" s="85">
        <v>43686</v>
      </c>
      <c r="AW1134" s="123">
        <v>43708</v>
      </c>
      <c r="AX1134" s="123">
        <v>43728</v>
      </c>
      <c r="AY1134" s="132">
        <v>64320</v>
      </c>
      <c r="AZ1134" s="132">
        <v>69466</v>
      </c>
      <c r="BA1134" s="84" t="s">
        <v>287</v>
      </c>
      <c r="BB1134" s="88">
        <v>21000</v>
      </c>
      <c r="BC1134" s="88">
        <v>22680</v>
      </c>
      <c r="BD1134" s="84" t="s">
        <v>2849</v>
      </c>
      <c r="BG1134" s="88">
        <v>0</v>
      </c>
      <c r="BI1134" s="84" t="s">
        <v>434</v>
      </c>
      <c r="BJ1134" s="88">
        <v>13000</v>
      </c>
      <c r="BK1134" s="88">
        <v>14040</v>
      </c>
      <c r="BL1134" s="84" t="s">
        <v>2849</v>
      </c>
      <c r="BS1134" s="88">
        <v>0</v>
      </c>
      <c r="BV1134" s="89">
        <v>50760</v>
      </c>
      <c r="BW1134" s="89">
        <v>36720</v>
      </c>
      <c r="BX1134" s="89">
        <v>43647</v>
      </c>
      <c r="BY1134" s="89">
        <v>14040</v>
      </c>
      <c r="BZ1134" s="112">
        <v>27.659574468085108</v>
      </c>
      <c r="CK1134" s="88">
        <v>0</v>
      </c>
    </row>
    <row r="1135" spans="1:89" x14ac:dyDescent="0.15">
      <c r="A1135" s="84">
        <v>2</v>
      </c>
      <c r="B1135" s="85">
        <v>43655</v>
      </c>
      <c r="C1135" s="85">
        <v>43657</v>
      </c>
      <c r="D1135" s="85">
        <v>43676</v>
      </c>
      <c r="E1135" s="85">
        <v>43662</v>
      </c>
      <c r="F1135" s="85">
        <v>43664</v>
      </c>
      <c r="G1135" s="85">
        <v>43657</v>
      </c>
      <c r="H1135" s="85">
        <v>43660</v>
      </c>
      <c r="I1135" s="84" t="s">
        <v>401</v>
      </c>
      <c r="J1135" s="84">
        <v>2</v>
      </c>
      <c r="L1135" s="84">
        <v>0</v>
      </c>
      <c r="M1135" s="85">
        <v>43647</v>
      </c>
      <c r="N1135" s="85" t="s">
        <v>265</v>
      </c>
      <c r="O1135" s="86" t="s">
        <v>340</v>
      </c>
      <c r="P1135" s="84" t="s">
        <v>26</v>
      </c>
      <c r="Q1135" s="86" t="s">
        <v>209</v>
      </c>
      <c r="R1135" s="86" t="s">
        <v>3197</v>
      </c>
      <c r="S1135" s="87" t="s">
        <v>2734</v>
      </c>
      <c r="T1135" s="87" t="s">
        <v>455</v>
      </c>
      <c r="U1135" s="88">
        <v>52500</v>
      </c>
      <c r="V1135" s="88">
        <v>56700</v>
      </c>
      <c r="W1135" s="88">
        <v>52500</v>
      </c>
      <c r="X1135" s="88">
        <v>56700</v>
      </c>
      <c r="Z1135" s="88">
        <v>0</v>
      </c>
      <c r="AA1135" s="85">
        <v>43655</v>
      </c>
      <c r="AB1135" s="85">
        <v>43657</v>
      </c>
      <c r="AC1135" s="85">
        <v>43657</v>
      </c>
      <c r="AD1135" s="84">
        <v>0</v>
      </c>
      <c r="AG1135" s="84">
        <v>0</v>
      </c>
      <c r="AJ1135" s="84">
        <v>0</v>
      </c>
      <c r="AN1135" s="84" t="s">
        <v>338</v>
      </c>
      <c r="AR1135" s="85">
        <v>43650</v>
      </c>
      <c r="AS1135" s="84">
        <v>6001690452</v>
      </c>
      <c r="AT1135" s="85">
        <v>43650</v>
      </c>
      <c r="AU1135" s="84" t="s">
        <v>2848</v>
      </c>
      <c r="AV1135" s="85">
        <v>43657</v>
      </c>
      <c r="AW1135" s="123">
        <v>43677</v>
      </c>
      <c r="AX1135" s="123">
        <v>43697</v>
      </c>
      <c r="AY1135" s="132">
        <v>50400</v>
      </c>
      <c r="AZ1135" s="132">
        <f>ROUNDDOWN(AY1135+(AY1135*MASTER!$A$2/100),0)</f>
        <v>54432</v>
      </c>
      <c r="BA1135" s="84" t="s">
        <v>543</v>
      </c>
      <c r="BB1135" s="88">
        <v>26000</v>
      </c>
      <c r="BC1135" s="88">
        <v>28080</v>
      </c>
      <c r="BD1135" s="84" t="s">
        <v>2637</v>
      </c>
      <c r="BG1135" s="88">
        <v>0</v>
      </c>
      <c r="BK1135" s="88">
        <v>0</v>
      </c>
      <c r="BS1135" s="88">
        <v>0</v>
      </c>
      <c r="BV1135" s="89">
        <v>56700</v>
      </c>
      <c r="BW1135" s="89">
        <v>28080</v>
      </c>
      <c r="BX1135" s="89">
        <v>43647</v>
      </c>
      <c r="BY1135" s="89">
        <v>28620</v>
      </c>
      <c r="BZ1135" s="112">
        <v>50.476190476190474</v>
      </c>
      <c r="CK1135" s="88">
        <v>0</v>
      </c>
    </row>
    <row r="1136" spans="1:89" x14ac:dyDescent="0.15">
      <c r="A1136" s="84">
        <v>2</v>
      </c>
      <c r="B1136" s="85">
        <v>43657</v>
      </c>
      <c r="C1136" s="85">
        <v>43658</v>
      </c>
      <c r="D1136" s="85">
        <v>43657</v>
      </c>
      <c r="E1136" s="85">
        <v>43657</v>
      </c>
      <c r="F1136" s="85" t="s">
        <v>338</v>
      </c>
      <c r="G1136" s="85">
        <v>43657</v>
      </c>
      <c r="H1136" s="85" t="s">
        <v>338</v>
      </c>
      <c r="I1136" s="84" t="s">
        <v>547</v>
      </c>
      <c r="J1136" s="84">
        <v>2</v>
      </c>
      <c r="L1136" s="84">
        <v>0</v>
      </c>
      <c r="M1136" s="85">
        <v>43647</v>
      </c>
      <c r="N1136" s="85" t="s">
        <v>265</v>
      </c>
      <c r="O1136" s="86" t="s">
        <v>340</v>
      </c>
      <c r="P1136" s="84" t="s">
        <v>6</v>
      </c>
      <c r="Q1136" s="86" t="s">
        <v>209</v>
      </c>
      <c r="R1136" s="86" t="s">
        <v>3198</v>
      </c>
      <c r="S1136" s="87" t="s">
        <v>1626</v>
      </c>
      <c r="T1136" s="87" t="s">
        <v>342</v>
      </c>
      <c r="U1136" s="88">
        <v>35000</v>
      </c>
      <c r="V1136" s="88">
        <v>37800</v>
      </c>
      <c r="W1136" s="88">
        <v>35000</v>
      </c>
      <c r="X1136" s="88">
        <v>37800</v>
      </c>
      <c r="Z1136" s="88">
        <v>0</v>
      </c>
      <c r="AA1136" s="85">
        <v>43654</v>
      </c>
      <c r="AB1136" s="85">
        <v>43654</v>
      </c>
      <c r="AD1136" s="84">
        <v>0</v>
      </c>
      <c r="AG1136" s="84">
        <v>0</v>
      </c>
      <c r="AJ1136" s="84">
        <v>0</v>
      </c>
      <c r="AR1136" s="85">
        <v>43655</v>
      </c>
      <c r="AS1136" s="84">
        <v>6001691923</v>
      </c>
      <c r="AT1136" s="85">
        <v>43655</v>
      </c>
      <c r="AU1136" s="84" t="s">
        <v>3071</v>
      </c>
      <c r="AV1136" s="85">
        <v>43658</v>
      </c>
      <c r="AW1136" s="123">
        <v>43677</v>
      </c>
      <c r="AX1136" s="123">
        <v>43697</v>
      </c>
      <c r="AY1136" s="132">
        <v>33600</v>
      </c>
      <c r="AZ1136" s="132">
        <f>ROUNDDOWN(AY1136+(AY1136*MASTER!$A$2/100),0)</f>
        <v>36288</v>
      </c>
      <c r="BA1136" s="84" t="s">
        <v>985</v>
      </c>
      <c r="BB1136" s="88">
        <v>36000</v>
      </c>
      <c r="BC1136" s="88">
        <v>38880</v>
      </c>
      <c r="BD1136" s="84" t="s">
        <v>2660</v>
      </c>
      <c r="BG1136" s="88">
        <v>0</v>
      </c>
      <c r="BK1136" s="88">
        <v>0</v>
      </c>
      <c r="BS1136" s="88">
        <v>0</v>
      </c>
      <c r="BV1136" s="89">
        <v>37800</v>
      </c>
      <c r="BW1136" s="89">
        <v>38880</v>
      </c>
      <c r="BX1136" s="89">
        <v>43647</v>
      </c>
      <c r="BY1136" s="89">
        <v>-1080</v>
      </c>
      <c r="BZ1136" s="112">
        <v>-2.8571428571428572</v>
      </c>
    </row>
    <row r="1137" spans="1:89" x14ac:dyDescent="0.15">
      <c r="A1137" s="84">
        <v>2</v>
      </c>
      <c r="C1137" s="85" t="s">
        <v>338</v>
      </c>
      <c r="F1137" s="85" t="s">
        <v>338</v>
      </c>
      <c r="H1137" s="85" t="s">
        <v>338</v>
      </c>
      <c r="I1137" s="84" t="s">
        <v>380</v>
      </c>
      <c r="J1137" s="84">
        <v>4</v>
      </c>
      <c r="L1137" s="84">
        <v>0</v>
      </c>
      <c r="M1137" s="85">
        <v>43647</v>
      </c>
      <c r="N1137" s="85" t="s">
        <v>265</v>
      </c>
      <c r="O1137" s="86" t="s">
        <v>340</v>
      </c>
      <c r="P1137" s="84" t="s">
        <v>6</v>
      </c>
      <c r="Q1137" s="86" t="s">
        <v>209</v>
      </c>
      <c r="R1137" s="86" t="s">
        <v>3199</v>
      </c>
      <c r="S1137" s="87" t="s">
        <v>1763</v>
      </c>
      <c r="T1137" s="87" t="s">
        <v>2706</v>
      </c>
      <c r="U1137" s="88">
        <v>0</v>
      </c>
      <c r="V1137" s="88">
        <v>0</v>
      </c>
      <c r="W1137" s="88">
        <v>0</v>
      </c>
      <c r="X1137" s="88">
        <v>0</v>
      </c>
      <c r="Y1137" s="88">
        <v>0</v>
      </c>
      <c r="Z1137" s="88">
        <v>0</v>
      </c>
      <c r="AA1137" s="85">
        <v>43620</v>
      </c>
      <c r="AB1137" s="85">
        <v>43620</v>
      </c>
      <c r="AD1137" s="84">
        <v>0</v>
      </c>
      <c r="AG1137" s="84">
        <v>0</v>
      </c>
      <c r="AJ1137" s="84">
        <v>0</v>
      </c>
      <c r="AN1137" s="84" t="s">
        <v>338</v>
      </c>
      <c r="AY1137" s="132">
        <f>ROUNDDOWN((0.96*U1137),0)</f>
        <v>0</v>
      </c>
      <c r="AZ1137" s="132">
        <f>ROUNDDOWN(AY1137+(AY1137*MASTER!$A$2/100),0)</f>
        <v>0</v>
      </c>
      <c r="BA1137" s="84" t="s">
        <v>287</v>
      </c>
      <c r="BB1137" s="88">
        <v>38000</v>
      </c>
      <c r="BC1137" s="88">
        <v>41040</v>
      </c>
      <c r="BD1137" s="84" t="s">
        <v>2466</v>
      </c>
      <c r="BG1137" s="88">
        <v>0</v>
      </c>
      <c r="BK1137" s="88">
        <v>0</v>
      </c>
      <c r="BS1137" s="88">
        <v>0</v>
      </c>
      <c r="BV1137" s="89">
        <v>0</v>
      </c>
      <c r="BW1137" s="89">
        <v>41040</v>
      </c>
      <c r="BX1137" s="89">
        <v>43647</v>
      </c>
      <c r="BY1137" s="89">
        <v>-41040</v>
      </c>
      <c r="BZ1137" s="112" t="s">
        <v>338</v>
      </c>
    </row>
    <row r="1138" spans="1:89" x14ac:dyDescent="0.15">
      <c r="A1138" s="84">
        <v>2</v>
      </c>
      <c r="C1138" s="85" t="s">
        <v>338</v>
      </c>
      <c r="F1138" s="85" t="s">
        <v>338</v>
      </c>
      <c r="H1138" s="85" t="s">
        <v>338</v>
      </c>
      <c r="I1138" s="84" t="s">
        <v>1191</v>
      </c>
      <c r="J1138" s="84">
        <v>4</v>
      </c>
      <c r="L1138" s="84">
        <v>0</v>
      </c>
      <c r="M1138" s="85">
        <v>43647</v>
      </c>
      <c r="N1138" s="85" t="s">
        <v>265</v>
      </c>
      <c r="O1138" s="86" t="s">
        <v>340</v>
      </c>
      <c r="P1138" s="84" t="s">
        <v>26</v>
      </c>
      <c r="Q1138" s="86" t="s">
        <v>209</v>
      </c>
      <c r="R1138" s="86" t="s">
        <v>3200</v>
      </c>
      <c r="S1138" s="87" t="s">
        <v>2161</v>
      </c>
      <c r="T1138" s="87" t="s">
        <v>3201</v>
      </c>
      <c r="U1138" s="88">
        <v>0</v>
      </c>
      <c r="V1138" s="88">
        <v>0</v>
      </c>
      <c r="W1138" s="88">
        <v>0</v>
      </c>
      <c r="X1138" s="88">
        <v>0</v>
      </c>
      <c r="Y1138" s="88">
        <v>0</v>
      </c>
      <c r="Z1138" s="88">
        <v>0</v>
      </c>
      <c r="AA1138" s="85">
        <v>43637</v>
      </c>
      <c r="AB1138" s="85">
        <v>43637</v>
      </c>
      <c r="AD1138" s="84">
        <v>0</v>
      </c>
      <c r="AG1138" s="84">
        <v>0</v>
      </c>
      <c r="AJ1138" s="84">
        <v>0</v>
      </c>
      <c r="AN1138" s="84" t="s">
        <v>338</v>
      </c>
      <c r="AY1138" s="132">
        <f>ROUNDDOWN((0.96*U1138),0)</f>
        <v>0</v>
      </c>
      <c r="AZ1138" s="132">
        <f>ROUNDDOWN(AY1138+(AY1138*MASTER!$A$2/100),0)</f>
        <v>0</v>
      </c>
      <c r="BA1138" s="84" t="s">
        <v>287</v>
      </c>
      <c r="BB1138" s="88">
        <v>24000</v>
      </c>
      <c r="BC1138" s="88">
        <v>25920</v>
      </c>
      <c r="BD1138" s="84" t="s">
        <v>2637</v>
      </c>
      <c r="BG1138" s="88">
        <v>0</v>
      </c>
      <c r="BK1138" s="88">
        <v>0</v>
      </c>
      <c r="BS1138" s="88">
        <v>0</v>
      </c>
      <c r="BV1138" s="89">
        <v>0</v>
      </c>
      <c r="BW1138" s="89">
        <v>25920</v>
      </c>
      <c r="BX1138" s="89">
        <v>43647</v>
      </c>
      <c r="BY1138" s="89">
        <v>-25920</v>
      </c>
      <c r="BZ1138" s="112" t="s">
        <v>338</v>
      </c>
    </row>
    <row r="1139" spans="1:89" x14ac:dyDescent="0.15">
      <c r="A1139" s="84">
        <v>1</v>
      </c>
      <c r="B1139" s="85">
        <v>43655</v>
      </c>
      <c r="C1139" s="85">
        <v>43665</v>
      </c>
      <c r="F1139" s="85" t="s">
        <v>338</v>
      </c>
      <c r="H1139" s="85" t="s">
        <v>338</v>
      </c>
      <c r="J1139" s="84">
        <v>1</v>
      </c>
      <c r="K1139" s="85">
        <v>43650</v>
      </c>
      <c r="L1139" s="84" t="s">
        <v>818</v>
      </c>
      <c r="M1139" s="85">
        <v>43648</v>
      </c>
      <c r="N1139" s="85" t="s">
        <v>265</v>
      </c>
      <c r="O1139" s="86" t="s">
        <v>340</v>
      </c>
      <c r="P1139" s="84" t="s">
        <v>26</v>
      </c>
      <c r="Q1139" s="86" t="s">
        <v>209</v>
      </c>
      <c r="R1139" s="86" t="s">
        <v>3202</v>
      </c>
      <c r="S1139" s="87" t="s">
        <v>351</v>
      </c>
      <c r="T1139" s="87" t="s">
        <v>3203</v>
      </c>
      <c r="U1139" s="88">
        <v>648000</v>
      </c>
      <c r="V1139" s="88">
        <v>699840</v>
      </c>
      <c r="W1139" s="88">
        <v>600000</v>
      </c>
      <c r="X1139" s="88">
        <v>648000</v>
      </c>
      <c r="Y1139" s="88">
        <v>48000</v>
      </c>
      <c r="Z1139" s="88">
        <v>51840</v>
      </c>
      <c r="AD1139" s="84">
        <v>0</v>
      </c>
      <c r="AG1139" s="84">
        <v>0</v>
      </c>
      <c r="AJ1139" s="84">
        <v>0</v>
      </c>
      <c r="AN1139" s="84" t="s">
        <v>338</v>
      </c>
      <c r="AR1139" s="85">
        <v>43654</v>
      </c>
      <c r="AS1139" s="84">
        <v>6001691452</v>
      </c>
      <c r="AT1139" s="85">
        <v>43654</v>
      </c>
      <c r="AU1139" s="84" t="s">
        <v>3204</v>
      </c>
      <c r="AV1139" s="85">
        <v>43665</v>
      </c>
      <c r="AW1139" s="123">
        <v>43677</v>
      </c>
      <c r="AX1139" s="123">
        <v>43697</v>
      </c>
      <c r="AY1139" s="132">
        <v>622080</v>
      </c>
      <c r="AZ1139" s="132">
        <f>ROUNDDOWN(AY1139+(AY1139*MASTER!$A$2/100),0)</f>
        <v>671846</v>
      </c>
      <c r="BC1139" s="88">
        <v>0</v>
      </c>
      <c r="BG1139" s="88">
        <v>0</v>
      </c>
      <c r="BK1139" s="88">
        <v>0</v>
      </c>
      <c r="BS1139" s="88">
        <v>0</v>
      </c>
      <c r="BV1139" s="89">
        <v>648000</v>
      </c>
      <c r="BW1139" s="89">
        <v>0</v>
      </c>
      <c r="BX1139" s="89">
        <v>0</v>
      </c>
      <c r="BY1139" s="89">
        <v>43650</v>
      </c>
      <c r="BZ1139" s="112">
        <v>100</v>
      </c>
      <c r="CK1139" s="88">
        <v>0</v>
      </c>
    </row>
    <row r="1140" spans="1:89" x14ac:dyDescent="0.15">
      <c r="A1140" s="84">
        <v>2</v>
      </c>
      <c r="B1140" s="85">
        <v>43650</v>
      </c>
      <c r="C1140" s="85">
        <v>43656</v>
      </c>
      <c r="D1140" s="85">
        <v>43684</v>
      </c>
      <c r="E1140" s="85">
        <v>43658</v>
      </c>
      <c r="F1140" s="85">
        <v>43664</v>
      </c>
      <c r="G1140" s="85">
        <v>43657</v>
      </c>
      <c r="H1140" s="85">
        <v>43660</v>
      </c>
      <c r="I1140" s="84" t="s">
        <v>1191</v>
      </c>
      <c r="J1140" s="84">
        <v>2</v>
      </c>
      <c r="L1140" s="84">
        <v>0</v>
      </c>
      <c r="M1140" s="85">
        <v>43648</v>
      </c>
      <c r="N1140" s="85" t="s">
        <v>265</v>
      </c>
      <c r="O1140" s="86" t="s">
        <v>340</v>
      </c>
      <c r="P1140" s="84" t="s">
        <v>26</v>
      </c>
      <c r="Q1140" s="86" t="s">
        <v>209</v>
      </c>
      <c r="R1140" s="86" t="s">
        <v>3205</v>
      </c>
      <c r="S1140" s="87" t="s">
        <v>1053</v>
      </c>
      <c r="T1140" s="87" t="s">
        <v>3206</v>
      </c>
      <c r="U1140" s="88">
        <v>100500</v>
      </c>
      <c r="V1140" s="88">
        <v>108540</v>
      </c>
      <c r="W1140" s="88">
        <v>100500</v>
      </c>
      <c r="X1140" s="88">
        <v>108540</v>
      </c>
      <c r="Z1140" s="88">
        <v>0</v>
      </c>
      <c r="AA1140" s="85">
        <v>43656</v>
      </c>
      <c r="AB1140" s="85">
        <v>43656</v>
      </c>
      <c r="AC1140" s="85">
        <v>43657</v>
      </c>
      <c r="AD1140" s="84">
        <v>0</v>
      </c>
      <c r="AG1140" s="84">
        <v>0</v>
      </c>
      <c r="AJ1140" s="84">
        <v>0</v>
      </c>
      <c r="AN1140" s="84" t="s">
        <v>338</v>
      </c>
      <c r="AR1140" s="85">
        <v>43649</v>
      </c>
      <c r="AS1140" s="84">
        <v>6001690025</v>
      </c>
      <c r="AT1140" s="85">
        <v>43649</v>
      </c>
      <c r="AU1140" s="84" t="s">
        <v>2987</v>
      </c>
      <c r="AV1140" s="85">
        <v>43656</v>
      </c>
      <c r="AW1140" s="123">
        <v>43677</v>
      </c>
      <c r="AX1140" s="123">
        <v>43697</v>
      </c>
      <c r="AY1140" s="132">
        <v>96480</v>
      </c>
      <c r="AZ1140" s="132">
        <f>ROUNDDOWN(AY1140+(AY1140*MASTER!$A$2/100),0)</f>
        <v>104198</v>
      </c>
      <c r="BA1140" s="84" t="s">
        <v>287</v>
      </c>
      <c r="BB1140" s="88">
        <v>52000</v>
      </c>
      <c r="BC1140" s="88">
        <v>56160</v>
      </c>
      <c r="BD1140" s="84" t="s">
        <v>2637</v>
      </c>
      <c r="BG1140" s="88">
        <v>0</v>
      </c>
      <c r="BK1140" s="88">
        <v>0</v>
      </c>
      <c r="BS1140" s="88">
        <v>0</v>
      </c>
      <c r="BV1140" s="89">
        <v>108540</v>
      </c>
      <c r="BW1140" s="89">
        <v>56160</v>
      </c>
      <c r="BX1140" s="89">
        <v>43648</v>
      </c>
      <c r="BY1140" s="89">
        <v>52380</v>
      </c>
      <c r="BZ1140" s="112">
        <v>48.258706467661696</v>
      </c>
      <c r="CK1140" s="88">
        <v>0</v>
      </c>
    </row>
    <row r="1141" spans="1:89" x14ac:dyDescent="0.15">
      <c r="A1141" s="84">
        <v>2</v>
      </c>
      <c r="C1141" s="85" t="s">
        <v>338</v>
      </c>
      <c r="F1141" s="85" t="s">
        <v>338</v>
      </c>
      <c r="H1141" s="85" t="s">
        <v>338</v>
      </c>
      <c r="J1141" s="84">
        <v>4</v>
      </c>
      <c r="L1141" s="84">
        <v>0</v>
      </c>
      <c r="M1141" s="85">
        <v>43648</v>
      </c>
      <c r="N1141" s="85" t="s">
        <v>265</v>
      </c>
      <c r="O1141" s="86" t="s">
        <v>340</v>
      </c>
      <c r="P1141" s="84" t="s">
        <v>26</v>
      </c>
      <c r="Q1141" s="86" t="s">
        <v>209</v>
      </c>
      <c r="R1141" s="86" t="s">
        <v>3207</v>
      </c>
      <c r="S1141" s="87" t="s">
        <v>562</v>
      </c>
      <c r="T1141" s="87" t="s">
        <v>3586</v>
      </c>
      <c r="U1141" s="88">
        <v>0</v>
      </c>
      <c r="V1141" s="88">
        <v>0</v>
      </c>
      <c r="W1141" s="88">
        <v>0</v>
      </c>
      <c r="X1141" s="88">
        <v>0</v>
      </c>
      <c r="Y1141" s="88">
        <v>0</v>
      </c>
      <c r="Z1141" s="88">
        <v>0</v>
      </c>
      <c r="AA1141" s="85">
        <v>43667</v>
      </c>
      <c r="AB1141" s="85">
        <v>43697</v>
      </c>
      <c r="AD1141" s="84">
        <v>0</v>
      </c>
      <c r="AG1141" s="84">
        <v>0</v>
      </c>
      <c r="AJ1141" s="84">
        <v>0</v>
      </c>
      <c r="AN1141" s="84" t="s">
        <v>338</v>
      </c>
      <c r="AY1141" s="132">
        <v>0</v>
      </c>
      <c r="AZ1141" s="132">
        <f>ROUNDDOWN(AY1141+(AY1141*MASTER!$A$2/100),0)</f>
        <v>0</v>
      </c>
      <c r="BA1141" s="84" t="s">
        <v>486</v>
      </c>
      <c r="BB1141" s="88">
        <v>680000</v>
      </c>
      <c r="BC1141" s="88">
        <v>734400</v>
      </c>
      <c r="BD1141" s="84" t="s">
        <v>3158</v>
      </c>
      <c r="BG1141" s="88">
        <v>0</v>
      </c>
      <c r="BK1141" s="88">
        <v>0</v>
      </c>
      <c r="BS1141" s="88">
        <v>0</v>
      </c>
      <c r="BV1141" s="89">
        <v>0</v>
      </c>
      <c r="BW1141" s="89">
        <v>734400</v>
      </c>
      <c r="BX1141" s="89">
        <v>43648</v>
      </c>
      <c r="BY1141" s="89">
        <v>-734400</v>
      </c>
      <c r="BZ1141" s="112" t="s">
        <v>338</v>
      </c>
      <c r="CK1141" s="88">
        <v>0</v>
      </c>
    </row>
    <row r="1142" spans="1:89" x14ac:dyDescent="0.15">
      <c r="A1142" s="84">
        <v>2</v>
      </c>
      <c r="B1142" s="85">
        <v>43663</v>
      </c>
      <c r="C1142" s="85">
        <v>43670</v>
      </c>
      <c r="D1142" s="85" t="s">
        <v>374</v>
      </c>
      <c r="E1142" s="85">
        <v>43671</v>
      </c>
      <c r="F1142" s="85">
        <v>43677</v>
      </c>
      <c r="G1142" s="85">
        <v>43671</v>
      </c>
      <c r="H1142" s="85">
        <v>43673</v>
      </c>
      <c r="I1142" s="84" t="s">
        <v>401</v>
      </c>
      <c r="J1142" s="84">
        <v>1</v>
      </c>
      <c r="L1142" s="84">
        <v>0</v>
      </c>
      <c r="M1142" s="85">
        <v>43649</v>
      </c>
      <c r="N1142" s="85" t="s">
        <v>265</v>
      </c>
      <c r="O1142" s="86" t="s">
        <v>340</v>
      </c>
      <c r="P1142" s="84" t="s">
        <v>26</v>
      </c>
      <c r="Q1142" s="86" t="s">
        <v>209</v>
      </c>
      <c r="R1142" s="86" t="s">
        <v>3208</v>
      </c>
      <c r="S1142" s="87" t="s">
        <v>3209</v>
      </c>
      <c r="T1142" s="87" t="s">
        <v>3210</v>
      </c>
      <c r="U1142" s="88">
        <v>23900</v>
      </c>
      <c r="V1142" s="88">
        <v>25812</v>
      </c>
      <c r="W1142" s="88">
        <v>14700</v>
      </c>
      <c r="X1142" s="88">
        <v>15876</v>
      </c>
      <c r="Y1142" s="88">
        <v>9200</v>
      </c>
      <c r="Z1142" s="88">
        <v>9936</v>
      </c>
      <c r="AA1142" s="85">
        <v>43668</v>
      </c>
      <c r="AB1142" s="85">
        <v>43670</v>
      </c>
      <c r="AC1142" s="85">
        <v>43670</v>
      </c>
      <c r="AD1142" s="84">
        <v>0</v>
      </c>
      <c r="AG1142" s="84">
        <v>0</v>
      </c>
      <c r="AJ1142" s="84">
        <v>0</v>
      </c>
      <c r="AM1142" s="84" t="s">
        <v>290</v>
      </c>
      <c r="AN1142" s="84" t="s">
        <v>3211</v>
      </c>
      <c r="AR1142" s="85">
        <v>43663</v>
      </c>
      <c r="AS1142" s="84">
        <v>6001694059</v>
      </c>
      <c r="AT1142" s="85">
        <v>43663</v>
      </c>
      <c r="AU1142" s="84" t="s">
        <v>3081</v>
      </c>
      <c r="AV1142" s="85">
        <v>43670</v>
      </c>
      <c r="AW1142" s="123">
        <v>43677</v>
      </c>
      <c r="AX1142" s="123">
        <v>43697</v>
      </c>
      <c r="AY1142" s="132">
        <v>22944</v>
      </c>
      <c r="AZ1142" s="132">
        <v>24780</v>
      </c>
      <c r="BA1142" s="84" t="s">
        <v>778</v>
      </c>
      <c r="BC1142" s="88">
        <v>0</v>
      </c>
      <c r="BG1142" s="88">
        <v>0</v>
      </c>
      <c r="BI1142" s="84" t="s">
        <v>276</v>
      </c>
      <c r="BJ1142" s="88">
        <v>5980</v>
      </c>
      <c r="BK1142" s="88">
        <v>6458.4</v>
      </c>
      <c r="BL1142" s="84" t="s">
        <v>3158</v>
      </c>
      <c r="BS1142" s="88">
        <v>0</v>
      </c>
      <c r="BV1142" s="89">
        <v>15876</v>
      </c>
      <c r="BW1142" s="89">
        <v>6458.4</v>
      </c>
      <c r="BX1142" s="89">
        <v>43649</v>
      </c>
      <c r="BY1142" s="89">
        <v>9417.6</v>
      </c>
      <c r="BZ1142" s="112">
        <v>59.319727891156461</v>
      </c>
      <c r="CK1142" s="88">
        <v>0</v>
      </c>
    </row>
    <row r="1143" spans="1:89" x14ac:dyDescent="0.15">
      <c r="A1143" s="84">
        <v>1</v>
      </c>
      <c r="B1143" s="85">
        <v>43657</v>
      </c>
      <c r="C1143" s="85">
        <v>43665</v>
      </c>
      <c r="F1143" s="85" t="s">
        <v>338</v>
      </c>
      <c r="H1143" s="85" t="s">
        <v>338</v>
      </c>
      <c r="J1143" s="84">
        <v>2</v>
      </c>
      <c r="L1143" s="84">
        <v>0</v>
      </c>
      <c r="M1143" s="85">
        <v>43649</v>
      </c>
      <c r="N1143" s="85" t="s">
        <v>265</v>
      </c>
      <c r="O1143" s="86" t="s">
        <v>340</v>
      </c>
      <c r="P1143" s="84" t="s">
        <v>269</v>
      </c>
      <c r="Q1143" s="86" t="s">
        <v>209</v>
      </c>
      <c r="R1143" s="86" t="s">
        <v>3212</v>
      </c>
      <c r="S1143" s="87" t="s">
        <v>377</v>
      </c>
      <c r="T1143" s="87" t="s">
        <v>3213</v>
      </c>
      <c r="U1143" s="88">
        <v>66000</v>
      </c>
      <c r="V1143" s="88">
        <v>71280</v>
      </c>
      <c r="W1143" s="88">
        <v>66000</v>
      </c>
      <c r="X1143" s="88">
        <v>71280</v>
      </c>
      <c r="Z1143" s="88">
        <v>0</v>
      </c>
      <c r="AD1143" s="84">
        <v>0</v>
      </c>
      <c r="AG1143" s="84">
        <v>0</v>
      </c>
      <c r="AJ1143" s="84">
        <v>0</v>
      </c>
      <c r="AR1143" s="85">
        <v>43656</v>
      </c>
      <c r="AS1143" s="84">
        <v>6001692345</v>
      </c>
      <c r="AT1143" s="85">
        <v>43656</v>
      </c>
      <c r="AU1143" s="84" t="s">
        <v>3214</v>
      </c>
      <c r="AV1143" s="85">
        <v>43665</v>
      </c>
      <c r="AW1143" s="123">
        <v>43677</v>
      </c>
      <c r="AX1143" s="123">
        <v>43697</v>
      </c>
      <c r="AY1143" s="132">
        <v>63360</v>
      </c>
      <c r="AZ1143" s="132">
        <v>68429</v>
      </c>
      <c r="BC1143" s="88">
        <v>0</v>
      </c>
      <c r="BG1143" s="88">
        <v>0</v>
      </c>
      <c r="BK1143" s="88">
        <v>0</v>
      </c>
      <c r="BS1143" s="88">
        <v>0</v>
      </c>
      <c r="BV1143" s="89">
        <v>71280</v>
      </c>
      <c r="BW1143" s="89">
        <v>0</v>
      </c>
      <c r="BX1143" s="89">
        <v>43649</v>
      </c>
      <c r="BY1143" s="89">
        <v>71280</v>
      </c>
      <c r="BZ1143" s="112">
        <v>100</v>
      </c>
      <c r="CK1143" s="88">
        <v>0</v>
      </c>
    </row>
    <row r="1144" spans="1:89" x14ac:dyDescent="0.15">
      <c r="A1144" s="84">
        <v>2</v>
      </c>
      <c r="B1144" s="85">
        <v>43663</v>
      </c>
      <c r="C1144" s="85">
        <v>43669</v>
      </c>
      <c r="D1144" s="85">
        <v>43706</v>
      </c>
      <c r="E1144" s="85">
        <v>43675</v>
      </c>
      <c r="F1144" s="85">
        <v>43676</v>
      </c>
      <c r="G1144" s="85">
        <v>43668</v>
      </c>
      <c r="H1144" s="85">
        <v>43672</v>
      </c>
      <c r="I1144" s="84" t="s">
        <v>1191</v>
      </c>
      <c r="J1144" s="84">
        <v>1</v>
      </c>
      <c r="L1144" s="84">
        <v>0</v>
      </c>
      <c r="M1144" s="85">
        <v>43649</v>
      </c>
      <c r="N1144" s="85" t="s">
        <v>265</v>
      </c>
      <c r="O1144" s="86" t="s">
        <v>340</v>
      </c>
      <c r="P1144" s="84" t="s">
        <v>26</v>
      </c>
      <c r="Q1144" s="86" t="s">
        <v>209</v>
      </c>
      <c r="R1144" s="86" t="s">
        <v>3215</v>
      </c>
      <c r="S1144" s="87" t="s">
        <v>740</v>
      </c>
      <c r="T1144" s="87" t="s">
        <v>3216</v>
      </c>
      <c r="U1144" s="88">
        <v>166500</v>
      </c>
      <c r="V1144" s="88">
        <v>179820</v>
      </c>
      <c r="W1144" s="88">
        <v>78000</v>
      </c>
      <c r="X1144" s="88">
        <v>84240</v>
      </c>
      <c r="Y1144" s="88">
        <v>88500</v>
      </c>
      <c r="Z1144" s="88">
        <v>95580</v>
      </c>
      <c r="AA1144" s="85">
        <v>43667</v>
      </c>
      <c r="AB1144" s="85">
        <v>43669</v>
      </c>
      <c r="AC1144" s="85">
        <v>43669</v>
      </c>
      <c r="AD1144" s="84">
        <v>0</v>
      </c>
      <c r="AG1144" s="84">
        <v>0</v>
      </c>
      <c r="AJ1144" s="84">
        <v>0</v>
      </c>
      <c r="AM1144" s="84" t="s">
        <v>290</v>
      </c>
      <c r="AN1144" s="84" t="s">
        <v>3217</v>
      </c>
      <c r="AR1144" s="85">
        <v>43657</v>
      </c>
      <c r="AS1144" s="84">
        <v>6001692766</v>
      </c>
      <c r="AT1144" s="85">
        <v>43662</v>
      </c>
      <c r="AU1144" s="84" t="s">
        <v>2964</v>
      </c>
      <c r="AV1144" s="85">
        <v>43669</v>
      </c>
      <c r="AW1144" s="123">
        <v>43677</v>
      </c>
      <c r="AX1144" s="123">
        <v>43697</v>
      </c>
      <c r="AY1144" s="132">
        <v>159840</v>
      </c>
      <c r="AZ1144" s="132">
        <f>ROUNDDOWN(AY1144+(AY1144*MASTER!$A$2/100),0)</f>
        <v>172627</v>
      </c>
      <c r="BA1144" s="84" t="s">
        <v>287</v>
      </c>
      <c r="BB1144" s="88">
        <v>23000</v>
      </c>
      <c r="BC1144" s="88">
        <v>24840</v>
      </c>
      <c r="BD1144" s="84" t="s">
        <v>2849</v>
      </c>
      <c r="BG1144" s="88">
        <v>0</v>
      </c>
      <c r="BI1144" s="84" t="s">
        <v>434</v>
      </c>
      <c r="BJ1144" s="88">
        <v>57525</v>
      </c>
      <c r="BK1144" s="88">
        <v>62127</v>
      </c>
      <c r="BL1144" s="84" t="s">
        <v>2849</v>
      </c>
      <c r="BS1144" s="88">
        <v>0</v>
      </c>
      <c r="BV1144" s="89">
        <v>84240</v>
      </c>
      <c r="BW1144" s="89">
        <v>86967</v>
      </c>
      <c r="BX1144" s="89">
        <v>43649</v>
      </c>
      <c r="BY1144" s="89">
        <v>-2727</v>
      </c>
      <c r="BZ1144" s="112">
        <v>-3.2371794871794877</v>
      </c>
      <c r="CK1144" s="88">
        <v>0</v>
      </c>
    </row>
    <row r="1145" spans="1:89" x14ac:dyDescent="0.15">
      <c r="A1145" s="84">
        <v>2</v>
      </c>
      <c r="B1145" s="85">
        <v>43682</v>
      </c>
      <c r="C1145" s="85">
        <v>43691</v>
      </c>
      <c r="D1145" s="85">
        <v>43712</v>
      </c>
      <c r="E1145" s="85">
        <v>43697</v>
      </c>
      <c r="F1145" s="85">
        <v>43698</v>
      </c>
      <c r="G1145" s="85">
        <v>43696</v>
      </c>
      <c r="H1145" s="85">
        <v>43694</v>
      </c>
      <c r="I1145" s="84" t="s">
        <v>401</v>
      </c>
      <c r="J1145" s="84">
        <v>1</v>
      </c>
      <c r="L1145" s="84">
        <v>0</v>
      </c>
      <c r="M1145" s="85">
        <v>43649</v>
      </c>
      <c r="N1145" s="85" t="s">
        <v>265</v>
      </c>
      <c r="O1145" s="86" t="s">
        <v>340</v>
      </c>
      <c r="P1145" s="84" t="s">
        <v>26</v>
      </c>
      <c r="Q1145" s="86" t="s">
        <v>209</v>
      </c>
      <c r="R1145" s="86" t="s">
        <v>3397</v>
      </c>
      <c r="S1145" s="87" t="s">
        <v>3398</v>
      </c>
      <c r="T1145" s="87" t="s">
        <v>636</v>
      </c>
      <c r="U1145" s="88">
        <v>76200</v>
      </c>
      <c r="V1145" s="88">
        <v>82296</v>
      </c>
      <c r="W1145" s="88">
        <v>47000</v>
      </c>
      <c r="X1145" s="88">
        <v>50760</v>
      </c>
      <c r="Y1145" s="88">
        <v>29200</v>
      </c>
      <c r="Z1145" s="88">
        <v>31536</v>
      </c>
      <c r="AA1145" s="85">
        <v>43690</v>
      </c>
      <c r="AB1145" s="85">
        <v>43691</v>
      </c>
      <c r="AC1145" s="85">
        <v>43691</v>
      </c>
      <c r="AD1145" s="84">
        <v>0</v>
      </c>
      <c r="AG1145" s="84">
        <v>0</v>
      </c>
      <c r="AJ1145" s="84">
        <v>0</v>
      </c>
      <c r="AM1145" s="84" t="s">
        <v>290</v>
      </c>
      <c r="AN1145" s="84" t="s">
        <v>3399</v>
      </c>
      <c r="AR1145" s="85">
        <v>43670</v>
      </c>
      <c r="AS1145" s="84">
        <v>6001697116</v>
      </c>
      <c r="AT1145" s="85">
        <v>43671</v>
      </c>
      <c r="AU1145" s="84" t="s">
        <v>3219</v>
      </c>
      <c r="AV1145" s="85">
        <v>43691</v>
      </c>
      <c r="AW1145" s="123">
        <v>43708</v>
      </c>
      <c r="AX1145" s="123">
        <v>43728</v>
      </c>
      <c r="AY1145" s="132">
        <v>73152</v>
      </c>
      <c r="AZ1145" s="132">
        <f>ROUNDDOWN(AY1145+(AY1145*MASTER!$A$2/100),0)</f>
        <v>79004</v>
      </c>
      <c r="BA1145" s="84" t="s">
        <v>400</v>
      </c>
      <c r="BB1145" s="88">
        <v>28000</v>
      </c>
      <c r="BC1145" s="88">
        <v>30240</v>
      </c>
      <c r="BD1145" s="84" t="s">
        <v>2849</v>
      </c>
      <c r="BG1145" s="88">
        <v>0</v>
      </c>
      <c r="BI1145" s="84" t="s">
        <v>434</v>
      </c>
      <c r="BJ1145" s="88">
        <v>18980</v>
      </c>
      <c r="BK1145" s="88">
        <v>20498.400000000001</v>
      </c>
      <c r="BL1145" s="84" t="s">
        <v>2849</v>
      </c>
      <c r="BS1145" s="88">
        <v>0</v>
      </c>
      <c r="BV1145" s="89">
        <v>50760</v>
      </c>
      <c r="BW1145" s="89">
        <v>50738.400000000001</v>
      </c>
      <c r="BX1145" s="89">
        <v>43649</v>
      </c>
      <c r="BY1145" s="89">
        <v>21.6</v>
      </c>
      <c r="BZ1145" s="112">
        <v>4.2553191489358835E-2</v>
      </c>
      <c r="CK1145" s="88">
        <v>0</v>
      </c>
    </row>
    <row r="1146" spans="1:89" x14ac:dyDescent="0.15">
      <c r="A1146" s="84">
        <v>2</v>
      </c>
      <c r="B1146" s="85">
        <v>43662</v>
      </c>
      <c r="C1146" s="85">
        <v>43672</v>
      </c>
      <c r="D1146" s="85" t="s">
        <v>374</v>
      </c>
      <c r="E1146" s="85">
        <v>43699</v>
      </c>
      <c r="F1146" s="85">
        <v>43679</v>
      </c>
      <c r="G1146" s="85">
        <v>43675</v>
      </c>
      <c r="H1146" s="85">
        <v>43675</v>
      </c>
      <c r="I1146" s="84" t="s">
        <v>1191</v>
      </c>
      <c r="J1146" s="84">
        <v>1</v>
      </c>
      <c r="L1146" s="84">
        <v>0</v>
      </c>
      <c r="M1146" s="85">
        <v>43649</v>
      </c>
      <c r="N1146" s="85" t="s">
        <v>265</v>
      </c>
      <c r="O1146" s="86" t="s">
        <v>340</v>
      </c>
      <c r="P1146" s="84" t="s">
        <v>26</v>
      </c>
      <c r="Q1146" s="86" t="s">
        <v>209</v>
      </c>
      <c r="R1146" s="86" t="s">
        <v>3220</v>
      </c>
      <c r="S1146" s="87" t="s">
        <v>1737</v>
      </c>
      <c r="T1146" s="87" t="s">
        <v>794</v>
      </c>
      <c r="U1146" s="88">
        <v>23900</v>
      </c>
      <c r="V1146" s="88">
        <v>25812</v>
      </c>
      <c r="W1146" s="88">
        <v>14700</v>
      </c>
      <c r="X1146" s="88">
        <v>15876</v>
      </c>
      <c r="Y1146" s="88">
        <v>9200</v>
      </c>
      <c r="Z1146" s="88">
        <v>9936</v>
      </c>
      <c r="AA1146" s="85">
        <v>43670</v>
      </c>
      <c r="AB1146" s="85">
        <v>43672</v>
      </c>
      <c r="AC1146" s="85">
        <v>43672</v>
      </c>
      <c r="AD1146" s="84">
        <v>0</v>
      </c>
      <c r="AG1146" s="84">
        <v>0</v>
      </c>
      <c r="AJ1146" s="84">
        <v>0</v>
      </c>
      <c r="AM1146" s="84" t="s">
        <v>290</v>
      </c>
      <c r="AN1146" s="84" t="s">
        <v>3221</v>
      </c>
      <c r="AR1146" s="85">
        <v>43656</v>
      </c>
      <c r="AS1146" s="84">
        <v>6001692344</v>
      </c>
      <c r="AT1146" s="85">
        <v>43656</v>
      </c>
      <c r="AU1146" s="84" t="s">
        <v>3222</v>
      </c>
      <c r="AV1146" s="85">
        <v>43672</v>
      </c>
      <c r="AW1146" s="123">
        <v>43677</v>
      </c>
      <c r="AX1146" s="123">
        <v>43697</v>
      </c>
      <c r="AY1146" s="132">
        <v>22944</v>
      </c>
      <c r="AZ1146" s="132">
        <v>24780</v>
      </c>
      <c r="BA1146" s="84" t="s">
        <v>778</v>
      </c>
      <c r="BC1146" s="88">
        <v>0</v>
      </c>
      <c r="BG1146" s="88">
        <v>0</v>
      </c>
      <c r="BI1146" s="84" t="s">
        <v>434</v>
      </c>
      <c r="BJ1146" s="88">
        <v>5980</v>
      </c>
      <c r="BK1146" s="88">
        <v>6458.4</v>
      </c>
      <c r="BL1146" s="84" t="s">
        <v>2849</v>
      </c>
      <c r="BS1146" s="88">
        <v>0</v>
      </c>
      <c r="BV1146" s="89">
        <v>15876</v>
      </c>
      <c r="BW1146" s="89">
        <v>6458.4</v>
      </c>
      <c r="BX1146" s="89">
        <v>43649</v>
      </c>
      <c r="BY1146" s="89">
        <v>9417.6</v>
      </c>
      <c r="BZ1146" s="112">
        <v>59.319727891156461</v>
      </c>
      <c r="CK1146" s="88">
        <v>0</v>
      </c>
    </row>
    <row r="1147" spans="1:89" x14ac:dyDescent="0.15">
      <c r="A1147" s="84">
        <v>2</v>
      </c>
      <c r="B1147" s="85">
        <v>43675</v>
      </c>
      <c r="C1147" s="85">
        <v>43687</v>
      </c>
      <c r="D1147" s="85">
        <v>43705</v>
      </c>
      <c r="E1147" s="85">
        <v>43697</v>
      </c>
      <c r="F1147" s="85">
        <v>43694</v>
      </c>
      <c r="G1147" s="85">
        <v>43696</v>
      </c>
      <c r="H1147" s="85">
        <v>43690</v>
      </c>
      <c r="I1147" s="84" t="s">
        <v>401</v>
      </c>
      <c r="J1147" s="84">
        <v>1</v>
      </c>
      <c r="L1147" s="84">
        <v>0</v>
      </c>
      <c r="M1147" s="85">
        <v>43651</v>
      </c>
      <c r="N1147" s="85" t="s">
        <v>265</v>
      </c>
      <c r="O1147" s="86" t="s">
        <v>340</v>
      </c>
      <c r="P1147" s="84" t="s">
        <v>26</v>
      </c>
      <c r="Q1147" s="86" t="s">
        <v>209</v>
      </c>
      <c r="R1147" s="86" t="s">
        <v>3223</v>
      </c>
      <c r="S1147" s="87" t="s">
        <v>1946</v>
      </c>
      <c r="T1147" s="87" t="s">
        <v>1360</v>
      </c>
      <c r="U1147" s="88">
        <v>50000</v>
      </c>
      <c r="V1147" s="88">
        <v>54000</v>
      </c>
      <c r="W1147" s="88">
        <v>47000</v>
      </c>
      <c r="X1147" s="88">
        <v>50760</v>
      </c>
      <c r="Y1147" s="88">
        <v>3000</v>
      </c>
      <c r="Z1147" s="88">
        <v>3240</v>
      </c>
      <c r="AA1147" s="85">
        <v>43686</v>
      </c>
      <c r="AB1147" s="85">
        <v>43687</v>
      </c>
      <c r="AC1147" s="85">
        <v>43687</v>
      </c>
      <c r="AD1147" s="84">
        <v>0</v>
      </c>
      <c r="AG1147" s="84">
        <v>0</v>
      </c>
      <c r="AJ1147" s="84">
        <v>0</v>
      </c>
      <c r="AM1147" s="84" t="s">
        <v>290</v>
      </c>
      <c r="AN1147" s="84" t="s">
        <v>3224</v>
      </c>
      <c r="AR1147" s="85">
        <v>43670</v>
      </c>
      <c r="AS1147" s="84">
        <v>6001696926</v>
      </c>
      <c r="AT1147" s="85">
        <v>43671</v>
      </c>
      <c r="AU1147" s="84" t="s">
        <v>3194</v>
      </c>
      <c r="AV1147" s="85">
        <v>43687</v>
      </c>
      <c r="AW1147" s="123">
        <v>43708</v>
      </c>
      <c r="AX1147" s="123">
        <v>43728</v>
      </c>
      <c r="AY1147" s="132">
        <v>48000</v>
      </c>
      <c r="AZ1147" s="132">
        <f>ROUNDDOWN(AY1147+(AY1147*MASTER!$A$2/100),0)</f>
        <v>51840</v>
      </c>
      <c r="BA1147" s="84" t="s">
        <v>286</v>
      </c>
      <c r="BB1147" s="88">
        <v>26000</v>
      </c>
      <c r="BC1147" s="88">
        <v>28080</v>
      </c>
      <c r="BD1147" s="84" t="s">
        <v>2849</v>
      </c>
      <c r="BG1147" s="88">
        <v>0</v>
      </c>
      <c r="BI1147" s="84" t="s">
        <v>434</v>
      </c>
      <c r="BJ1147" s="88">
        <v>1950</v>
      </c>
      <c r="BK1147" s="88">
        <v>2106</v>
      </c>
      <c r="BL1147" s="84" t="s">
        <v>2849</v>
      </c>
      <c r="BS1147" s="88">
        <v>0</v>
      </c>
      <c r="BV1147" s="89">
        <v>50760</v>
      </c>
      <c r="BW1147" s="89">
        <v>30186</v>
      </c>
      <c r="BX1147" s="89">
        <v>43651</v>
      </c>
      <c r="BY1147" s="89">
        <v>20574</v>
      </c>
      <c r="BZ1147" s="112">
        <v>40.531914893617021</v>
      </c>
      <c r="CK1147" s="88">
        <v>0</v>
      </c>
    </row>
    <row r="1148" spans="1:89" x14ac:dyDescent="0.15">
      <c r="A1148" s="84">
        <v>2</v>
      </c>
      <c r="B1148" s="85">
        <v>43668</v>
      </c>
      <c r="C1148" s="85">
        <v>43671</v>
      </c>
      <c r="D1148" s="85">
        <v>43669</v>
      </c>
      <c r="E1148" s="85">
        <v>43669</v>
      </c>
      <c r="F1148" s="85" t="s">
        <v>338</v>
      </c>
      <c r="G1148" s="85">
        <v>43669</v>
      </c>
      <c r="H1148" s="85" t="s">
        <v>338</v>
      </c>
      <c r="I1148" s="84" t="s">
        <v>380</v>
      </c>
      <c r="J1148" s="84">
        <v>2</v>
      </c>
      <c r="L1148" s="84">
        <v>0</v>
      </c>
      <c r="M1148" s="85">
        <v>43654</v>
      </c>
      <c r="N1148" s="85" t="s">
        <v>265</v>
      </c>
      <c r="O1148" s="86" t="s">
        <v>340</v>
      </c>
      <c r="P1148" s="141" t="s">
        <v>6</v>
      </c>
      <c r="Q1148" s="143" t="s">
        <v>209</v>
      </c>
      <c r="R1148" s="86" t="s">
        <v>3225</v>
      </c>
      <c r="S1148" s="87" t="s">
        <v>1001</v>
      </c>
      <c r="T1148" s="87" t="s">
        <v>342</v>
      </c>
      <c r="U1148" s="88">
        <v>35000</v>
      </c>
      <c r="V1148" s="88">
        <v>37800</v>
      </c>
      <c r="W1148" s="88">
        <v>35000</v>
      </c>
      <c r="X1148" s="88">
        <v>37800</v>
      </c>
      <c r="Z1148" s="88">
        <v>0</v>
      </c>
      <c r="AA1148" s="85">
        <v>43662</v>
      </c>
      <c r="AB1148" s="85">
        <v>43663</v>
      </c>
      <c r="AD1148" s="84">
        <v>0</v>
      </c>
      <c r="AG1148" s="84">
        <v>0</v>
      </c>
      <c r="AJ1148" s="84">
        <v>0</v>
      </c>
      <c r="AR1148" s="85">
        <v>43663</v>
      </c>
      <c r="AS1148" s="84">
        <v>6001694372</v>
      </c>
      <c r="AT1148" s="85">
        <v>43665</v>
      </c>
      <c r="AU1148" s="84" t="s">
        <v>3226</v>
      </c>
      <c r="AV1148" s="85">
        <v>43671</v>
      </c>
      <c r="AW1148" s="123">
        <v>43677</v>
      </c>
      <c r="AX1148" s="123">
        <v>43697</v>
      </c>
      <c r="AY1148" s="132">
        <v>33600</v>
      </c>
      <c r="AZ1148" s="132">
        <f>ROUNDDOWN(AY1148+(AY1148*MASTER!$A$2/100),0)</f>
        <v>36288</v>
      </c>
      <c r="BA1148" s="84" t="s">
        <v>286</v>
      </c>
      <c r="BB1148" s="88">
        <v>28000</v>
      </c>
      <c r="BC1148" s="88">
        <v>30240</v>
      </c>
      <c r="BD1148" s="84" t="s">
        <v>2849</v>
      </c>
      <c r="BG1148" s="88">
        <v>0</v>
      </c>
      <c r="BK1148" s="88">
        <v>0</v>
      </c>
      <c r="BS1148" s="88">
        <v>0</v>
      </c>
      <c r="BV1148" s="89">
        <v>37800</v>
      </c>
      <c r="BW1148" s="89">
        <v>30240</v>
      </c>
      <c r="BX1148" s="89">
        <v>43654</v>
      </c>
      <c r="BY1148" s="89">
        <v>7560</v>
      </c>
      <c r="BZ1148" s="112">
        <v>20</v>
      </c>
    </row>
    <row r="1149" spans="1:89" x14ac:dyDescent="0.15">
      <c r="A1149" s="84">
        <v>2</v>
      </c>
      <c r="B1149" s="85">
        <v>43658</v>
      </c>
      <c r="C1149" s="85">
        <v>43677</v>
      </c>
      <c r="D1149" s="85">
        <v>43705</v>
      </c>
      <c r="E1149" s="85">
        <v>43679</v>
      </c>
      <c r="F1149" s="85">
        <v>43685</v>
      </c>
      <c r="G1149" s="85">
        <v>43678</v>
      </c>
      <c r="H1149" s="85">
        <v>43681</v>
      </c>
      <c r="I1149" s="84" t="s">
        <v>401</v>
      </c>
      <c r="J1149" s="84">
        <v>1</v>
      </c>
      <c r="L1149" s="84">
        <v>0</v>
      </c>
      <c r="M1149" s="85">
        <v>43654</v>
      </c>
      <c r="N1149" s="85" t="s">
        <v>265</v>
      </c>
      <c r="O1149" s="86" t="s">
        <v>340</v>
      </c>
      <c r="P1149" s="84" t="s">
        <v>26</v>
      </c>
      <c r="Q1149" s="86" t="s">
        <v>209</v>
      </c>
      <c r="R1149" s="86" t="s">
        <v>3227</v>
      </c>
      <c r="S1149" s="87" t="s">
        <v>403</v>
      </c>
      <c r="T1149" s="87" t="s">
        <v>2864</v>
      </c>
      <c r="U1149" s="88">
        <v>180000</v>
      </c>
      <c r="V1149" s="88">
        <v>194400</v>
      </c>
      <c r="W1149" s="88">
        <v>115000</v>
      </c>
      <c r="X1149" s="88">
        <v>124200</v>
      </c>
      <c r="Y1149" s="88">
        <v>65000</v>
      </c>
      <c r="Z1149" s="88">
        <v>70200</v>
      </c>
      <c r="AA1149" s="85">
        <v>43677</v>
      </c>
      <c r="AB1149" s="85">
        <v>43678</v>
      </c>
      <c r="AC1149" s="85">
        <v>43678</v>
      </c>
      <c r="AD1149" s="84">
        <v>0</v>
      </c>
      <c r="AG1149" s="84">
        <v>0</v>
      </c>
      <c r="AJ1149" s="84">
        <v>0</v>
      </c>
      <c r="AN1149" s="84" t="s">
        <v>338</v>
      </c>
      <c r="AR1149" s="85">
        <v>43656</v>
      </c>
      <c r="AS1149" s="84">
        <v>6001692344</v>
      </c>
      <c r="AT1149" s="85">
        <v>43656</v>
      </c>
      <c r="AU1149" s="84" t="s">
        <v>3222</v>
      </c>
      <c r="AV1149" s="85">
        <v>43677</v>
      </c>
      <c r="AW1149" s="123">
        <v>43677</v>
      </c>
      <c r="AX1149" s="123">
        <v>43697</v>
      </c>
      <c r="AY1149" s="132">
        <v>172800</v>
      </c>
      <c r="AZ1149" s="132">
        <f>ROUNDDOWN(AY1149+(AY1149*MASTER!$A$2/100),0)</f>
        <v>186624</v>
      </c>
      <c r="BA1149" s="84" t="s">
        <v>543</v>
      </c>
      <c r="BB1149" s="88">
        <v>51000</v>
      </c>
      <c r="BC1149" s="88">
        <v>55080</v>
      </c>
      <c r="BD1149" s="84" t="s">
        <v>2849</v>
      </c>
      <c r="BG1149" s="88">
        <v>0</v>
      </c>
      <c r="BI1149" s="84" t="s">
        <v>434</v>
      </c>
      <c r="BJ1149" s="88">
        <v>42250</v>
      </c>
      <c r="BK1149" s="88">
        <v>45630</v>
      </c>
      <c r="BL1149" s="84" t="s">
        <v>2849</v>
      </c>
      <c r="BS1149" s="88">
        <v>0</v>
      </c>
      <c r="BV1149" s="89">
        <v>124200</v>
      </c>
      <c r="BW1149" s="89">
        <v>100710</v>
      </c>
      <c r="BX1149" s="89">
        <v>43654</v>
      </c>
      <c r="BY1149" s="89">
        <v>23490</v>
      </c>
      <c r="BZ1149" s="112">
        <v>18.913043478260867</v>
      </c>
      <c r="CK1149" s="88">
        <v>0</v>
      </c>
    </row>
    <row r="1150" spans="1:89" x14ac:dyDescent="0.15">
      <c r="A1150" s="84">
        <v>2</v>
      </c>
      <c r="B1150" s="85">
        <v>43668</v>
      </c>
      <c r="C1150" s="85">
        <v>43670</v>
      </c>
      <c r="D1150" s="85" t="s">
        <v>374</v>
      </c>
      <c r="E1150" s="85">
        <v>43671</v>
      </c>
      <c r="F1150" s="85">
        <v>43677</v>
      </c>
      <c r="G1150" s="85">
        <v>43671</v>
      </c>
      <c r="H1150" s="85">
        <v>43673</v>
      </c>
      <c r="I1150" s="84" t="s">
        <v>401</v>
      </c>
      <c r="J1150" s="84">
        <v>1</v>
      </c>
      <c r="L1150" s="84">
        <v>0</v>
      </c>
      <c r="M1150" s="85">
        <v>43655</v>
      </c>
      <c r="N1150" s="85" t="s">
        <v>265</v>
      </c>
      <c r="O1150" s="86" t="s">
        <v>340</v>
      </c>
      <c r="P1150" s="84" t="s">
        <v>26</v>
      </c>
      <c r="Q1150" s="86" t="s">
        <v>209</v>
      </c>
      <c r="R1150" s="86" t="s">
        <v>3228</v>
      </c>
      <c r="S1150" s="87" t="s">
        <v>2621</v>
      </c>
      <c r="T1150" s="87" t="s">
        <v>1331</v>
      </c>
      <c r="U1150" s="88">
        <v>23900</v>
      </c>
      <c r="V1150" s="88">
        <v>25812</v>
      </c>
      <c r="W1150" s="88">
        <v>14700</v>
      </c>
      <c r="X1150" s="88">
        <v>15876</v>
      </c>
      <c r="Y1150" s="88">
        <v>9200</v>
      </c>
      <c r="Z1150" s="88">
        <v>9936</v>
      </c>
      <c r="AA1150" s="85">
        <v>43669</v>
      </c>
      <c r="AB1150" s="85">
        <v>43670</v>
      </c>
      <c r="AC1150" s="85">
        <v>43670</v>
      </c>
      <c r="AD1150" s="84">
        <v>0</v>
      </c>
      <c r="AG1150" s="84">
        <v>0</v>
      </c>
      <c r="AJ1150" s="84">
        <v>0</v>
      </c>
      <c r="AM1150" s="84" t="s">
        <v>290</v>
      </c>
      <c r="AN1150" s="84" t="s">
        <v>3229</v>
      </c>
      <c r="AR1150" s="85">
        <v>43665</v>
      </c>
      <c r="AS1150" s="84">
        <v>6001695314</v>
      </c>
      <c r="AT1150" s="85">
        <v>43665</v>
      </c>
      <c r="AU1150" s="84" t="s">
        <v>3230</v>
      </c>
      <c r="AV1150" s="85">
        <v>43670</v>
      </c>
      <c r="AW1150" s="123">
        <v>43677</v>
      </c>
      <c r="AX1150" s="123">
        <v>43697</v>
      </c>
      <c r="AY1150" s="132">
        <v>22944</v>
      </c>
      <c r="AZ1150" s="132">
        <v>24780</v>
      </c>
      <c r="BA1150" s="84" t="s">
        <v>778</v>
      </c>
      <c r="BC1150" s="88">
        <v>0</v>
      </c>
      <c r="BG1150" s="88">
        <v>0</v>
      </c>
      <c r="BI1150" s="84" t="s">
        <v>276</v>
      </c>
      <c r="BJ1150" s="88">
        <v>5980</v>
      </c>
      <c r="BK1150" s="88">
        <v>6458.4</v>
      </c>
      <c r="BL1150" s="84" t="s">
        <v>3158</v>
      </c>
      <c r="BS1150" s="88">
        <v>0</v>
      </c>
      <c r="BV1150" s="89">
        <v>15876</v>
      </c>
      <c r="BW1150" s="89">
        <v>6458.4</v>
      </c>
      <c r="BX1150" s="89">
        <v>43655</v>
      </c>
      <c r="BY1150" s="89">
        <v>9417.6</v>
      </c>
      <c r="BZ1150" s="112">
        <v>59.319727891156461</v>
      </c>
      <c r="CK1150" s="88">
        <v>0</v>
      </c>
    </row>
    <row r="1151" spans="1:89" x14ac:dyDescent="0.15">
      <c r="A1151" s="84">
        <v>2</v>
      </c>
      <c r="B1151" s="85">
        <v>43686</v>
      </c>
      <c r="C1151" s="85">
        <v>43700</v>
      </c>
      <c r="D1151" s="85">
        <v>43745</v>
      </c>
      <c r="E1151" s="85">
        <v>43705</v>
      </c>
      <c r="F1151" s="85">
        <v>43707</v>
      </c>
      <c r="G1151" s="85">
        <v>43700</v>
      </c>
      <c r="H1151" s="85">
        <v>43703</v>
      </c>
      <c r="I1151" s="84" t="s">
        <v>401</v>
      </c>
      <c r="J1151" s="84">
        <v>2</v>
      </c>
      <c r="L1151" s="84">
        <v>0</v>
      </c>
      <c r="M1151" s="85">
        <v>43655</v>
      </c>
      <c r="N1151" s="85" t="s">
        <v>265</v>
      </c>
      <c r="O1151" s="86" t="s">
        <v>340</v>
      </c>
      <c r="P1151" s="84" t="s">
        <v>26</v>
      </c>
      <c r="Q1151" s="86" t="s">
        <v>209</v>
      </c>
      <c r="R1151" s="86" t="s">
        <v>3408</v>
      </c>
      <c r="S1151" s="87" t="s">
        <v>2765</v>
      </c>
      <c r="T1151" s="87" t="s">
        <v>1573</v>
      </c>
      <c r="U1151" s="88">
        <v>86000</v>
      </c>
      <c r="V1151" s="88">
        <v>92880</v>
      </c>
      <c r="W1151" s="88">
        <v>86000</v>
      </c>
      <c r="X1151" s="88">
        <v>92880</v>
      </c>
      <c r="Z1151" s="88">
        <v>0</v>
      </c>
      <c r="AA1151" s="85">
        <v>43698</v>
      </c>
      <c r="AB1151" s="85">
        <v>43700</v>
      </c>
      <c r="AC1151" s="85">
        <v>43700</v>
      </c>
      <c r="AD1151" s="84">
        <v>0</v>
      </c>
      <c r="AG1151" s="84">
        <v>0</v>
      </c>
      <c r="AJ1151" s="84">
        <v>0</v>
      </c>
      <c r="AM1151" s="84" t="s">
        <v>290</v>
      </c>
      <c r="AN1151" s="84" t="s">
        <v>3409</v>
      </c>
      <c r="AR1151" s="85">
        <v>43671</v>
      </c>
      <c r="AS1151" s="84">
        <v>6001697349</v>
      </c>
      <c r="AT1151" s="85">
        <v>43671</v>
      </c>
      <c r="AU1151" s="84" t="s">
        <v>3231</v>
      </c>
      <c r="AV1151" s="85">
        <v>43700</v>
      </c>
      <c r="AW1151" s="123">
        <v>43708</v>
      </c>
      <c r="AX1151" s="123">
        <v>43728</v>
      </c>
      <c r="AY1151" s="132">
        <v>82560</v>
      </c>
      <c r="AZ1151" s="132">
        <v>89165</v>
      </c>
      <c r="BA1151" s="84" t="s">
        <v>543</v>
      </c>
      <c r="BB1151" s="88">
        <v>37400</v>
      </c>
      <c r="BC1151" s="88">
        <v>40392</v>
      </c>
      <c r="BD1151" s="84" t="s">
        <v>3431</v>
      </c>
      <c r="BG1151" s="88">
        <v>0</v>
      </c>
      <c r="BK1151" s="88">
        <v>0</v>
      </c>
      <c r="BS1151" s="88">
        <v>0</v>
      </c>
      <c r="BV1151" s="89">
        <v>92880</v>
      </c>
      <c r="BW1151" s="89">
        <v>40392</v>
      </c>
      <c r="BX1151" s="89">
        <v>43655</v>
      </c>
      <c r="BY1151" s="89">
        <v>52488</v>
      </c>
      <c r="BZ1151" s="112">
        <v>56.511627906976749</v>
      </c>
      <c r="CK1151" s="88">
        <v>0</v>
      </c>
    </row>
    <row r="1152" spans="1:89" x14ac:dyDescent="0.15">
      <c r="A1152" s="84">
        <v>2</v>
      </c>
      <c r="B1152" s="85">
        <v>43675</v>
      </c>
      <c r="C1152" s="85">
        <v>43684</v>
      </c>
      <c r="D1152" s="85" t="s">
        <v>374</v>
      </c>
      <c r="E1152" s="85">
        <v>43741</v>
      </c>
      <c r="F1152" s="85">
        <v>43691</v>
      </c>
      <c r="G1152" s="85">
        <v>43686</v>
      </c>
      <c r="H1152" s="85">
        <v>43687</v>
      </c>
      <c r="I1152" s="84" t="s">
        <v>401</v>
      </c>
      <c r="J1152" s="84">
        <v>1</v>
      </c>
      <c r="L1152" s="84">
        <v>0</v>
      </c>
      <c r="M1152" s="85">
        <v>43655</v>
      </c>
      <c r="N1152" s="85" t="s">
        <v>265</v>
      </c>
      <c r="O1152" s="86" t="s">
        <v>340</v>
      </c>
      <c r="P1152" s="84" t="s">
        <v>26</v>
      </c>
      <c r="Q1152" s="86" t="s">
        <v>209</v>
      </c>
      <c r="R1152" s="86" t="s">
        <v>3232</v>
      </c>
      <c r="S1152" s="87" t="s">
        <v>2535</v>
      </c>
      <c r="T1152" s="87" t="s">
        <v>721</v>
      </c>
      <c r="U1152" s="88">
        <v>23900</v>
      </c>
      <c r="V1152" s="88">
        <v>25812</v>
      </c>
      <c r="W1152" s="88">
        <v>14700</v>
      </c>
      <c r="X1152" s="88">
        <v>15876</v>
      </c>
      <c r="Y1152" s="88">
        <v>9200</v>
      </c>
      <c r="Z1152" s="88">
        <v>9936</v>
      </c>
      <c r="AA1152" s="85">
        <v>43682</v>
      </c>
      <c r="AB1152" s="85">
        <v>43684</v>
      </c>
      <c r="AC1152" s="85">
        <v>43684</v>
      </c>
      <c r="AD1152" s="84">
        <v>0</v>
      </c>
      <c r="AG1152" s="84">
        <v>0</v>
      </c>
      <c r="AJ1152" s="84">
        <v>0</v>
      </c>
      <c r="AM1152" s="84" t="s">
        <v>290</v>
      </c>
      <c r="AN1152" s="84" t="s">
        <v>3233</v>
      </c>
      <c r="AR1152" s="85">
        <v>43669</v>
      </c>
      <c r="AS1152" s="84">
        <v>6001696219</v>
      </c>
      <c r="AT1152" s="85">
        <v>43670</v>
      </c>
      <c r="AU1152" s="84" t="s">
        <v>3135</v>
      </c>
      <c r="AV1152" s="85">
        <v>43684</v>
      </c>
      <c r="AW1152" s="123">
        <v>43708</v>
      </c>
      <c r="AX1152" s="123">
        <v>43728</v>
      </c>
      <c r="AY1152" s="132">
        <v>22944</v>
      </c>
      <c r="AZ1152" s="132">
        <v>24780</v>
      </c>
      <c r="BA1152" s="84" t="s">
        <v>778</v>
      </c>
      <c r="BC1152" s="88">
        <v>0</v>
      </c>
      <c r="BG1152" s="88">
        <v>0</v>
      </c>
      <c r="BI1152" s="84" t="s">
        <v>434</v>
      </c>
      <c r="BJ1152" s="88">
        <v>5980</v>
      </c>
      <c r="BK1152" s="88">
        <v>6458.4</v>
      </c>
      <c r="BL1152" s="84" t="s">
        <v>2849</v>
      </c>
      <c r="BS1152" s="88">
        <v>0</v>
      </c>
      <c r="BV1152" s="89">
        <v>15876</v>
      </c>
      <c r="BW1152" s="89">
        <v>6458.4</v>
      </c>
      <c r="BX1152" s="89">
        <v>43655</v>
      </c>
      <c r="BY1152" s="89">
        <v>9417.6</v>
      </c>
      <c r="BZ1152" s="112">
        <v>59.319727891156461</v>
      </c>
      <c r="CK1152" s="88">
        <v>0</v>
      </c>
    </row>
    <row r="1153" spans="1:89" x14ac:dyDescent="0.15">
      <c r="A1153" s="84">
        <v>2</v>
      </c>
      <c r="B1153" s="85">
        <v>43662</v>
      </c>
      <c r="C1153" s="85">
        <v>43665</v>
      </c>
      <c r="D1153" s="85">
        <v>43662</v>
      </c>
      <c r="E1153" s="85">
        <v>43662</v>
      </c>
      <c r="F1153" s="85" t="s">
        <v>338</v>
      </c>
      <c r="G1153" s="85">
        <v>43662</v>
      </c>
      <c r="H1153" s="85" t="s">
        <v>338</v>
      </c>
      <c r="I1153" s="84" t="s">
        <v>380</v>
      </c>
      <c r="J1153" s="84">
        <v>2</v>
      </c>
      <c r="L1153" s="84">
        <v>0</v>
      </c>
      <c r="M1153" s="85">
        <v>43655</v>
      </c>
      <c r="N1153" s="85" t="s">
        <v>265</v>
      </c>
      <c r="O1153" s="86" t="s">
        <v>340</v>
      </c>
      <c r="P1153" s="84" t="s">
        <v>6</v>
      </c>
      <c r="Q1153" s="86" t="s">
        <v>209</v>
      </c>
      <c r="R1153" s="86" t="s">
        <v>3234</v>
      </c>
      <c r="S1153" s="87" t="s">
        <v>602</v>
      </c>
      <c r="T1153" s="87" t="s">
        <v>342</v>
      </c>
      <c r="U1153" s="88">
        <v>35000</v>
      </c>
      <c r="V1153" s="88">
        <v>37800</v>
      </c>
      <c r="W1153" s="88">
        <v>35000</v>
      </c>
      <c r="X1153" s="88">
        <v>37800</v>
      </c>
      <c r="Z1153" s="88">
        <v>0</v>
      </c>
      <c r="AA1153" s="85">
        <v>43662</v>
      </c>
      <c r="AB1153" s="85">
        <v>43662</v>
      </c>
      <c r="AD1153" s="84">
        <v>0</v>
      </c>
      <c r="AG1153" s="84">
        <v>0</v>
      </c>
      <c r="AJ1153" s="84">
        <v>0</v>
      </c>
      <c r="AN1153" s="84" t="s">
        <v>338</v>
      </c>
      <c r="AR1153" s="85">
        <v>43658</v>
      </c>
      <c r="AS1153" s="84">
        <v>6001693431</v>
      </c>
      <c r="AT1153" s="85">
        <v>43658</v>
      </c>
      <c r="AU1153" s="84" t="s">
        <v>3188</v>
      </c>
      <c r="AV1153" s="85">
        <v>43665</v>
      </c>
      <c r="AW1153" s="123">
        <v>43677</v>
      </c>
      <c r="AX1153" s="123">
        <v>43697</v>
      </c>
      <c r="AY1153" s="132">
        <v>33600</v>
      </c>
      <c r="AZ1153" s="132">
        <f>ROUNDDOWN(AY1153+(AY1153*MASTER!$A$2/100),0)</f>
        <v>36288</v>
      </c>
      <c r="BA1153" s="84" t="s">
        <v>543</v>
      </c>
      <c r="BB1153" s="88">
        <v>28000</v>
      </c>
      <c r="BC1153" s="88">
        <v>30240</v>
      </c>
      <c r="BD1153" s="84" t="s">
        <v>2637</v>
      </c>
      <c r="BG1153" s="88">
        <v>0</v>
      </c>
      <c r="BK1153" s="88">
        <v>0</v>
      </c>
      <c r="BS1153" s="88">
        <v>0</v>
      </c>
      <c r="BV1153" s="89">
        <v>37800</v>
      </c>
      <c r="BW1153" s="89">
        <v>30240</v>
      </c>
      <c r="BX1153" s="89">
        <v>43655</v>
      </c>
      <c r="BY1153" s="89">
        <v>7560</v>
      </c>
      <c r="BZ1153" s="112">
        <v>20</v>
      </c>
      <c r="CK1153" s="88">
        <v>0</v>
      </c>
    </row>
    <row r="1154" spans="1:89" x14ac:dyDescent="0.15">
      <c r="A1154" s="84">
        <v>2</v>
      </c>
      <c r="B1154" s="85">
        <v>43675</v>
      </c>
      <c r="C1154" s="85">
        <v>43680</v>
      </c>
      <c r="E1154" s="85">
        <v>43699</v>
      </c>
      <c r="F1154" s="85">
        <v>43677</v>
      </c>
      <c r="G1154" s="85">
        <v>43679</v>
      </c>
      <c r="H1154" s="85">
        <v>43673</v>
      </c>
      <c r="I1154" s="84" t="s">
        <v>1191</v>
      </c>
      <c r="J1154" s="84">
        <v>1</v>
      </c>
      <c r="L1154" s="84">
        <v>0</v>
      </c>
      <c r="M1154" s="85">
        <v>43655</v>
      </c>
      <c r="N1154" s="85" t="s">
        <v>265</v>
      </c>
      <c r="O1154" s="86" t="s">
        <v>340</v>
      </c>
      <c r="P1154" s="84" t="s">
        <v>26</v>
      </c>
      <c r="Q1154" s="86" t="s">
        <v>209</v>
      </c>
      <c r="R1154" s="86" t="s">
        <v>3235</v>
      </c>
      <c r="S1154" s="87" t="s">
        <v>1091</v>
      </c>
      <c r="T1154" s="87" t="s">
        <v>1668</v>
      </c>
      <c r="U1154" s="88">
        <v>59000</v>
      </c>
      <c r="V1154" s="88">
        <v>63720</v>
      </c>
      <c r="W1154" s="88">
        <v>47000</v>
      </c>
      <c r="X1154" s="88">
        <v>50760</v>
      </c>
      <c r="Y1154" s="88">
        <v>12000</v>
      </c>
      <c r="Z1154" s="88">
        <v>12960</v>
      </c>
      <c r="AA1154" s="85">
        <v>43668</v>
      </c>
      <c r="AB1154" s="85">
        <v>43670</v>
      </c>
      <c r="AC1154" s="85">
        <v>43670</v>
      </c>
      <c r="AD1154" s="84">
        <v>0</v>
      </c>
      <c r="AG1154" s="84">
        <v>0</v>
      </c>
      <c r="AJ1154" s="84">
        <v>0</v>
      </c>
      <c r="AM1154" s="84" t="s">
        <v>290</v>
      </c>
      <c r="AN1154" s="84" t="s">
        <v>3236</v>
      </c>
      <c r="AR1154" s="85">
        <v>43665</v>
      </c>
      <c r="AS1154" s="84">
        <v>6001695315</v>
      </c>
      <c r="AT1154" s="85">
        <v>43669</v>
      </c>
      <c r="AU1154" s="84" t="s">
        <v>3237</v>
      </c>
      <c r="AV1154" s="85">
        <v>43680</v>
      </c>
      <c r="AW1154" s="123">
        <v>43708</v>
      </c>
      <c r="AX1154" s="123">
        <v>43728</v>
      </c>
      <c r="AY1154" s="132">
        <v>56640</v>
      </c>
      <c r="AZ1154" s="132">
        <f>ROUNDDOWN(AY1154+(AY1154*MASTER!$A$2/100),0)</f>
        <v>61171</v>
      </c>
      <c r="BA1154" s="84" t="s">
        <v>287</v>
      </c>
      <c r="BB1154" s="88">
        <v>26000</v>
      </c>
      <c r="BC1154" s="88">
        <v>28080</v>
      </c>
      <c r="BD1154" s="84" t="s">
        <v>2849</v>
      </c>
      <c r="BG1154" s="88">
        <v>0</v>
      </c>
      <c r="BI1154" s="84" t="s">
        <v>434</v>
      </c>
      <c r="BJ1154" s="88">
        <v>7800</v>
      </c>
      <c r="BK1154" s="88">
        <v>8424</v>
      </c>
      <c r="BL1154" s="84" t="s">
        <v>2849</v>
      </c>
      <c r="BS1154" s="88">
        <v>0</v>
      </c>
      <c r="BV1154" s="89">
        <v>50760</v>
      </c>
      <c r="BW1154" s="89">
        <v>36504</v>
      </c>
      <c r="BX1154" s="89">
        <v>43655</v>
      </c>
      <c r="BY1154" s="89">
        <v>14256</v>
      </c>
      <c r="BZ1154" s="112">
        <v>28.085106382978726</v>
      </c>
      <c r="CK1154" s="88">
        <v>0</v>
      </c>
    </row>
    <row r="1155" spans="1:89" x14ac:dyDescent="0.15">
      <c r="A1155" s="84">
        <v>1</v>
      </c>
      <c r="B1155" s="85">
        <v>43668</v>
      </c>
      <c r="C1155" s="85">
        <v>43668</v>
      </c>
      <c r="F1155" s="85" t="s">
        <v>338</v>
      </c>
      <c r="H1155" s="85" t="s">
        <v>338</v>
      </c>
      <c r="J1155" s="84">
        <v>3</v>
      </c>
      <c r="L1155" s="84">
        <v>0</v>
      </c>
      <c r="M1155" s="85">
        <v>43656</v>
      </c>
      <c r="N1155" s="85" t="s">
        <v>265</v>
      </c>
      <c r="O1155" s="86" t="s">
        <v>340</v>
      </c>
      <c r="P1155" s="84" t="s">
        <v>6</v>
      </c>
      <c r="Q1155" s="86" t="s">
        <v>209</v>
      </c>
      <c r="R1155" s="86" t="s">
        <v>3238</v>
      </c>
      <c r="S1155" s="87" t="s">
        <v>575</v>
      </c>
      <c r="T1155" s="87" t="s">
        <v>2599</v>
      </c>
      <c r="U1155" s="88">
        <v>9000</v>
      </c>
      <c r="V1155" s="88">
        <v>9720</v>
      </c>
      <c r="X1155" s="88">
        <v>0</v>
      </c>
      <c r="Y1155" s="88">
        <v>9000</v>
      </c>
      <c r="Z1155" s="88">
        <v>9720</v>
      </c>
      <c r="AD1155" s="84">
        <v>0</v>
      </c>
      <c r="AG1155" s="84">
        <v>0</v>
      </c>
      <c r="AJ1155" s="84">
        <v>0</v>
      </c>
      <c r="AR1155" s="85">
        <v>43665</v>
      </c>
      <c r="AS1155" s="84">
        <v>6001695314</v>
      </c>
      <c r="AT1155" s="85">
        <v>43665</v>
      </c>
      <c r="AU1155" s="84" t="s">
        <v>3230</v>
      </c>
      <c r="AV1155" s="85">
        <v>43668</v>
      </c>
      <c r="AW1155" s="123">
        <v>43677</v>
      </c>
      <c r="AX1155" s="123">
        <v>43697</v>
      </c>
      <c r="AY1155" s="132">
        <v>8640</v>
      </c>
      <c r="AZ1155" s="132">
        <f>ROUNDDOWN(AY1155+(AY1155*MASTER!$A$2/100),0)</f>
        <v>9331</v>
      </c>
      <c r="BC1155" s="88">
        <v>0</v>
      </c>
      <c r="BG1155" s="88">
        <v>0</v>
      </c>
      <c r="BK1155" s="88">
        <v>0</v>
      </c>
      <c r="BS1155" s="88">
        <v>0</v>
      </c>
      <c r="BV1155" s="89">
        <v>0</v>
      </c>
      <c r="BW1155" s="89">
        <v>0</v>
      </c>
      <c r="BX1155" s="89">
        <v>43656</v>
      </c>
      <c r="BY1155" s="89">
        <v>0</v>
      </c>
      <c r="BZ1155" s="112" t="s">
        <v>338</v>
      </c>
    </row>
    <row r="1156" spans="1:89" x14ac:dyDescent="0.15">
      <c r="A1156" s="84">
        <v>2</v>
      </c>
      <c r="B1156" s="85">
        <v>43678</v>
      </c>
      <c r="C1156" s="85">
        <v>43679</v>
      </c>
      <c r="D1156" s="85">
        <v>43676</v>
      </c>
      <c r="E1156" s="85">
        <v>43676</v>
      </c>
      <c r="F1156" s="85" t="s">
        <v>338</v>
      </c>
      <c r="G1156" s="85">
        <v>43676</v>
      </c>
      <c r="H1156" s="85" t="s">
        <v>338</v>
      </c>
      <c r="I1156" s="84" t="s">
        <v>380</v>
      </c>
      <c r="J1156" s="84">
        <v>2</v>
      </c>
      <c r="L1156" s="84">
        <v>0</v>
      </c>
      <c r="M1156" s="85">
        <v>43656</v>
      </c>
      <c r="N1156" s="85" t="s">
        <v>265</v>
      </c>
      <c r="O1156" s="86" t="s">
        <v>340</v>
      </c>
      <c r="P1156" s="84" t="s">
        <v>6</v>
      </c>
      <c r="Q1156" s="86" t="s">
        <v>209</v>
      </c>
      <c r="R1156" s="86" t="s">
        <v>3239</v>
      </c>
      <c r="S1156" s="87" t="s">
        <v>2734</v>
      </c>
      <c r="T1156" s="87" t="s">
        <v>342</v>
      </c>
      <c r="U1156" s="88">
        <v>35000</v>
      </c>
      <c r="V1156" s="88">
        <v>37800</v>
      </c>
      <c r="W1156" s="88">
        <v>35000</v>
      </c>
      <c r="X1156" s="88">
        <v>37800</v>
      </c>
      <c r="Z1156" s="88">
        <v>0</v>
      </c>
      <c r="AA1156" s="85">
        <v>43673</v>
      </c>
      <c r="AB1156" s="85">
        <v>43673</v>
      </c>
      <c r="AD1156" s="84">
        <v>0</v>
      </c>
      <c r="AG1156" s="84">
        <v>0</v>
      </c>
      <c r="AJ1156" s="84">
        <v>0</v>
      </c>
      <c r="AR1156" s="85">
        <v>43676</v>
      </c>
      <c r="AS1156" s="84">
        <v>6001698276</v>
      </c>
      <c r="AT1156" s="85">
        <v>43677</v>
      </c>
      <c r="AU1156" s="84" t="s">
        <v>3144</v>
      </c>
      <c r="AV1156" s="85">
        <v>43679</v>
      </c>
      <c r="AW1156" s="123">
        <v>43708</v>
      </c>
      <c r="AX1156" s="123">
        <v>43728</v>
      </c>
      <c r="AY1156" s="132">
        <v>33600</v>
      </c>
      <c r="AZ1156" s="132">
        <f>ROUNDDOWN(AY1156+(AY1156*MASTER!$A$2/100),0)</f>
        <v>36288</v>
      </c>
      <c r="BA1156" s="84" t="s">
        <v>543</v>
      </c>
      <c r="BB1156" s="88">
        <v>26000</v>
      </c>
      <c r="BC1156" s="88">
        <v>28080</v>
      </c>
      <c r="BD1156" s="84" t="s">
        <v>2849</v>
      </c>
      <c r="BG1156" s="88">
        <v>0</v>
      </c>
      <c r="BK1156" s="88">
        <v>0</v>
      </c>
      <c r="BS1156" s="88">
        <v>0</v>
      </c>
      <c r="BV1156" s="89">
        <v>37800</v>
      </c>
      <c r="BW1156" s="89">
        <v>28080</v>
      </c>
      <c r="BX1156" s="89">
        <v>43656</v>
      </c>
      <c r="BY1156" s="89">
        <v>9720</v>
      </c>
      <c r="BZ1156" s="112">
        <v>25.714285714285712</v>
      </c>
    </row>
    <row r="1157" spans="1:89" x14ac:dyDescent="0.15">
      <c r="A1157" s="84">
        <v>2</v>
      </c>
      <c r="B1157" s="85">
        <v>43678</v>
      </c>
      <c r="C1157" s="85">
        <v>43686</v>
      </c>
      <c r="D1157" s="85" t="s">
        <v>374</v>
      </c>
      <c r="E1157" s="85">
        <v>43741</v>
      </c>
      <c r="F1157" s="85">
        <v>43693</v>
      </c>
      <c r="G1157" s="85">
        <v>43696</v>
      </c>
      <c r="H1157" s="85">
        <v>43689</v>
      </c>
      <c r="I1157" s="84" t="s">
        <v>1191</v>
      </c>
      <c r="J1157" s="84">
        <v>1</v>
      </c>
      <c r="L1157" s="84">
        <v>0</v>
      </c>
      <c r="M1157" s="85">
        <v>43657</v>
      </c>
      <c r="N1157" s="85" t="s">
        <v>265</v>
      </c>
      <c r="O1157" s="86" t="s">
        <v>340</v>
      </c>
      <c r="P1157" s="84" t="s">
        <v>26</v>
      </c>
      <c r="Q1157" s="86" t="s">
        <v>209</v>
      </c>
      <c r="R1157" s="86" t="s">
        <v>3240</v>
      </c>
      <c r="S1157" s="87" t="s">
        <v>725</v>
      </c>
      <c r="T1157" s="87" t="s">
        <v>3241</v>
      </c>
      <c r="U1157" s="88">
        <v>23900</v>
      </c>
      <c r="V1157" s="88">
        <v>25812</v>
      </c>
      <c r="W1157" s="88">
        <v>14700</v>
      </c>
      <c r="X1157" s="88">
        <v>15876</v>
      </c>
      <c r="Y1157" s="88">
        <v>9200</v>
      </c>
      <c r="Z1157" s="88">
        <v>9936</v>
      </c>
      <c r="AA1157" s="85">
        <v>43684</v>
      </c>
      <c r="AB1157" s="85">
        <v>43686</v>
      </c>
      <c r="AC1157" s="85">
        <v>43686</v>
      </c>
      <c r="AD1157" s="84">
        <v>0</v>
      </c>
      <c r="AG1157" s="84">
        <v>0</v>
      </c>
      <c r="AJ1157" s="84">
        <v>0</v>
      </c>
      <c r="AM1157" s="84" t="s">
        <v>290</v>
      </c>
      <c r="AN1157" s="84" t="s">
        <v>3221</v>
      </c>
      <c r="AR1157" s="85">
        <v>43677</v>
      </c>
      <c r="AS1157" s="84">
        <v>6001698618</v>
      </c>
      <c r="AT1157" s="85">
        <v>43677</v>
      </c>
      <c r="AU1157" s="84" t="s">
        <v>3242</v>
      </c>
      <c r="AV1157" s="85">
        <v>43686</v>
      </c>
      <c r="AW1157" s="123">
        <v>43708</v>
      </c>
      <c r="AX1157" s="123">
        <v>43728</v>
      </c>
      <c r="AY1157" s="132">
        <v>22944</v>
      </c>
      <c r="AZ1157" s="132">
        <v>24780</v>
      </c>
      <c r="BA1157" s="84" t="s">
        <v>778</v>
      </c>
      <c r="BC1157" s="88">
        <v>0</v>
      </c>
      <c r="BG1157" s="88">
        <v>0</v>
      </c>
      <c r="BI1157" s="84" t="s">
        <v>434</v>
      </c>
      <c r="BJ1157" s="88">
        <v>5980</v>
      </c>
      <c r="BK1157" s="88">
        <v>6458.4</v>
      </c>
      <c r="BL1157" s="84" t="s">
        <v>2849</v>
      </c>
      <c r="BS1157" s="88">
        <v>0</v>
      </c>
      <c r="BV1157" s="89">
        <v>15876</v>
      </c>
      <c r="BW1157" s="89">
        <v>6458.4</v>
      </c>
      <c r="BX1157" s="89">
        <v>43657</v>
      </c>
      <c r="BY1157" s="89">
        <v>9417.6</v>
      </c>
      <c r="BZ1157" s="112">
        <v>59.319727891156461</v>
      </c>
      <c r="CK1157" s="88">
        <v>0</v>
      </c>
    </row>
    <row r="1158" spans="1:89" x14ac:dyDescent="0.15">
      <c r="A1158" s="84">
        <v>2</v>
      </c>
      <c r="B1158" s="85">
        <v>43675</v>
      </c>
      <c r="C1158" s="85">
        <v>43686</v>
      </c>
      <c r="D1158" s="85" t="s">
        <v>374</v>
      </c>
      <c r="E1158" s="85">
        <v>43741</v>
      </c>
      <c r="F1158" s="85">
        <v>43693</v>
      </c>
      <c r="G1158" s="85">
        <v>43696</v>
      </c>
      <c r="H1158" s="85">
        <v>43689</v>
      </c>
      <c r="I1158" s="84" t="s">
        <v>1191</v>
      </c>
      <c r="J1158" s="84">
        <v>1</v>
      </c>
      <c r="L1158" s="84">
        <v>0</v>
      </c>
      <c r="M1158" s="85">
        <v>43657</v>
      </c>
      <c r="N1158" s="85" t="s">
        <v>265</v>
      </c>
      <c r="O1158" s="86" t="s">
        <v>340</v>
      </c>
      <c r="P1158" s="84" t="s">
        <v>26</v>
      </c>
      <c r="Q1158" s="86" t="s">
        <v>209</v>
      </c>
      <c r="R1158" s="86" t="s">
        <v>3243</v>
      </c>
      <c r="S1158" s="87" t="s">
        <v>489</v>
      </c>
      <c r="T1158" s="87" t="s">
        <v>794</v>
      </c>
      <c r="U1158" s="88">
        <v>23900</v>
      </c>
      <c r="V1158" s="88">
        <v>25812</v>
      </c>
      <c r="W1158" s="88">
        <v>14700</v>
      </c>
      <c r="X1158" s="88">
        <v>15876</v>
      </c>
      <c r="Y1158" s="88">
        <v>9200</v>
      </c>
      <c r="Z1158" s="88">
        <v>9936</v>
      </c>
      <c r="AA1158" s="85">
        <v>43685</v>
      </c>
      <c r="AB1158" s="85">
        <v>43686</v>
      </c>
      <c r="AC1158" s="85">
        <v>43686</v>
      </c>
      <c r="AD1158" s="84">
        <v>0</v>
      </c>
      <c r="AG1158" s="84">
        <v>0</v>
      </c>
      <c r="AJ1158" s="84">
        <v>0</v>
      </c>
      <c r="AM1158" s="84" t="s">
        <v>290</v>
      </c>
      <c r="AN1158" s="84" t="s">
        <v>3244</v>
      </c>
      <c r="AR1158" s="85">
        <v>43670</v>
      </c>
      <c r="AS1158" s="84">
        <v>6001696926</v>
      </c>
      <c r="AT1158" s="85">
        <v>43671</v>
      </c>
      <c r="AU1158" s="84" t="s">
        <v>3194</v>
      </c>
      <c r="AV1158" s="85">
        <v>43686</v>
      </c>
      <c r="AW1158" s="123">
        <v>43708</v>
      </c>
      <c r="AX1158" s="123">
        <v>43728</v>
      </c>
      <c r="AY1158" s="132">
        <v>22944</v>
      </c>
      <c r="AZ1158" s="132">
        <v>24780</v>
      </c>
      <c r="BA1158" s="84" t="s">
        <v>778</v>
      </c>
      <c r="BC1158" s="88">
        <v>0</v>
      </c>
      <c r="BG1158" s="88">
        <v>0</v>
      </c>
      <c r="BI1158" s="84" t="s">
        <v>434</v>
      </c>
      <c r="BJ1158" s="88">
        <v>5980</v>
      </c>
      <c r="BK1158" s="88">
        <v>6458.4</v>
      </c>
      <c r="BL1158" s="84" t="s">
        <v>2849</v>
      </c>
      <c r="BS1158" s="88">
        <v>0</v>
      </c>
      <c r="BV1158" s="89">
        <v>15876</v>
      </c>
      <c r="BW1158" s="89">
        <v>6458.4</v>
      </c>
      <c r="BX1158" s="89">
        <v>43657</v>
      </c>
      <c r="BY1158" s="89">
        <v>9417.6</v>
      </c>
      <c r="BZ1158" s="112">
        <v>59.319727891156461</v>
      </c>
      <c r="CK1158" s="88">
        <v>0</v>
      </c>
    </row>
    <row r="1159" spans="1:89" x14ac:dyDescent="0.15">
      <c r="A1159" s="84">
        <v>2</v>
      </c>
      <c r="B1159" s="85">
        <v>43675</v>
      </c>
      <c r="C1159" s="85">
        <v>43684</v>
      </c>
      <c r="D1159" s="85">
        <v>43706</v>
      </c>
      <c r="E1159" s="85">
        <v>43699</v>
      </c>
      <c r="F1159" s="85">
        <v>43691</v>
      </c>
      <c r="G1159" s="85">
        <v>43684</v>
      </c>
      <c r="H1159" s="85">
        <v>43687</v>
      </c>
      <c r="I1159" s="84" t="s">
        <v>1191</v>
      </c>
      <c r="J1159" s="84">
        <v>1</v>
      </c>
      <c r="L1159" s="84">
        <v>0</v>
      </c>
      <c r="M1159" s="85">
        <v>43657</v>
      </c>
      <c r="N1159" s="85" t="s">
        <v>265</v>
      </c>
      <c r="O1159" s="86" t="s">
        <v>340</v>
      </c>
      <c r="P1159" s="84" t="s">
        <v>26</v>
      </c>
      <c r="Q1159" s="86" t="s">
        <v>209</v>
      </c>
      <c r="R1159" s="86" t="s">
        <v>3245</v>
      </c>
      <c r="S1159" s="87" t="s">
        <v>740</v>
      </c>
      <c r="T1159" s="87" t="s">
        <v>3246</v>
      </c>
      <c r="U1159" s="88">
        <v>50000</v>
      </c>
      <c r="V1159" s="88">
        <v>54000</v>
      </c>
      <c r="W1159" s="88">
        <v>47000</v>
      </c>
      <c r="X1159" s="88">
        <v>50760</v>
      </c>
      <c r="Y1159" s="88">
        <v>3000</v>
      </c>
      <c r="Z1159" s="88">
        <v>3240</v>
      </c>
      <c r="AA1159" s="85">
        <v>43682</v>
      </c>
      <c r="AB1159" s="85">
        <v>43684</v>
      </c>
      <c r="AC1159" s="85">
        <v>43684</v>
      </c>
      <c r="AD1159" s="84">
        <v>0</v>
      </c>
      <c r="AG1159" s="84">
        <v>0</v>
      </c>
      <c r="AJ1159" s="84">
        <v>0</v>
      </c>
      <c r="AM1159" s="84" t="s">
        <v>290</v>
      </c>
      <c r="AN1159" s="84" t="s">
        <v>3247</v>
      </c>
      <c r="AR1159" s="85">
        <v>43669</v>
      </c>
      <c r="AS1159" s="84">
        <v>6001696219</v>
      </c>
      <c r="AT1159" s="85">
        <v>43670</v>
      </c>
      <c r="AU1159" s="84" t="s">
        <v>3135</v>
      </c>
      <c r="AV1159" s="85">
        <v>43684</v>
      </c>
      <c r="AW1159" s="123">
        <v>43708</v>
      </c>
      <c r="AX1159" s="123">
        <v>43728</v>
      </c>
      <c r="AY1159" s="132">
        <v>48000</v>
      </c>
      <c r="AZ1159" s="132">
        <f>ROUNDDOWN(AY1159+(AY1159*MASTER!$A$2/100),0)</f>
        <v>51840</v>
      </c>
      <c r="BA1159" s="84" t="s">
        <v>287</v>
      </c>
      <c r="BB1159" s="88">
        <v>21000</v>
      </c>
      <c r="BC1159" s="88">
        <v>22680</v>
      </c>
      <c r="BD1159" s="84" t="s">
        <v>2849</v>
      </c>
      <c r="BG1159" s="88">
        <v>0</v>
      </c>
      <c r="BI1159" s="84" t="s">
        <v>434</v>
      </c>
      <c r="BJ1159" s="88">
        <v>1950</v>
      </c>
      <c r="BK1159" s="88">
        <v>2106</v>
      </c>
      <c r="BL1159" s="84" t="s">
        <v>2849</v>
      </c>
      <c r="BS1159" s="88">
        <v>0</v>
      </c>
      <c r="BV1159" s="89">
        <v>50760</v>
      </c>
      <c r="BW1159" s="89">
        <v>24786</v>
      </c>
      <c r="BX1159" s="89">
        <v>43657</v>
      </c>
      <c r="BY1159" s="89">
        <v>25974</v>
      </c>
      <c r="BZ1159" s="112">
        <v>51.170212765957444</v>
      </c>
      <c r="CK1159" s="88">
        <v>0</v>
      </c>
    </row>
    <row r="1160" spans="1:89" x14ac:dyDescent="0.15">
      <c r="A1160" s="84">
        <v>2</v>
      </c>
      <c r="B1160" s="85">
        <v>43675</v>
      </c>
      <c r="C1160" s="85">
        <v>43684</v>
      </c>
      <c r="D1160" s="85">
        <v>43705</v>
      </c>
      <c r="E1160" s="85">
        <v>43686</v>
      </c>
      <c r="F1160" s="85">
        <v>43691</v>
      </c>
      <c r="G1160" s="85">
        <v>43684</v>
      </c>
      <c r="H1160" s="85">
        <v>43687</v>
      </c>
      <c r="I1160" s="84" t="s">
        <v>401</v>
      </c>
      <c r="J1160" s="84">
        <v>1</v>
      </c>
      <c r="L1160" s="84">
        <v>0</v>
      </c>
      <c r="M1160" s="85">
        <v>43657</v>
      </c>
      <c r="N1160" s="85" t="s">
        <v>265</v>
      </c>
      <c r="O1160" s="86" t="s">
        <v>340</v>
      </c>
      <c r="P1160" s="84" t="s">
        <v>26</v>
      </c>
      <c r="Q1160" s="86" t="s">
        <v>209</v>
      </c>
      <c r="R1160" s="86" t="s">
        <v>3248</v>
      </c>
      <c r="S1160" s="87" t="s">
        <v>598</v>
      </c>
      <c r="T1160" s="87" t="s">
        <v>3249</v>
      </c>
      <c r="U1160" s="88">
        <v>50000</v>
      </c>
      <c r="V1160" s="88">
        <v>54000</v>
      </c>
      <c r="W1160" s="88">
        <v>47000</v>
      </c>
      <c r="X1160" s="88">
        <v>50760</v>
      </c>
      <c r="Y1160" s="88">
        <v>3000</v>
      </c>
      <c r="Z1160" s="88">
        <v>3240</v>
      </c>
      <c r="AA1160" s="85">
        <v>43682</v>
      </c>
      <c r="AB1160" s="85">
        <v>43684</v>
      </c>
      <c r="AC1160" s="85">
        <v>43684</v>
      </c>
      <c r="AD1160" s="84">
        <v>0</v>
      </c>
      <c r="AG1160" s="84">
        <v>0</v>
      </c>
      <c r="AJ1160" s="84">
        <v>0</v>
      </c>
      <c r="AM1160" s="84" t="s">
        <v>290</v>
      </c>
      <c r="AN1160" s="84" t="s">
        <v>3250</v>
      </c>
      <c r="AR1160" s="85">
        <v>43670</v>
      </c>
      <c r="AS1160" s="84">
        <v>6001696926</v>
      </c>
      <c r="AT1160" s="85">
        <v>43671</v>
      </c>
      <c r="AU1160" s="84" t="s">
        <v>3194</v>
      </c>
      <c r="AV1160" s="85">
        <v>43684</v>
      </c>
      <c r="AW1160" s="123">
        <v>43708</v>
      </c>
      <c r="AX1160" s="123">
        <v>43728</v>
      </c>
      <c r="AY1160" s="132">
        <v>48000</v>
      </c>
      <c r="AZ1160" s="132">
        <f>ROUNDDOWN(AY1160+(AY1160*MASTER!$A$2/100),0)</f>
        <v>51840</v>
      </c>
      <c r="BA1160" s="84" t="s">
        <v>543</v>
      </c>
      <c r="BB1160" s="88">
        <v>32000</v>
      </c>
      <c r="BC1160" s="88">
        <v>34560</v>
      </c>
      <c r="BD1160" s="84" t="s">
        <v>2849</v>
      </c>
      <c r="BG1160" s="88">
        <v>0</v>
      </c>
      <c r="BI1160" s="84" t="s">
        <v>434</v>
      </c>
      <c r="BJ1160" s="88">
        <v>1950</v>
      </c>
      <c r="BK1160" s="88">
        <v>2106</v>
      </c>
      <c r="BL1160" s="84" t="s">
        <v>2849</v>
      </c>
      <c r="BS1160" s="88">
        <v>0</v>
      </c>
      <c r="BV1160" s="89">
        <v>50760</v>
      </c>
      <c r="BW1160" s="89">
        <v>36666</v>
      </c>
      <c r="BX1160" s="89">
        <v>43657</v>
      </c>
      <c r="BY1160" s="89">
        <v>14094</v>
      </c>
      <c r="BZ1160" s="112">
        <v>27.76595744680851</v>
      </c>
      <c r="CK1160" s="88">
        <v>0</v>
      </c>
    </row>
    <row r="1161" spans="1:89" s="151" customFormat="1" x14ac:dyDescent="0.15">
      <c r="A1161" s="141">
        <v>3</v>
      </c>
      <c r="B1161" s="142"/>
      <c r="C1161" s="142" t="s">
        <v>338</v>
      </c>
      <c r="D1161" s="142"/>
      <c r="E1161" s="142"/>
      <c r="F1161" s="142" t="s">
        <v>338</v>
      </c>
      <c r="G1161" s="142"/>
      <c r="H1161" s="142" t="s">
        <v>338</v>
      </c>
      <c r="I1161" s="141"/>
      <c r="J1161" s="141">
        <v>3</v>
      </c>
      <c r="K1161" s="142"/>
      <c r="L1161" s="141">
        <v>0</v>
      </c>
      <c r="M1161" s="142">
        <v>43657</v>
      </c>
      <c r="N1161" s="142" t="s">
        <v>265</v>
      </c>
      <c r="O1161" s="143" t="s">
        <v>340</v>
      </c>
      <c r="P1161" s="141" t="s">
        <v>6</v>
      </c>
      <c r="Q1161" s="143" t="s">
        <v>209</v>
      </c>
      <c r="R1161" s="143" t="s">
        <v>3251</v>
      </c>
      <c r="S1161" s="144" t="s">
        <v>598</v>
      </c>
      <c r="T1161" s="144" t="s">
        <v>2136</v>
      </c>
      <c r="U1161" s="145">
        <v>15000</v>
      </c>
      <c r="V1161" s="145">
        <v>16200</v>
      </c>
      <c r="W1161" s="145">
        <v>0</v>
      </c>
      <c r="X1161" s="145">
        <v>0</v>
      </c>
      <c r="Y1161" s="145">
        <v>15000</v>
      </c>
      <c r="Z1161" s="145">
        <v>16200</v>
      </c>
      <c r="AA1161" s="142"/>
      <c r="AB1161" s="142"/>
      <c r="AC1161" s="142"/>
      <c r="AD1161" s="141">
        <v>0</v>
      </c>
      <c r="AE1161" s="141"/>
      <c r="AF1161" s="141"/>
      <c r="AG1161" s="141">
        <v>0</v>
      </c>
      <c r="AH1161" s="141"/>
      <c r="AI1161" s="141"/>
      <c r="AJ1161" s="141">
        <v>0</v>
      </c>
      <c r="AK1161" s="141"/>
      <c r="AL1161" s="141"/>
      <c r="AM1161" s="141"/>
      <c r="AN1161" s="141"/>
      <c r="AO1161" s="142"/>
      <c r="AP1161" s="141"/>
      <c r="AQ1161" s="141"/>
      <c r="AR1161" s="142"/>
      <c r="AS1161" s="141"/>
      <c r="AT1161" s="142"/>
      <c r="AU1161" s="141"/>
      <c r="AV1161" s="142"/>
      <c r="AW1161" s="146"/>
      <c r="AX1161" s="146"/>
      <c r="AY1161" s="147">
        <v>14400</v>
      </c>
      <c r="AZ1161" s="132">
        <f>ROUNDDOWN(AY1161+(AY1161*MASTER!$A$2/100),0)</f>
        <v>15552</v>
      </c>
      <c r="BA1161" s="141"/>
      <c r="BB1161" s="145"/>
      <c r="BC1161" s="145">
        <v>0</v>
      </c>
      <c r="BD1161" s="141"/>
      <c r="BE1161" s="141"/>
      <c r="BF1161" s="145"/>
      <c r="BG1161" s="145">
        <v>0</v>
      </c>
      <c r="BH1161" s="141"/>
      <c r="BI1161" s="141"/>
      <c r="BJ1161" s="145"/>
      <c r="BK1161" s="145">
        <v>0</v>
      </c>
      <c r="BL1161" s="141"/>
      <c r="BM1161" s="145"/>
      <c r="BN1161" s="145"/>
      <c r="BO1161" s="145"/>
      <c r="BP1161" s="145"/>
      <c r="BQ1161" s="145"/>
      <c r="BR1161" s="145"/>
      <c r="BS1161" s="145">
        <v>0</v>
      </c>
      <c r="BT1161" s="148"/>
      <c r="BU1161" s="148"/>
      <c r="BV1161" s="149">
        <v>0</v>
      </c>
      <c r="BW1161" s="149">
        <v>0</v>
      </c>
      <c r="BX1161" s="149">
        <v>43657</v>
      </c>
      <c r="BY1161" s="149">
        <v>0</v>
      </c>
      <c r="BZ1161" s="150" t="s">
        <v>338</v>
      </c>
      <c r="CA1161" s="141"/>
      <c r="CB1161" s="141"/>
      <c r="CC1161" s="141"/>
      <c r="CD1161" s="144" t="s">
        <v>3252</v>
      </c>
      <c r="CE1161" s="142"/>
      <c r="CF1161" s="142"/>
      <c r="CG1161" s="142"/>
      <c r="CH1161" s="142"/>
      <c r="CI1161" s="142"/>
      <c r="CJ1161" s="142"/>
      <c r="CK1161" s="145"/>
    </row>
    <row r="1162" spans="1:89" x14ac:dyDescent="0.15">
      <c r="A1162" s="84">
        <v>2</v>
      </c>
      <c r="B1162" s="85">
        <v>43668</v>
      </c>
      <c r="C1162" s="85">
        <v>43665</v>
      </c>
      <c r="D1162" s="85">
        <v>43662</v>
      </c>
      <c r="E1162" s="85">
        <v>43662</v>
      </c>
      <c r="F1162" s="85" t="s">
        <v>338</v>
      </c>
      <c r="G1162" s="85">
        <v>43662</v>
      </c>
      <c r="H1162" s="85" t="s">
        <v>338</v>
      </c>
      <c r="I1162" s="84" t="s">
        <v>380</v>
      </c>
      <c r="J1162" s="84">
        <v>2</v>
      </c>
      <c r="L1162" s="84">
        <v>0</v>
      </c>
      <c r="M1162" s="85">
        <v>43657</v>
      </c>
      <c r="N1162" s="85" t="s">
        <v>265</v>
      </c>
      <c r="O1162" s="86" t="s">
        <v>340</v>
      </c>
      <c r="P1162" s="84" t="s">
        <v>6</v>
      </c>
      <c r="Q1162" s="86" t="s">
        <v>209</v>
      </c>
      <c r="R1162" s="86" t="s">
        <v>3253</v>
      </c>
      <c r="S1162" s="87" t="s">
        <v>1060</v>
      </c>
      <c r="T1162" s="87" t="s">
        <v>342</v>
      </c>
      <c r="U1162" s="88">
        <v>35000</v>
      </c>
      <c r="V1162" s="88">
        <v>37800</v>
      </c>
      <c r="W1162" s="88">
        <v>35000</v>
      </c>
      <c r="X1162" s="88">
        <v>37800</v>
      </c>
      <c r="Z1162" s="88">
        <v>0</v>
      </c>
      <c r="AA1162" s="85">
        <v>43658</v>
      </c>
      <c r="AB1162" s="85">
        <v>43659</v>
      </c>
      <c r="AD1162" s="84">
        <v>0</v>
      </c>
      <c r="AG1162" s="84">
        <v>0</v>
      </c>
      <c r="AJ1162" s="84">
        <v>0</v>
      </c>
      <c r="AR1162" s="85">
        <v>43663</v>
      </c>
      <c r="AS1162" s="84">
        <v>6001694372</v>
      </c>
      <c r="AT1162" s="85">
        <v>43665</v>
      </c>
      <c r="AU1162" s="84" t="s">
        <v>3226</v>
      </c>
      <c r="AV1162" s="85">
        <v>43665</v>
      </c>
      <c r="AW1162" s="123">
        <v>43677</v>
      </c>
      <c r="AX1162" s="123">
        <v>43697</v>
      </c>
      <c r="AY1162" s="132">
        <v>33600</v>
      </c>
      <c r="AZ1162" s="132">
        <f>ROUNDDOWN(AY1162+(AY1162*MASTER!$A$2/100),0)</f>
        <v>36288</v>
      </c>
      <c r="BA1162" s="84" t="s">
        <v>778</v>
      </c>
      <c r="BC1162" s="88">
        <v>0</v>
      </c>
      <c r="BG1162" s="88">
        <v>0</v>
      </c>
      <c r="BK1162" s="88">
        <v>0</v>
      </c>
      <c r="BS1162" s="88">
        <v>0</v>
      </c>
      <c r="BV1162" s="89">
        <v>37800</v>
      </c>
      <c r="BW1162" s="89">
        <v>0</v>
      </c>
      <c r="BX1162" s="89">
        <v>43657</v>
      </c>
      <c r="BY1162" s="89">
        <v>37800</v>
      </c>
      <c r="BZ1162" s="112">
        <v>100</v>
      </c>
    </row>
    <row r="1163" spans="1:89" x14ac:dyDescent="0.15">
      <c r="A1163" s="84">
        <v>2</v>
      </c>
      <c r="B1163" s="85">
        <v>43670</v>
      </c>
      <c r="C1163" s="85">
        <v>43668</v>
      </c>
      <c r="D1163" s="85">
        <v>43662</v>
      </c>
      <c r="E1163" s="85">
        <v>43662</v>
      </c>
      <c r="F1163" s="85" t="s">
        <v>338</v>
      </c>
      <c r="G1163" s="85">
        <v>43662</v>
      </c>
      <c r="H1163" s="85" t="s">
        <v>338</v>
      </c>
      <c r="I1163" s="84" t="s">
        <v>380</v>
      </c>
      <c r="J1163" s="84">
        <v>2</v>
      </c>
      <c r="L1163" s="84">
        <v>0</v>
      </c>
      <c r="M1163" s="85">
        <v>43658</v>
      </c>
      <c r="N1163" s="85" t="s">
        <v>265</v>
      </c>
      <c r="O1163" s="86" t="s">
        <v>340</v>
      </c>
      <c r="P1163" s="84" t="s">
        <v>6</v>
      </c>
      <c r="Q1163" s="86" t="s">
        <v>209</v>
      </c>
      <c r="R1163" s="86" t="s">
        <v>3254</v>
      </c>
      <c r="S1163" s="87" t="s">
        <v>1467</v>
      </c>
      <c r="T1163" s="87" t="s">
        <v>342</v>
      </c>
      <c r="U1163" s="88">
        <v>35000</v>
      </c>
      <c r="V1163" s="88">
        <v>37800</v>
      </c>
      <c r="W1163" s="88">
        <v>35000</v>
      </c>
      <c r="X1163" s="88">
        <v>37800</v>
      </c>
      <c r="Z1163" s="88">
        <v>0</v>
      </c>
      <c r="AA1163" s="85">
        <v>43658</v>
      </c>
      <c r="AB1163" s="85">
        <v>43658</v>
      </c>
      <c r="AD1163" s="84">
        <v>0</v>
      </c>
      <c r="AG1163" s="84">
        <v>0</v>
      </c>
      <c r="AJ1163" s="84">
        <v>0</v>
      </c>
      <c r="AN1163" s="84" t="s">
        <v>338</v>
      </c>
      <c r="AR1163" s="85">
        <v>43665</v>
      </c>
      <c r="AS1163" s="84">
        <v>6001695315</v>
      </c>
      <c r="AT1163" s="85">
        <v>43669</v>
      </c>
      <c r="AU1163" s="84" t="s">
        <v>3237</v>
      </c>
      <c r="AV1163" s="85">
        <v>43668</v>
      </c>
      <c r="AW1163" s="123">
        <v>43677</v>
      </c>
      <c r="AX1163" s="123">
        <v>43697</v>
      </c>
      <c r="AY1163" s="132">
        <v>33600</v>
      </c>
      <c r="AZ1163" s="132">
        <f>ROUNDDOWN(AY1163+(AY1163*MASTER!$A$2/100),0)</f>
        <v>36288</v>
      </c>
      <c r="BA1163" s="84" t="s">
        <v>286</v>
      </c>
      <c r="BB1163" s="88">
        <v>26000</v>
      </c>
      <c r="BC1163" s="88">
        <v>28080</v>
      </c>
      <c r="BD1163" s="84" t="s">
        <v>2637</v>
      </c>
      <c r="BG1163" s="88">
        <v>0</v>
      </c>
      <c r="BK1163" s="88">
        <v>0</v>
      </c>
      <c r="BS1163" s="88">
        <v>0</v>
      </c>
      <c r="BV1163" s="89">
        <v>37800</v>
      </c>
      <c r="BW1163" s="89">
        <v>28080</v>
      </c>
      <c r="BX1163" s="89">
        <v>43658</v>
      </c>
      <c r="BY1163" s="89">
        <v>9720</v>
      </c>
      <c r="BZ1163" s="112">
        <v>25.714285714285712</v>
      </c>
      <c r="CK1163" s="88">
        <v>0</v>
      </c>
    </row>
    <row r="1164" spans="1:89" x14ac:dyDescent="0.15">
      <c r="A1164" s="84">
        <v>1</v>
      </c>
      <c r="B1164" s="85">
        <v>43658</v>
      </c>
      <c r="C1164" s="85">
        <v>43662</v>
      </c>
      <c r="F1164" s="85" t="s">
        <v>338</v>
      </c>
      <c r="H1164" s="85" t="s">
        <v>338</v>
      </c>
      <c r="J1164" s="84">
        <v>2</v>
      </c>
      <c r="L1164" s="84">
        <v>0</v>
      </c>
      <c r="M1164" s="85">
        <v>43658</v>
      </c>
      <c r="N1164" s="85" t="s">
        <v>265</v>
      </c>
      <c r="O1164" s="86" t="s">
        <v>340</v>
      </c>
      <c r="P1164" s="84" t="s">
        <v>272</v>
      </c>
      <c r="Q1164" s="86" t="s">
        <v>209</v>
      </c>
      <c r="R1164" s="86" t="s">
        <v>3255</v>
      </c>
      <c r="S1164" s="87" t="s">
        <v>351</v>
      </c>
      <c r="T1164" s="87" t="s">
        <v>3256</v>
      </c>
      <c r="U1164" s="88">
        <v>6300</v>
      </c>
      <c r="V1164" s="88">
        <v>6804</v>
      </c>
      <c r="W1164" s="88">
        <v>6300</v>
      </c>
      <c r="X1164" s="88">
        <v>6804</v>
      </c>
      <c r="Z1164" s="88">
        <v>0</v>
      </c>
      <c r="AD1164" s="84">
        <v>0</v>
      </c>
      <c r="AG1164" s="84">
        <v>0</v>
      </c>
      <c r="AJ1164" s="84">
        <v>0</v>
      </c>
      <c r="AR1164" s="85">
        <v>43658</v>
      </c>
      <c r="AS1164" s="84">
        <v>6001693175</v>
      </c>
      <c r="AT1164" s="85">
        <v>43658</v>
      </c>
      <c r="AU1164" s="84" t="s">
        <v>3257</v>
      </c>
      <c r="AV1164" s="85">
        <v>43662</v>
      </c>
      <c r="AW1164" s="123">
        <v>43677</v>
      </c>
      <c r="AX1164" s="123">
        <v>43697</v>
      </c>
      <c r="AY1164" s="132">
        <v>6040</v>
      </c>
      <c r="AZ1164" s="132">
        <f>ROUNDDOWN(AY1164+(AY1164*MASTER!$A$2/100),0)</f>
        <v>6523</v>
      </c>
      <c r="BC1164" s="88">
        <v>0</v>
      </c>
      <c r="BG1164" s="88">
        <v>0</v>
      </c>
      <c r="BK1164" s="88">
        <v>0</v>
      </c>
      <c r="BS1164" s="88">
        <v>0</v>
      </c>
      <c r="BV1164" s="89">
        <v>6804</v>
      </c>
      <c r="BW1164" s="89">
        <v>0</v>
      </c>
      <c r="BX1164" s="89">
        <v>43658</v>
      </c>
      <c r="BY1164" s="89">
        <v>6804</v>
      </c>
      <c r="BZ1164" s="112">
        <v>100</v>
      </c>
      <c r="CD1164" s="87" t="s">
        <v>867</v>
      </c>
      <c r="CK1164" s="88">
        <v>0</v>
      </c>
    </row>
    <row r="1165" spans="1:89" x14ac:dyDescent="0.15">
      <c r="A1165" s="84">
        <v>2</v>
      </c>
      <c r="B1165" s="85">
        <v>43668</v>
      </c>
      <c r="C1165" s="85">
        <v>43668</v>
      </c>
      <c r="D1165" s="85">
        <v>43662</v>
      </c>
      <c r="E1165" s="85">
        <v>43662</v>
      </c>
      <c r="F1165" s="85" t="s">
        <v>338</v>
      </c>
      <c r="G1165" s="85">
        <v>43662</v>
      </c>
      <c r="H1165" s="85" t="s">
        <v>338</v>
      </c>
      <c r="I1165" s="84" t="s">
        <v>380</v>
      </c>
      <c r="J1165" s="84">
        <v>2</v>
      </c>
      <c r="L1165" s="84">
        <v>0</v>
      </c>
      <c r="M1165" s="85">
        <v>43658</v>
      </c>
      <c r="N1165" s="85" t="s">
        <v>265</v>
      </c>
      <c r="O1165" s="86" t="s">
        <v>340</v>
      </c>
      <c r="P1165" s="84" t="s">
        <v>6</v>
      </c>
      <c r="Q1165" s="86" t="s">
        <v>209</v>
      </c>
      <c r="R1165" s="86" t="s">
        <v>3258</v>
      </c>
      <c r="S1165" s="87" t="s">
        <v>709</v>
      </c>
      <c r="T1165" s="87" t="s">
        <v>342</v>
      </c>
      <c r="U1165" s="88">
        <v>35000</v>
      </c>
      <c r="V1165" s="88">
        <v>37800</v>
      </c>
      <c r="W1165" s="88">
        <v>35000</v>
      </c>
      <c r="X1165" s="88">
        <v>37800</v>
      </c>
      <c r="Z1165" s="88">
        <v>0</v>
      </c>
      <c r="AA1165" s="85">
        <v>43659</v>
      </c>
      <c r="AB1165" s="85">
        <v>43660</v>
      </c>
      <c r="AD1165" s="84">
        <v>0</v>
      </c>
      <c r="AG1165" s="84">
        <v>0</v>
      </c>
      <c r="AJ1165" s="84">
        <v>0</v>
      </c>
      <c r="AN1165" s="84" t="s">
        <v>338</v>
      </c>
      <c r="AR1165" s="85">
        <v>43665</v>
      </c>
      <c r="AS1165" s="84">
        <v>6001695314</v>
      </c>
      <c r="AT1165" s="85">
        <v>43665</v>
      </c>
      <c r="AU1165" s="84" t="s">
        <v>3230</v>
      </c>
      <c r="AV1165" s="85">
        <v>43668</v>
      </c>
      <c r="AW1165" s="123">
        <v>43677</v>
      </c>
      <c r="AX1165" s="123">
        <v>43697</v>
      </c>
      <c r="AY1165" s="132">
        <v>33600</v>
      </c>
      <c r="AZ1165" s="132">
        <f>ROUNDDOWN(AY1165+(AY1165*MASTER!$A$2/100),0)</f>
        <v>36288</v>
      </c>
      <c r="BA1165" s="84" t="s">
        <v>543</v>
      </c>
      <c r="BB1165" s="88">
        <v>21000</v>
      </c>
      <c r="BC1165" s="88">
        <v>22680</v>
      </c>
      <c r="BD1165" s="84" t="s">
        <v>2637</v>
      </c>
      <c r="BG1165" s="88">
        <v>0</v>
      </c>
      <c r="BK1165" s="88">
        <v>0</v>
      </c>
      <c r="BS1165" s="88">
        <v>0</v>
      </c>
      <c r="BV1165" s="89">
        <v>37800</v>
      </c>
      <c r="BW1165" s="89">
        <v>22680</v>
      </c>
      <c r="BX1165" s="89">
        <v>43658</v>
      </c>
      <c r="BY1165" s="89">
        <v>15120</v>
      </c>
      <c r="BZ1165" s="112">
        <v>40</v>
      </c>
      <c r="CK1165" s="88">
        <v>0</v>
      </c>
    </row>
    <row r="1166" spans="1:89" x14ac:dyDescent="0.15">
      <c r="A1166" s="84">
        <v>2</v>
      </c>
      <c r="B1166" s="85">
        <v>43678</v>
      </c>
      <c r="C1166" s="85">
        <v>43686</v>
      </c>
      <c r="D1166" s="85">
        <v>43712</v>
      </c>
      <c r="E1166" s="85">
        <v>43697</v>
      </c>
      <c r="F1166" s="85">
        <v>43693</v>
      </c>
      <c r="G1166" s="85">
        <v>43696</v>
      </c>
      <c r="H1166" s="85">
        <v>43689</v>
      </c>
      <c r="I1166" s="84" t="s">
        <v>401</v>
      </c>
      <c r="J1166" s="84">
        <v>1</v>
      </c>
      <c r="L1166" s="84">
        <v>0</v>
      </c>
      <c r="M1166" s="85">
        <v>43658</v>
      </c>
      <c r="N1166" s="85" t="s">
        <v>265</v>
      </c>
      <c r="O1166" s="86" t="s">
        <v>340</v>
      </c>
      <c r="P1166" s="84" t="s">
        <v>26</v>
      </c>
      <c r="Q1166" s="86" t="s">
        <v>209</v>
      </c>
      <c r="R1166" s="86" t="s">
        <v>3259</v>
      </c>
      <c r="S1166" s="87" t="s">
        <v>1655</v>
      </c>
      <c r="T1166" s="87" t="s">
        <v>1158</v>
      </c>
      <c r="U1166" s="88">
        <v>174500</v>
      </c>
      <c r="V1166" s="88">
        <v>188460</v>
      </c>
      <c r="W1166" s="88">
        <v>86000</v>
      </c>
      <c r="X1166" s="88">
        <v>92880</v>
      </c>
      <c r="Y1166" s="88">
        <v>88500</v>
      </c>
      <c r="Z1166" s="88">
        <v>95580</v>
      </c>
      <c r="AA1166" s="85">
        <v>43685</v>
      </c>
      <c r="AB1166" s="85">
        <v>43686</v>
      </c>
      <c r="AC1166" s="85">
        <v>43686</v>
      </c>
      <c r="AD1166" s="84">
        <v>0</v>
      </c>
      <c r="AG1166" s="84">
        <v>0</v>
      </c>
      <c r="AJ1166" s="84">
        <v>0</v>
      </c>
      <c r="AM1166" s="84" t="s">
        <v>290</v>
      </c>
      <c r="AN1166" s="84" t="s">
        <v>3260</v>
      </c>
      <c r="AR1166" s="85">
        <v>43676</v>
      </c>
      <c r="AS1166" s="84">
        <v>6001698276</v>
      </c>
      <c r="AT1166" s="85">
        <v>43677</v>
      </c>
      <c r="AU1166" s="84" t="s">
        <v>3144</v>
      </c>
      <c r="AV1166" s="85">
        <v>43686</v>
      </c>
      <c r="AW1166" s="123">
        <v>43708</v>
      </c>
      <c r="AX1166" s="123">
        <v>43728</v>
      </c>
      <c r="AY1166" s="132">
        <v>167520</v>
      </c>
      <c r="AZ1166" s="132">
        <v>180922</v>
      </c>
      <c r="BA1166" s="84" t="s">
        <v>400</v>
      </c>
      <c r="BB1166" s="88">
        <v>25000</v>
      </c>
      <c r="BC1166" s="88">
        <v>27000</v>
      </c>
      <c r="BD1166" s="84" t="s">
        <v>2849</v>
      </c>
      <c r="BG1166" s="88">
        <v>0</v>
      </c>
      <c r="BI1166" s="84" t="s">
        <v>434</v>
      </c>
      <c r="BJ1166" s="88">
        <v>57525</v>
      </c>
      <c r="BK1166" s="88">
        <v>62127</v>
      </c>
      <c r="BL1166" s="84" t="s">
        <v>2849</v>
      </c>
      <c r="BS1166" s="88">
        <v>0</v>
      </c>
      <c r="BV1166" s="89">
        <v>92880</v>
      </c>
      <c r="BW1166" s="89">
        <v>89127</v>
      </c>
      <c r="BX1166" s="89">
        <v>43658</v>
      </c>
      <c r="BY1166" s="89">
        <v>3753</v>
      </c>
      <c r="BZ1166" s="112">
        <v>4.0406976744186043</v>
      </c>
      <c r="CK1166" s="88">
        <v>0</v>
      </c>
    </row>
    <row r="1167" spans="1:89" x14ac:dyDescent="0.15">
      <c r="A1167" s="84">
        <v>2</v>
      </c>
      <c r="B1167" s="85">
        <v>43675</v>
      </c>
      <c r="C1167" s="85">
        <v>43686</v>
      </c>
      <c r="D1167" s="85" t="s">
        <v>374</v>
      </c>
      <c r="E1167" s="85">
        <v>43697</v>
      </c>
      <c r="F1167" s="85">
        <v>43693</v>
      </c>
      <c r="G1167" s="85">
        <v>43698</v>
      </c>
      <c r="H1167" s="85">
        <v>43689</v>
      </c>
      <c r="I1167" s="84" t="s">
        <v>401</v>
      </c>
      <c r="J1167" s="84">
        <v>1</v>
      </c>
      <c r="L1167" s="84">
        <v>0</v>
      </c>
      <c r="M1167" s="85">
        <v>43658</v>
      </c>
      <c r="N1167" s="85" t="s">
        <v>265</v>
      </c>
      <c r="O1167" s="86" t="s">
        <v>340</v>
      </c>
      <c r="P1167" s="84" t="s">
        <v>26</v>
      </c>
      <c r="Q1167" s="86" t="s">
        <v>209</v>
      </c>
      <c r="R1167" s="86" t="s">
        <v>3261</v>
      </c>
      <c r="S1167" s="87" t="s">
        <v>1230</v>
      </c>
      <c r="T1167" s="87" t="s">
        <v>3262</v>
      </c>
      <c r="U1167" s="88">
        <v>23900</v>
      </c>
      <c r="V1167" s="88">
        <v>25812</v>
      </c>
      <c r="W1167" s="88">
        <v>14700</v>
      </c>
      <c r="X1167" s="88">
        <v>15876</v>
      </c>
      <c r="Y1167" s="88">
        <v>9200</v>
      </c>
      <c r="Z1167" s="88">
        <v>9936</v>
      </c>
      <c r="AA1167" s="85">
        <v>43685</v>
      </c>
      <c r="AB1167" s="85">
        <v>43686</v>
      </c>
      <c r="AC1167" s="85">
        <v>43686</v>
      </c>
      <c r="AD1167" s="84">
        <v>0</v>
      </c>
      <c r="AG1167" s="84">
        <v>0</v>
      </c>
      <c r="AJ1167" s="84">
        <v>0</v>
      </c>
      <c r="AM1167" s="84" t="s">
        <v>290</v>
      </c>
      <c r="AN1167" s="84" t="s">
        <v>3263</v>
      </c>
      <c r="AR1167" s="85">
        <v>43670</v>
      </c>
      <c r="AS1167" s="84">
        <v>6001696926</v>
      </c>
      <c r="AT1167" s="85">
        <v>43671</v>
      </c>
      <c r="AU1167" s="84" t="s">
        <v>3194</v>
      </c>
      <c r="AV1167" s="85">
        <v>43686</v>
      </c>
      <c r="AW1167" s="123">
        <v>43708</v>
      </c>
      <c r="AX1167" s="123">
        <v>43728</v>
      </c>
      <c r="AY1167" s="132">
        <v>22944</v>
      </c>
      <c r="AZ1167" s="132">
        <v>24780</v>
      </c>
      <c r="BA1167" s="84" t="s">
        <v>778</v>
      </c>
      <c r="BC1167" s="88">
        <v>0</v>
      </c>
      <c r="BG1167" s="88">
        <v>0</v>
      </c>
      <c r="BI1167" s="84" t="s">
        <v>434</v>
      </c>
      <c r="BJ1167" s="88">
        <v>5980</v>
      </c>
      <c r="BK1167" s="88">
        <v>6458.4</v>
      </c>
      <c r="BL1167" s="84" t="s">
        <v>2849</v>
      </c>
      <c r="BS1167" s="88">
        <v>0</v>
      </c>
      <c r="BV1167" s="89">
        <v>15876</v>
      </c>
      <c r="BW1167" s="89">
        <v>6458.4</v>
      </c>
      <c r="BX1167" s="89">
        <v>43658</v>
      </c>
      <c r="BY1167" s="89">
        <v>9417.6</v>
      </c>
      <c r="BZ1167" s="112">
        <v>59.319727891156461</v>
      </c>
      <c r="CK1167" s="88">
        <v>0</v>
      </c>
    </row>
    <row r="1168" spans="1:89" x14ac:dyDescent="0.15">
      <c r="A1168" s="84">
        <v>2</v>
      </c>
      <c r="B1168" s="85">
        <v>43677</v>
      </c>
      <c r="C1168" s="85">
        <v>43696</v>
      </c>
      <c r="E1168" s="85">
        <v>43741</v>
      </c>
      <c r="F1168" s="85">
        <v>43694</v>
      </c>
      <c r="G1168" s="85">
        <v>43699</v>
      </c>
      <c r="H1168" s="85">
        <v>43690</v>
      </c>
      <c r="I1168" s="84" t="s">
        <v>1191</v>
      </c>
      <c r="J1168" s="84">
        <v>2</v>
      </c>
      <c r="L1168" s="84">
        <v>0</v>
      </c>
      <c r="M1168" s="85">
        <v>43658</v>
      </c>
      <c r="N1168" s="85" t="s">
        <v>265</v>
      </c>
      <c r="O1168" s="86" t="s">
        <v>340</v>
      </c>
      <c r="P1168" s="84" t="s">
        <v>26</v>
      </c>
      <c r="Q1168" s="86" t="s">
        <v>209</v>
      </c>
      <c r="R1168" s="86" t="s">
        <v>3264</v>
      </c>
      <c r="S1168" s="87" t="s">
        <v>992</v>
      </c>
      <c r="T1168" s="87" t="s">
        <v>2952</v>
      </c>
      <c r="U1168" s="88">
        <v>49500</v>
      </c>
      <c r="V1168" s="88">
        <v>53460</v>
      </c>
      <c r="W1168" s="88">
        <v>49500</v>
      </c>
      <c r="X1168" s="88">
        <v>53460</v>
      </c>
      <c r="Z1168" s="88">
        <v>0</v>
      </c>
      <c r="AA1168" s="85">
        <v>43686</v>
      </c>
      <c r="AB1168" s="85">
        <v>43687</v>
      </c>
      <c r="AC1168" s="85">
        <v>43687</v>
      </c>
      <c r="AD1168" s="84">
        <v>0</v>
      </c>
      <c r="AG1168" s="84">
        <v>0</v>
      </c>
      <c r="AJ1168" s="84">
        <v>0</v>
      </c>
      <c r="AN1168" s="84" t="s">
        <v>338</v>
      </c>
      <c r="AR1168" s="85">
        <v>43663</v>
      </c>
      <c r="AS1168" s="84">
        <v>6001694059</v>
      </c>
      <c r="AT1168" s="85">
        <v>43663</v>
      </c>
      <c r="AU1168" s="84" t="s">
        <v>3081</v>
      </c>
      <c r="AV1168" s="85">
        <v>43696</v>
      </c>
      <c r="AW1168" s="123">
        <v>43708</v>
      </c>
      <c r="AX1168" s="123">
        <v>43728</v>
      </c>
      <c r="AY1168" s="132">
        <v>47520</v>
      </c>
      <c r="AZ1168" s="132">
        <v>51322</v>
      </c>
      <c r="BA1168" s="84" t="s">
        <v>287</v>
      </c>
      <c r="BB1168" s="88">
        <v>22000</v>
      </c>
      <c r="BC1168" s="88">
        <v>23760</v>
      </c>
      <c r="BD1168" s="84" t="s">
        <v>2849</v>
      </c>
      <c r="BG1168" s="88">
        <v>0</v>
      </c>
      <c r="BK1168" s="88">
        <v>0</v>
      </c>
      <c r="BS1168" s="88">
        <v>0</v>
      </c>
      <c r="BV1168" s="89">
        <v>53460</v>
      </c>
      <c r="BW1168" s="89">
        <v>23760</v>
      </c>
      <c r="BX1168" s="89">
        <v>43658</v>
      </c>
      <c r="BY1168" s="89">
        <v>29700</v>
      </c>
      <c r="BZ1168" s="112">
        <v>55.555555555555557</v>
      </c>
      <c r="CK1168" s="88">
        <v>0</v>
      </c>
    </row>
    <row r="1169" spans="1:89" x14ac:dyDescent="0.15">
      <c r="A1169" s="84">
        <v>1</v>
      </c>
      <c r="B1169" s="85">
        <v>43663</v>
      </c>
      <c r="C1169" s="85">
        <v>43671</v>
      </c>
      <c r="F1169" s="85" t="s">
        <v>338</v>
      </c>
      <c r="H1169" s="85" t="s">
        <v>338</v>
      </c>
      <c r="J1169" s="84">
        <v>2</v>
      </c>
      <c r="L1169" s="84">
        <v>0</v>
      </c>
      <c r="M1169" s="85">
        <v>43662</v>
      </c>
      <c r="N1169" s="85" t="s">
        <v>265</v>
      </c>
      <c r="O1169" s="86" t="s">
        <v>340</v>
      </c>
      <c r="P1169" s="84" t="s">
        <v>271</v>
      </c>
      <c r="Q1169" s="86" t="s">
        <v>209</v>
      </c>
      <c r="R1169" s="86" t="s">
        <v>3265</v>
      </c>
      <c r="S1169" s="87" t="s">
        <v>351</v>
      </c>
      <c r="T1169" s="87" t="s">
        <v>3266</v>
      </c>
      <c r="U1169" s="88">
        <v>1200000</v>
      </c>
      <c r="V1169" s="88">
        <v>1296000</v>
      </c>
      <c r="W1169" s="88">
        <v>1200000</v>
      </c>
      <c r="X1169" s="88">
        <v>1296000</v>
      </c>
      <c r="Z1169" s="88">
        <v>0</v>
      </c>
      <c r="AD1169" s="84">
        <v>0</v>
      </c>
      <c r="AG1169" s="84">
        <v>0</v>
      </c>
      <c r="AJ1169" s="84">
        <v>0</v>
      </c>
      <c r="AR1169" s="85">
        <v>43663</v>
      </c>
      <c r="AS1169" s="84">
        <v>6001694058</v>
      </c>
      <c r="AT1169" s="85">
        <v>43663</v>
      </c>
      <c r="AU1169" s="84" t="s">
        <v>3267</v>
      </c>
      <c r="AV1169" s="85">
        <v>43671</v>
      </c>
      <c r="AW1169" s="123">
        <v>43677</v>
      </c>
      <c r="AX1169" s="123">
        <v>43697</v>
      </c>
      <c r="AY1169" s="140">
        <v>1200000</v>
      </c>
      <c r="AZ1169" s="132">
        <f>ROUNDDOWN(AY1169+(AY1169*MASTER!$A$2/100),0)</f>
        <v>1296000</v>
      </c>
      <c r="BC1169" s="88">
        <v>0</v>
      </c>
      <c r="BG1169" s="88">
        <v>0</v>
      </c>
      <c r="BK1169" s="88">
        <v>0</v>
      </c>
      <c r="BS1169" s="88">
        <v>0</v>
      </c>
      <c r="BV1169" s="89">
        <v>1296000</v>
      </c>
      <c r="BW1169" s="89">
        <v>0</v>
      </c>
      <c r="BX1169" s="89">
        <v>43662</v>
      </c>
      <c r="BY1169" s="89">
        <v>1296000</v>
      </c>
      <c r="BZ1169" s="112">
        <v>100</v>
      </c>
      <c r="CK1169" s="88">
        <v>0</v>
      </c>
    </row>
    <row r="1170" spans="1:89" x14ac:dyDescent="0.15">
      <c r="A1170" s="84">
        <v>1</v>
      </c>
      <c r="B1170" s="85">
        <v>43678</v>
      </c>
      <c r="C1170" s="85">
        <v>43686</v>
      </c>
      <c r="F1170" s="85" t="s">
        <v>338</v>
      </c>
      <c r="H1170" s="85" t="s">
        <v>338</v>
      </c>
      <c r="J1170" s="84">
        <v>3</v>
      </c>
      <c r="L1170" s="84">
        <v>0</v>
      </c>
      <c r="M1170" s="85">
        <v>43662</v>
      </c>
      <c r="N1170" s="85" t="s">
        <v>265</v>
      </c>
      <c r="O1170" s="86" t="s">
        <v>340</v>
      </c>
      <c r="P1170" s="84" t="s">
        <v>6</v>
      </c>
      <c r="Q1170" s="86" t="s">
        <v>209</v>
      </c>
      <c r="R1170" s="86" t="s">
        <v>3268</v>
      </c>
      <c r="S1170" s="87" t="s">
        <v>2112</v>
      </c>
      <c r="T1170" s="87" t="s">
        <v>342</v>
      </c>
      <c r="U1170" s="88">
        <v>9000</v>
      </c>
      <c r="V1170" s="88">
        <v>9720</v>
      </c>
      <c r="X1170" s="88">
        <v>0</v>
      </c>
      <c r="Y1170" s="88">
        <v>9000</v>
      </c>
      <c r="Z1170" s="88">
        <v>9720</v>
      </c>
      <c r="AD1170" s="84">
        <v>0</v>
      </c>
      <c r="AG1170" s="84">
        <v>0</v>
      </c>
      <c r="AJ1170" s="84">
        <v>0</v>
      </c>
      <c r="AR1170" s="85">
        <v>43676</v>
      </c>
      <c r="AS1170" s="84">
        <v>6001698276</v>
      </c>
      <c r="AT1170" s="85">
        <v>43677</v>
      </c>
      <c r="AU1170" s="84" t="s">
        <v>3144</v>
      </c>
      <c r="AV1170" s="85">
        <v>43686</v>
      </c>
      <c r="AW1170" s="123">
        <v>43708</v>
      </c>
      <c r="AX1170" s="123">
        <v>43728</v>
      </c>
      <c r="AY1170" s="132">
        <v>8640</v>
      </c>
      <c r="AZ1170" s="132">
        <f>ROUNDDOWN(AY1170+(AY1170*MASTER!$A$2/100),0)</f>
        <v>9331</v>
      </c>
      <c r="BC1170" s="88">
        <v>0</v>
      </c>
      <c r="BG1170" s="88">
        <v>0</v>
      </c>
      <c r="BK1170" s="88">
        <v>0</v>
      </c>
      <c r="BS1170" s="88">
        <v>0</v>
      </c>
      <c r="BV1170" s="89">
        <v>0</v>
      </c>
      <c r="BW1170" s="89">
        <v>0</v>
      </c>
      <c r="BX1170" s="89">
        <v>43662</v>
      </c>
      <c r="BY1170" s="89">
        <v>0</v>
      </c>
      <c r="BZ1170" s="112" t="s">
        <v>338</v>
      </c>
    </row>
    <row r="1171" spans="1:89" s="151" customFormat="1" x14ac:dyDescent="0.15">
      <c r="A1171" s="141">
        <v>3</v>
      </c>
      <c r="B1171" s="142"/>
      <c r="C1171" s="142" t="s">
        <v>338</v>
      </c>
      <c r="D1171" s="142"/>
      <c r="E1171" s="142"/>
      <c r="F1171" s="142" t="s">
        <v>338</v>
      </c>
      <c r="G1171" s="142"/>
      <c r="H1171" s="142" t="s">
        <v>338</v>
      </c>
      <c r="I1171" s="141"/>
      <c r="J1171" s="141">
        <v>2</v>
      </c>
      <c r="K1171" s="142">
        <v>43720</v>
      </c>
      <c r="L1171" s="141" t="s">
        <v>1210</v>
      </c>
      <c r="M1171" s="142">
        <v>43662</v>
      </c>
      <c r="N1171" s="142" t="s">
        <v>265</v>
      </c>
      <c r="O1171" s="143" t="s">
        <v>340</v>
      </c>
      <c r="P1171" s="141" t="s">
        <v>272</v>
      </c>
      <c r="Q1171" s="143" t="s">
        <v>209</v>
      </c>
      <c r="R1171" s="143" t="s">
        <v>3269</v>
      </c>
      <c r="S1171" s="144" t="s">
        <v>351</v>
      </c>
      <c r="T1171" s="144" t="s">
        <v>3270</v>
      </c>
      <c r="U1171" s="145">
        <v>520000</v>
      </c>
      <c r="V1171" s="145">
        <v>561600</v>
      </c>
      <c r="W1171" s="145">
        <v>520000</v>
      </c>
      <c r="X1171" s="145">
        <v>561600</v>
      </c>
      <c r="Y1171" s="145"/>
      <c r="Z1171" s="145">
        <v>0</v>
      </c>
      <c r="AA1171" s="142"/>
      <c r="AB1171" s="142"/>
      <c r="AC1171" s="142"/>
      <c r="AD1171" s="141">
        <v>0</v>
      </c>
      <c r="AE1171" s="141"/>
      <c r="AF1171" s="141"/>
      <c r="AG1171" s="141">
        <v>0</v>
      </c>
      <c r="AH1171" s="141"/>
      <c r="AI1171" s="141"/>
      <c r="AJ1171" s="141">
        <v>0</v>
      </c>
      <c r="AK1171" s="141"/>
      <c r="AL1171" s="141"/>
      <c r="AM1171" s="141"/>
      <c r="AN1171" s="141"/>
      <c r="AO1171" s="142"/>
      <c r="AP1171" s="141"/>
      <c r="AQ1171" s="141"/>
      <c r="AR1171" s="142"/>
      <c r="AS1171" s="141"/>
      <c r="AT1171" s="142"/>
      <c r="AU1171" s="141"/>
      <c r="AV1171" s="142"/>
      <c r="AW1171" s="146"/>
      <c r="AX1171" s="146"/>
      <c r="AY1171" s="154">
        <v>520000</v>
      </c>
      <c r="AZ1171" s="147">
        <f>ROUNDDOWN(AY1171+(AY1171*MASTER!$A$2/100),0)</f>
        <v>561600</v>
      </c>
      <c r="BA1171" s="141"/>
      <c r="BB1171" s="145"/>
      <c r="BC1171" s="145">
        <v>0</v>
      </c>
      <c r="BD1171" s="141"/>
      <c r="BE1171" s="141"/>
      <c r="BF1171" s="145"/>
      <c r="BG1171" s="145">
        <v>0</v>
      </c>
      <c r="BH1171" s="141"/>
      <c r="BI1171" s="141"/>
      <c r="BJ1171" s="145"/>
      <c r="BK1171" s="145">
        <v>0</v>
      </c>
      <c r="BL1171" s="141"/>
      <c r="BM1171" s="145"/>
      <c r="BN1171" s="145"/>
      <c r="BO1171" s="145"/>
      <c r="BP1171" s="145"/>
      <c r="BQ1171" s="145"/>
      <c r="BR1171" s="145"/>
      <c r="BS1171" s="145">
        <v>0</v>
      </c>
      <c r="BT1171" s="148"/>
      <c r="BU1171" s="148"/>
      <c r="BV1171" s="149">
        <v>561600</v>
      </c>
      <c r="BW1171" s="149">
        <v>0</v>
      </c>
      <c r="BX1171" s="149">
        <v>0</v>
      </c>
      <c r="BY1171" s="149">
        <v>43720</v>
      </c>
      <c r="BZ1171" s="150">
        <v>100</v>
      </c>
      <c r="CA1171" s="141"/>
      <c r="CB1171" s="141"/>
      <c r="CC1171" s="141"/>
      <c r="CD1171" s="144" t="s">
        <v>3703</v>
      </c>
      <c r="CE1171" s="142"/>
      <c r="CF1171" s="142"/>
      <c r="CG1171" s="142"/>
      <c r="CH1171" s="142"/>
      <c r="CI1171" s="142"/>
      <c r="CJ1171" s="142"/>
      <c r="CK1171" s="145"/>
    </row>
    <row r="1172" spans="1:89" x14ac:dyDescent="0.15">
      <c r="A1172" s="84">
        <v>2</v>
      </c>
      <c r="B1172" s="85">
        <v>43714</v>
      </c>
      <c r="C1172" s="85">
        <v>43721</v>
      </c>
      <c r="D1172" s="85">
        <v>43748</v>
      </c>
      <c r="E1172" s="85">
        <v>43725</v>
      </c>
      <c r="F1172" s="85">
        <v>43728</v>
      </c>
      <c r="G1172" s="85">
        <v>43725</v>
      </c>
      <c r="H1172" s="85">
        <v>43724</v>
      </c>
      <c r="I1172" s="84" t="s">
        <v>401</v>
      </c>
      <c r="J1172" s="84">
        <v>2</v>
      </c>
      <c r="L1172" s="84">
        <v>0</v>
      </c>
      <c r="M1172" s="85">
        <v>43663</v>
      </c>
      <c r="N1172" s="85" t="s">
        <v>265</v>
      </c>
      <c r="O1172" s="86" t="s">
        <v>340</v>
      </c>
      <c r="P1172" s="84" t="s">
        <v>26</v>
      </c>
      <c r="Q1172" s="86" t="s">
        <v>209</v>
      </c>
      <c r="R1172" s="86" t="s">
        <v>3519</v>
      </c>
      <c r="S1172" s="87" t="s">
        <v>1619</v>
      </c>
      <c r="T1172" s="87" t="s">
        <v>3520</v>
      </c>
      <c r="U1172" s="88">
        <v>288400</v>
      </c>
      <c r="V1172" s="88">
        <v>311472</v>
      </c>
      <c r="W1172" s="88">
        <v>288400</v>
      </c>
      <c r="X1172" s="88">
        <v>311472</v>
      </c>
      <c r="Z1172" s="88">
        <v>0</v>
      </c>
      <c r="AA1172" s="85">
        <v>43719</v>
      </c>
      <c r="AB1172" s="85">
        <v>43721</v>
      </c>
      <c r="AC1172" s="85">
        <v>43721</v>
      </c>
      <c r="AD1172" s="84">
        <v>0</v>
      </c>
      <c r="AG1172" s="84">
        <v>0</v>
      </c>
      <c r="AJ1172" s="84">
        <v>0</v>
      </c>
      <c r="AM1172" s="84" t="s">
        <v>290</v>
      </c>
      <c r="AN1172" s="84" t="s">
        <v>3521</v>
      </c>
      <c r="AR1172" s="85">
        <v>43679</v>
      </c>
      <c r="AS1172" s="84">
        <v>6001699513</v>
      </c>
      <c r="AT1172" s="85">
        <v>43679</v>
      </c>
      <c r="AU1172" s="84" t="s">
        <v>3271</v>
      </c>
      <c r="AV1172" s="85">
        <v>43721</v>
      </c>
      <c r="AW1172" s="123">
        <v>43738</v>
      </c>
      <c r="AX1172" s="123">
        <v>43758</v>
      </c>
      <c r="AY1172" s="132">
        <v>276864</v>
      </c>
      <c r="AZ1172" s="132">
        <f>ROUNDDOWN(AY1172+(AY1172*MASTER!$A$2/100),0)</f>
        <v>299013</v>
      </c>
      <c r="BA1172" s="84" t="s">
        <v>286</v>
      </c>
      <c r="BB1172" s="88">
        <v>71740</v>
      </c>
      <c r="BC1172" s="88">
        <v>77479.199999999997</v>
      </c>
      <c r="BD1172" s="84" t="s">
        <v>3431</v>
      </c>
      <c r="BG1172" s="88">
        <v>0</v>
      </c>
      <c r="BK1172" s="88">
        <v>0</v>
      </c>
      <c r="BS1172" s="88">
        <v>0</v>
      </c>
      <c r="BV1172" s="89">
        <v>311472</v>
      </c>
      <c r="BW1172" s="89">
        <v>77479.199999999997</v>
      </c>
      <c r="BX1172" s="89">
        <v>43663</v>
      </c>
      <c r="BY1172" s="89">
        <v>233992.8</v>
      </c>
      <c r="BZ1172" s="112">
        <v>75.124826629680996</v>
      </c>
      <c r="CK1172" s="88">
        <v>0</v>
      </c>
    </row>
    <row r="1173" spans="1:89" x14ac:dyDescent="0.15">
      <c r="A1173" s="84">
        <v>2</v>
      </c>
      <c r="B1173" s="85">
        <v>43704</v>
      </c>
      <c r="C1173" s="85">
        <v>43713</v>
      </c>
      <c r="D1173" s="85">
        <v>43748</v>
      </c>
      <c r="E1173" s="85">
        <v>43718</v>
      </c>
      <c r="F1173" s="85">
        <v>43720</v>
      </c>
      <c r="G1173" s="85">
        <v>43714</v>
      </c>
      <c r="H1173" s="85">
        <v>43716</v>
      </c>
      <c r="I1173" s="84" t="s">
        <v>401</v>
      </c>
      <c r="J1173" s="84">
        <v>1</v>
      </c>
      <c r="L1173" s="84">
        <v>0</v>
      </c>
      <c r="M1173" s="85">
        <v>43663</v>
      </c>
      <c r="N1173" s="85" t="s">
        <v>265</v>
      </c>
      <c r="O1173" s="86" t="s">
        <v>340</v>
      </c>
      <c r="P1173" s="84" t="s">
        <v>26</v>
      </c>
      <c r="Q1173" s="86" t="s">
        <v>209</v>
      </c>
      <c r="R1173" s="86" t="s">
        <v>3516</v>
      </c>
      <c r="S1173" s="87" t="s">
        <v>997</v>
      </c>
      <c r="T1173" s="87" t="s">
        <v>3517</v>
      </c>
      <c r="U1173" s="88">
        <v>749500</v>
      </c>
      <c r="V1173" s="88">
        <v>809460</v>
      </c>
      <c r="W1173" s="88">
        <v>661000</v>
      </c>
      <c r="X1173" s="88">
        <v>713880</v>
      </c>
      <c r="Y1173" s="88">
        <v>88500</v>
      </c>
      <c r="Z1173" s="88">
        <v>95580</v>
      </c>
      <c r="AA1173" s="85">
        <v>43709</v>
      </c>
      <c r="AB1173" s="85">
        <v>43713</v>
      </c>
      <c r="AC1173" s="85">
        <v>43713</v>
      </c>
      <c r="AD1173" s="84">
        <v>0</v>
      </c>
      <c r="AG1173" s="84">
        <v>0</v>
      </c>
      <c r="AJ1173" s="84">
        <v>0</v>
      </c>
      <c r="AM1173" s="84" t="s">
        <v>290</v>
      </c>
      <c r="AN1173" s="84" t="s">
        <v>3518</v>
      </c>
      <c r="AR1173" s="85">
        <v>43698</v>
      </c>
      <c r="AS1173" s="84">
        <v>6001704000</v>
      </c>
      <c r="AT1173" s="85">
        <v>43698</v>
      </c>
      <c r="AU1173" s="84" t="s">
        <v>3492</v>
      </c>
      <c r="AV1173" s="85">
        <v>43713</v>
      </c>
      <c r="AW1173" s="123">
        <v>43738</v>
      </c>
      <c r="AX1173" s="123">
        <v>43758</v>
      </c>
      <c r="AY1173" s="132">
        <v>719520</v>
      </c>
      <c r="AZ1173" s="132">
        <v>777082</v>
      </c>
      <c r="BA1173" s="84" t="s">
        <v>286</v>
      </c>
      <c r="BB1173" s="88">
        <v>338840</v>
      </c>
      <c r="BC1173" s="88">
        <v>365947.2</v>
      </c>
      <c r="BD1173" s="84" t="s">
        <v>3431</v>
      </c>
      <c r="BG1173" s="88">
        <v>0</v>
      </c>
      <c r="BI1173" s="84" t="s">
        <v>434</v>
      </c>
      <c r="BJ1173" s="88">
        <v>57525</v>
      </c>
      <c r="BK1173" s="88">
        <v>62127</v>
      </c>
      <c r="BL1173" s="84" t="s">
        <v>3431</v>
      </c>
      <c r="BS1173" s="88">
        <v>0</v>
      </c>
      <c r="BV1173" s="89">
        <v>713880</v>
      </c>
      <c r="BW1173" s="89">
        <v>428074.2</v>
      </c>
      <c r="BX1173" s="89">
        <v>43663</v>
      </c>
      <c r="BY1173" s="89">
        <v>285805.8</v>
      </c>
      <c r="BZ1173" s="112">
        <v>40.035552193645991</v>
      </c>
      <c r="CK1173" s="88">
        <v>0</v>
      </c>
    </row>
    <row r="1174" spans="1:89" s="151" customFormat="1" x14ac:dyDescent="0.15">
      <c r="A1174" s="141">
        <v>3</v>
      </c>
      <c r="B1174" s="142"/>
      <c r="C1174" s="142" t="s">
        <v>338</v>
      </c>
      <c r="D1174" s="142"/>
      <c r="E1174" s="142"/>
      <c r="F1174" s="142" t="s">
        <v>338</v>
      </c>
      <c r="G1174" s="142"/>
      <c r="H1174" s="142" t="s">
        <v>338</v>
      </c>
      <c r="I1174" s="141"/>
      <c r="J1174" s="141">
        <v>1</v>
      </c>
      <c r="K1174" s="142"/>
      <c r="L1174" s="141">
        <v>0</v>
      </c>
      <c r="M1174" s="142">
        <v>43663</v>
      </c>
      <c r="N1174" s="142" t="s">
        <v>265</v>
      </c>
      <c r="O1174" s="143" t="s">
        <v>340</v>
      </c>
      <c r="P1174" s="141" t="s">
        <v>26</v>
      </c>
      <c r="Q1174" s="143" t="s">
        <v>209</v>
      </c>
      <c r="R1174" s="143" t="s">
        <v>3272</v>
      </c>
      <c r="S1174" s="144" t="s">
        <v>1053</v>
      </c>
      <c r="T1174" s="144" t="s">
        <v>1303</v>
      </c>
      <c r="U1174" s="145">
        <v>79500</v>
      </c>
      <c r="V1174" s="145">
        <v>85860</v>
      </c>
      <c r="W1174" s="145">
        <v>67500</v>
      </c>
      <c r="X1174" s="145">
        <v>72900</v>
      </c>
      <c r="Y1174" s="145">
        <v>12000</v>
      </c>
      <c r="Z1174" s="145">
        <v>12960</v>
      </c>
      <c r="AA1174" s="142"/>
      <c r="AB1174" s="142"/>
      <c r="AC1174" s="142"/>
      <c r="AD1174" s="141">
        <v>0</v>
      </c>
      <c r="AE1174" s="141"/>
      <c r="AF1174" s="141"/>
      <c r="AG1174" s="141">
        <v>0</v>
      </c>
      <c r="AH1174" s="141"/>
      <c r="AI1174" s="141"/>
      <c r="AJ1174" s="141">
        <v>0</v>
      </c>
      <c r="AK1174" s="141"/>
      <c r="AL1174" s="141"/>
      <c r="AM1174" s="141" t="s">
        <v>290</v>
      </c>
      <c r="AN1174" s="141" t="s">
        <v>3273</v>
      </c>
      <c r="AO1174" s="142"/>
      <c r="AP1174" s="141"/>
      <c r="AQ1174" s="141"/>
      <c r="AR1174" s="142"/>
      <c r="AS1174" s="141"/>
      <c r="AT1174" s="142"/>
      <c r="AU1174" s="141"/>
      <c r="AV1174" s="142"/>
      <c r="AW1174" s="146"/>
      <c r="AX1174" s="146"/>
      <c r="AY1174" s="147">
        <v>76320</v>
      </c>
      <c r="AZ1174" s="132">
        <f>ROUNDDOWN(AY1174+(AY1174*MASTER!$A$2/100),0)</f>
        <v>82425</v>
      </c>
      <c r="BA1174" s="141"/>
      <c r="BB1174" s="145"/>
      <c r="BC1174" s="145">
        <v>0</v>
      </c>
      <c r="BD1174" s="141"/>
      <c r="BE1174" s="141"/>
      <c r="BF1174" s="145"/>
      <c r="BG1174" s="145">
        <v>0</v>
      </c>
      <c r="BH1174" s="141"/>
      <c r="BI1174" s="141"/>
      <c r="BJ1174" s="145"/>
      <c r="BK1174" s="145">
        <v>0</v>
      </c>
      <c r="BL1174" s="141"/>
      <c r="BM1174" s="145"/>
      <c r="BN1174" s="145"/>
      <c r="BO1174" s="145"/>
      <c r="BP1174" s="145"/>
      <c r="BQ1174" s="145"/>
      <c r="BR1174" s="145"/>
      <c r="BS1174" s="145">
        <v>0</v>
      </c>
      <c r="BT1174" s="148"/>
      <c r="BU1174" s="148"/>
      <c r="BV1174" s="149">
        <v>72900</v>
      </c>
      <c r="BW1174" s="149">
        <v>0</v>
      </c>
      <c r="BX1174" s="149">
        <v>43663</v>
      </c>
      <c r="BY1174" s="149">
        <v>72900</v>
      </c>
      <c r="BZ1174" s="150">
        <v>100</v>
      </c>
      <c r="CA1174" s="141"/>
      <c r="CB1174" s="141"/>
      <c r="CC1174" s="141"/>
      <c r="CD1174" s="144" t="s">
        <v>3274</v>
      </c>
      <c r="CE1174" s="142"/>
      <c r="CF1174" s="142"/>
      <c r="CG1174" s="142"/>
      <c r="CH1174" s="142"/>
      <c r="CI1174" s="142"/>
      <c r="CJ1174" s="142"/>
      <c r="CK1174" s="145">
        <v>0</v>
      </c>
    </row>
    <row r="1175" spans="1:89" x14ac:dyDescent="0.15">
      <c r="A1175" s="84">
        <v>2</v>
      </c>
      <c r="B1175" s="85">
        <v>43675</v>
      </c>
      <c r="C1175" s="85">
        <v>43684</v>
      </c>
      <c r="D1175" s="85" t="s">
        <v>374</v>
      </c>
      <c r="E1175" s="85">
        <v>43741</v>
      </c>
      <c r="F1175" s="85" t="s">
        <v>338</v>
      </c>
      <c r="G1175" s="85">
        <v>43686</v>
      </c>
      <c r="H1175" s="85" t="s">
        <v>338</v>
      </c>
      <c r="I1175" s="84" t="s">
        <v>1191</v>
      </c>
      <c r="J1175" s="84">
        <v>1</v>
      </c>
      <c r="L1175" s="84">
        <v>0</v>
      </c>
      <c r="M1175" s="85">
        <v>43663</v>
      </c>
      <c r="N1175" s="85" t="s">
        <v>265</v>
      </c>
      <c r="O1175" s="86" t="s">
        <v>340</v>
      </c>
      <c r="P1175" s="84" t="s">
        <v>26</v>
      </c>
      <c r="Q1175" s="86" t="s">
        <v>209</v>
      </c>
      <c r="R1175" s="86" t="s">
        <v>3275</v>
      </c>
      <c r="S1175" s="87" t="s">
        <v>1748</v>
      </c>
      <c r="T1175" s="87" t="s">
        <v>721</v>
      </c>
      <c r="U1175" s="88">
        <v>23900</v>
      </c>
      <c r="V1175" s="88">
        <v>25812</v>
      </c>
      <c r="W1175" s="88">
        <v>14700</v>
      </c>
      <c r="X1175" s="88">
        <v>15876</v>
      </c>
      <c r="Y1175" s="88">
        <v>9200</v>
      </c>
      <c r="Z1175" s="88">
        <v>9936</v>
      </c>
      <c r="AA1175" s="85">
        <v>43683</v>
      </c>
      <c r="AB1175" s="85">
        <v>43684</v>
      </c>
      <c r="AD1175" s="84">
        <v>0</v>
      </c>
      <c r="AG1175" s="84">
        <v>0</v>
      </c>
      <c r="AJ1175" s="84">
        <v>0</v>
      </c>
      <c r="AM1175" s="84" t="s">
        <v>290</v>
      </c>
      <c r="AN1175" s="84" t="s">
        <v>3276</v>
      </c>
      <c r="AR1175" s="85">
        <v>43670</v>
      </c>
      <c r="AS1175" s="84">
        <v>6001696926</v>
      </c>
      <c r="AT1175" s="85">
        <v>43671</v>
      </c>
      <c r="AU1175" s="84" t="s">
        <v>3194</v>
      </c>
      <c r="AV1175" s="85">
        <v>43684</v>
      </c>
      <c r="AW1175" s="123">
        <v>43708</v>
      </c>
      <c r="AX1175" s="123">
        <v>43728</v>
      </c>
      <c r="AY1175" s="132">
        <v>22944</v>
      </c>
      <c r="AZ1175" s="132">
        <v>24780</v>
      </c>
      <c r="BA1175" s="84" t="s">
        <v>778</v>
      </c>
      <c r="BC1175" s="88">
        <v>0</v>
      </c>
      <c r="BG1175" s="88">
        <v>0</v>
      </c>
      <c r="BK1175" s="88">
        <v>0</v>
      </c>
      <c r="BS1175" s="88">
        <v>0</v>
      </c>
      <c r="BV1175" s="89">
        <v>15876</v>
      </c>
      <c r="BW1175" s="89">
        <v>0</v>
      </c>
      <c r="BX1175" s="89">
        <v>43663</v>
      </c>
      <c r="BY1175" s="89">
        <v>15876</v>
      </c>
      <c r="BZ1175" s="112">
        <v>100</v>
      </c>
      <c r="CK1175" s="88">
        <v>0</v>
      </c>
    </row>
    <row r="1176" spans="1:89" x14ac:dyDescent="0.15">
      <c r="A1176" s="84">
        <v>1</v>
      </c>
      <c r="B1176" s="85">
        <v>43678</v>
      </c>
      <c r="C1176" s="85">
        <v>43679</v>
      </c>
      <c r="F1176" s="85" t="s">
        <v>338</v>
      </c>
      <c r="H1176" s="85" t="s">
        <v>338</v>
      </c>
      <c r="J1176" s="84">
        <v>3</v>
      </c>
      <c r="L1176" s="84">
        <v>0</v>
      </c>
      <c r="M1176" s="85">
        <v>43663</v>
      </c>
      <c r="N1176" s="85" t="s">
        <v>265</v>
      </c>
      <c r="O1176" s="86" t="s">
        <v>340</v>
      </c>
      <c r="P1176" s="84" t="s">
        <v>6</v>
      </c>
      <c r="Q1176" s="86" t="s">
        <v>209</v>
      </c>
      <c r="R1176" s="86" t="s">
        <v>3277</v>
      </c>
      <c r="S1176" s="87" t="s">
        <v>1620</v>
      </c>
      <c r="T1176" s="87" t="s">
        <v>2136</v>
      </c>
      <c r="U1176" s="88">
        <v>15000</v>
      </c>
      <c r="V1176" s="88">
        <v>16200</v>
      </c>
      <c r="X1176" s="88">
        <v>0</v>
      </c>
      <c r="Y1176" s="88">
        <v>15000</v>
      </c>
      <c r="Z1176" s="88">
        <v>16200</v>
      </c>
      <c r="AD1176" s="84">
        <v>0</v>
      </c>
      <c r="AG1176" s="84">
        <v>0</v>
      </c>
      <c r="AJ1176" s="84">
        <v>0</v>
      </c>
      <c r="AR1176" s="85">
        <v>43676</v>
      </c>
      <c r="AS1176" s="84">
        <v>6001698276</v>
      </c>
      <c r="AT1176" s="85">
        <v>43677</v>
      </c>
      <c r="AU1176" s="84" t="s">
        <v>3144</v>
      </c>
      <c r="AV1176" s="85">
        <v>43679</v>
      </c>
      <c r="AW1176" s="123">
        <v>43708</v>
      </c>
      <c r="AX1176" s="123">
        <v>43728</v>
      </c>
      <c r="AY1176" s="132">
        <v>14400</v>
      </c>
      <c r="AZ1176" s="132">
        <f>ROUNDDOWN(AY1176+(AY1176*MASTER!$A$2/100),0)</f>
        <v>15552</v>
      </c>
      <c r="BC1176" s="88">
        <v>0</v>
      </c>
      <c r="BG1176" s="88">
        <v>0</v>
      </c>
      <c r="BK1176" s="88">
        <v>0</v>
      </c>
      <c r="BS1176" s="88">
        <v>0</v>
      </c>
      <c r="BV1176" s="89">
        <v>0</v>
      </c>
      <c r="BW1176" s="89">
        <v>0</v>
      </c>
      <c r="BX1176" s="89">
        <v>43663</v>
      </c>
      <c r="BY1176" s="89">
        <v>0</v>
      </c>
      <c r="BZ1176" s="112" t="s">
        <v>338</v>
      </c>
    </row>
    <row r="1177" spans="1:89" x14ac:dyDescent="0.15">
      <c r="A1177" s="84">
        <v>2</v>
      </c>
      <c r="B1177" s="85">
        <v>43670</v>
      </c>
      <c r="C1177" s="85">
        <v>43675</v>
      </c>
      <c r="D1177" s="85">
        <v>43676</v>
      </c>
      <c r="E1177" s="85">
        <v>43676</v>
      </c>
      <c r="F1177" s="85" t="s">
        <v>338</v>
      </c>
      <c r="G1177" s="85">
        <v>43676</v>
      </c>
      <c r="H1177" s="85" t="s">
        <v>338</v>
      </c>
      <c r="I1177" s="84" t="s">
        <v>380</v>
      </c>
      <c r="J1177" s="84">
        <v>2</v>
      </c>
      <c r="L1177" s="84">
        <v>0</v>
      </c>
      <c r="M1177" s="85">
        <v>43663</v>
      </c>
      <c r="N1177" s="85" t="s">
        <v>265</v>
      </c>
      <c r="O1177" s="86" t="s">
        <v>340</v>
      </c>
      <c r="P1177" s="84" t="s">
        <v>6</v>
      </c>
      <c r="Q1177" s="86" t="s">
        <v>209</v>
      </c>
      <c r="R1177" s="86" t="s">
        <v>3278</v>
      </c>
      <c r="S1177" s="87" t="s">
        <v>1171</v>
      </c>
      <c r="T1177" s="87" t="s">
        <v>342</v>
      </c>
      <c r="U1177" s="88">
        <v>35000</v>
      </c>
      <c r="V1177" s="88">
        <v>37800</v>
      </c>
      <c r="W1177" s="88">
        <v>35000</v>
      </c>
      <c r="X1177" s="88">
        <v>37800</v>
      </c>
      <c r="Z1177" s="88">
        <v>0</v>
      </c>
      <c r="AA1177" s="85">
        <v>43671</v>
      </c>
      <c r="AB1177" s="85">
        <v>43671</v>
      </c>
      <c r="AD1177" s="84">
        <v>0</v>
      </c>
      <c r="AG1177" s="84">
        <v>0</v>
      </c>
      <c r="AJ1177" s="84">
        <v>0</v>
      </c>
      <c r="AN1177" s="84" t="s">
        <v>338</v>
      </c>
      <c r="AR1177" s="85">
        <v>43669</v>
      </c>
      <c r="AS1177" s="84">
        <v>6001696209</v>
      </c>
      <c r="AT1177" s="85">
        <v>43669</v>
      </c>
      <c r="AU1177" s="84" t="s">
        <v>2940</v>
      </c>
      <c r="AV1177" s="85">
        <v>43675</v>
      </c>
      <c r="AW1177" s="123">
        <v>43677</v>
      </c>
      <c r="AX1177" s="123">
        <v>43697</v>
      </c>
      <c r="AY1177" s="132">
        <v>33600</v>
      </c>
      <c r="AZ1177" s="132">
        <f>ROUNDDOWN(AY1177+(AY1177*MASTER!$A$2/100),0)</f>
        <v>36288</v>
      </c>
      <c r="BA1177" s="84" t="s">
        <v>287</v>
      </c>
      <c r="BB1177" s="88">
        <v>40000</v>
      </c>
      <c r="BC1177" s="88">
        <v>43200</v>
      </c>
      <c r="BD1177" s="84" t="s">
        <v>2849</v>
      </c>
      <c r="BG1177" s="88">
        <v>0</v>
      </c>
      <c r="BK1177" s="88">
        <v>0</v>
      </c>
      <c r="BS1177" s="88">
        <v>0</v>
      </c>
      <c r="BV1177" s="89">
        <v>37800</v>
      </c>
      <c r="BW1177" s="89">
        <v>43200</v>
      </c>
      <c r="BX1177" s="89">
        <v>43663</v>
      </c>
      <c r="BY1177" s="89">
        <v>-5400</v>
      </c>
      <c r="BZ1177" s="112">
        <v>-14.285714285714285</v>
      </c>
      <c r="CK1177" s="88">
        <v>0</v>
      </c>
    </row>
    <row r="1178" spans="1:89" x14ac:dyDescent="0.15">
      <c r="A1178" s="84">
        <v>1</v>
      </c>
      <c r="B1178" s="85">
        <v>43714</v>
      </c>
      <c r="C1178" s="85">
        <v>43734</v>
      </c>
      <c r="F1178" s="85" t="s">
        <v>338</v>
      </c>
      <c r="H1178" s="85" t="s">
        <v>338</v>
      </c>
      <c r="J1178" s="84">
        <v>2</v>
      </c>
      <c r="L1178" s="84">
        <v>0</v>
      </c>
      <c r="M1178" s="85">
        <v>43663</v>
      </c>
      <c r="N1178" s="85" t="s">
        <v>265</v>
      </c>
      <c r="O1178" s="86" t="s">
        <v>340</v>
      </c>
      <c r="P1178" s="84" t="s">
        <v>26</v>
      </c>
      <c r="Q1178" s="86" t="s">
        <v>209</v>
      </c>
      <c r="R1178" s="86" t="s">
        <v>3279</v>
      </c>
      <c r="S1178" s="87" t="s">
        <v>562</v>
      </c>
      <c r="T1178" s="87" t="s">
        <v>3877</v>
      </c>
      <c r="U1178" s="88">
        <v>1740450</v>
      </c>
      <c r="V1178" s="88">
        <v>1879686</v>
      </c>
      <c r="W1178" s="88">
        <v>1740450</v>
      </c>
      <c r="X1178" s="88">
        <v>1879686</v>
      </c>
      <c r="Z1178" s="88">
        <v>0</v>
      </c>
      <c r="AA1178" s="85">
        <v>43678</v>
      </c>
      <c r="AB1178" s="85">
        <v>43708</v>
      </c>
      <c r="AD1178" s="84">
        <v>0</v>
      </c>
      <c r="AG1178" s="84">
        <v>0</v>
      </c>
      <c r="AJ1178" s="84">
        <v>0</v>
      </c>
      <c r="AN1178" s="84" t="s">
        <v>338</v>
      </c>
      <c r="AR1178" s="85">
        <v>43665</v>
      </c>
      <c r="AS1178" s="84">
        <v>6001695316</v>
      </c>
      <c r="AT1178" s="85">
        <v>43669</v>
      </c>
      <c r="AU1178" s="84" t="s">
        <v>3280</v>
      </c>
      <c r="AV1178" s="85">
        <v>43734</v>
      </c>
      <c r="AW1178" s="123">
        <v>43738</v>
      </c>
      <c r="AX1178" s="123">
        <v>43758</v>
      </c>
      <c r="AY1178" s="132">
        <v>1670832</v>
      </c>
      <c r="AZ1178" s="132">
        <v>1804499</v>
      </c>
      <c r="BC1178" s="88">
        <v>0</v>
      </c>
      <c r="BG1178" s="88">
        <v>0</v>
      </c>
      <c r="BK1178" s="88">
        <v>0</v>
      </c>
      <c r="BS1178" s="88">
        <v>0</v>
      </c>
      <c r="BV1178" s="89">
        <v>1879686</v>
      </c>
      <c r="BW1178" s="89">
        <v>0</v>
      </c>
      <c r="BX1178" s="89">
        <v>43663</v>
      </c>
      <c r="BY1178" s="89">
        <v>1879686</v>
      </c>
      <c r="BZ1178" s="112">
        <v>100</v>
      </c>
      <c r="CD1178" s="87" t="s">
        <v>3281</v>
      </c>
      <c r="CK1178" s="88">
        <v>0</v>
      </c>
    </row>
    <row r="1179" spans="1:89" x14ac:dyDescent="0.15">
      <c r="A1179" s="84">
        <v>2</v>
      </c>
      <c r="B1179" s="85">
        <v>43670</v>
      </c>
      <c r="C1179" s="85">
        <v>43671</v>
      </c>
      <c r="D1179" s="85">
        <v>43669</v>
      </c>
      <c r="E1179" s="85">
        <v>43669</v>
      </c>
      <c r="F1179" s="85" t="s">
        <v>338</v>
      </c>
      <c r="G1179" s="85">
        <v>43669</v>
      </c>
      <c r="H1179" s="85" t="s">
        <v>338</v>
      </c>
      <c r="I1179" s="84" t="s">
        <v>547</v>
      </c>
      <c r="J1179" s="84">
        <v>2</v>
      </c>
      <c r="L1179" s="84">
        <v>0</v>
      </c>
      <c r="M1179" s="85">
        <v>43664</v>
      </c>
      <c r="N1179" s="85" t="s">
        <v>265</v>
      </c>
      <c r="O1179" s="86" t="s">
        <v>340</v>
      </c>
      <c r="P1179" s="84" t="s">
        <v>6</v>
      </c>
      <c r="Q1179" s="86" t="s">
        <v>209</v>
      </c>
      <c r="R1179" s="86" t="s">
        <v>3282</v>
      </c>
      <c r="S1179" s="87" t="s">
        <v>1085</v>
      </c>
      <c r="T1179" s="87" t="s">
        <v>342</v>
      </c>
      <c r="U1179" s="88">
        <v>35000</v>
      </c>
      <c r="V1179" s="88">
        <v>37800</v>
      </c>
      <c r="W1179" s="88">
        <v>35000</v>
      </c>
      <c r="X1179" s="88">
        <v>37800</v>
      </c>
      <c r="Z1179" s="88">
        <v>0</v>
      </c>
      <c r="AA1179" s="85">
        <v>43668</v>
      </c>
      <c r="AB1179" s="85">
        <v>43668</v>
      </c>
      <c r="AD1179" s="84">
        <v>0</v>
      </c>
      <c r="AG1179" s="84">
        <v>0</v>
      </c>
      <c r="AJ1179" s="84">
        <v>0</v>
      </c>
      <c r="AN1179" s="84" t="s">
        <v>338</v>
      </c>
      <c r="AR1179" s="85">
        <v>43669</v>
      </c>
      <c r="AS1179" s="84">
        <v>6001696209</v>
      </c>
      <c r="AT1179" s="85">
        <v>43669</v>
      </c>
      <c r="AU1179" s="84" t="s">
        <v>2940</v>
      </c>
      <c r="AV1179" s="85">
        <v>43671</v>
      </c>
      <c r="AW1179" s="123">
        <v>43677</v>
      </c>
      <c r="AX1179" s="123">
        <v>43697</v>
      </c>
      <c r="AY1179" s="132">
        <v>33600</v>
      </c>
      <c r="AZ1179" s="132">
        <f>ROUNDDOWN(AY1179+(AY1179*MASTER!$A$2/100),0)</f>
        <v>36288</v>
      </c>
      <c r="BA1179" s="84" t="s">
        <v>540</v>
      </c>
      <c r="BB1179" s="88">
        <v>33000</v>
      </c>
      <c r="BC1179" s="88">
        <v>35640</v>
      </c>
      <c r="BD1179" s="84" t="s">
        <v>3158</v>
      </c>
      <c r="BG1179" s="88">
        <v>0</v>
      </c>
      <c r="BK1179" s="88">
        <v>0</v>
      </c>
      <c r="BS1179" s="88">
        <v>0</v>
      </c>
      <c r="BV1179" s="89">
        <v>37800</v>
      </c>
      <c r="BW1179" s="89">
        <v>35640</v>
      </c>
      <c r="BX1179" s="89">
        <v>43664</v>
      </c>
      <c r="BY1179" s="89">
        <v>2160</v>
      </c>
      <c r="BZ1179" s="112">
        <v>5.7142857142857144</v>
      </c>
      <c r="CK1179" s="88">
        <v>0</v>
      </c>
    </row>
    <row r="1180" spans="1:89" x14ac:dyDescent="0.15">
      <c r="A1180" s="84">
        <v>2</v>
      </c>
      <c r="B1180" s="85">
        <v>43670</v>
      </c>
      <c r="C1180" s="85">
        <v>43696</v>
      </c>
      <c r="D1180" s="85">
        <v>43705</v>
      </c>
      <c r="E1180" s="85">
        <v>43697</v>
      </c>
      <c r="F1180" s="85">
        <v>43702</v>
      </c>
      <c r="G1180" s="85">
        <v>43698</v>
      </c>
      <c r="H1180" s="85">
        <v>43698</v>
      </c>
      <c r="I1180" s="84" t="s">
        <v>401</v>
      </c>
      <c r="J1180" s="84">
        <v>2</v>
      </c>
      <c r="L1180" s="84">
        <v>0</v>
      </c>
      <c r="M1180" s="85">
        <v>43664</v>
      </c>
      <c r="N1180" s="85" t="s">
        <v>265</v>
      </c>
      <c r="O1180" s="86" t="s">
        <v>340</v>
      </c>
      <c r="P1180" s="84" t="s">
        <v>26</v>
      </c>
      <c r="Q1180" s="86" t="s">
        <v>209</v>
      </c>
      <c r="R1180" s="86" t="s">
        <v>3283</v>
      </c>
      <c r="S1180" s="87" t="s">
        <v>1986</v>
      </c>
      <c r="T1180" s="87" t="s">
        <v>2952</v>
      </c>
      <c r="U1180" s="88">
        <v>49500</v>
      </c>
      <c r="V1180" s="88">
        <v>53460</v>
      </c>
      <c r="W1180" s="88">
        <v>49500</v>
      </c>
      <c r="X1180" s="88">
        <v>53460</v>
      </c>
      <c r="Z1180" s="88">
        <v>0</v>
      </c>
      <c r="AA1180" s="85">
        <v>43694</v>
      </c>
      <c r="AB1180" s="85">
        <v>43695</v>
      </c>
      <c r="AC1180" s="85">
        <v>43695</v>
      </c>
      <c r="AD1180" s="84">
        <v>0</v>
      </c>
      <c r="AG1180" s="84">
        <v>0</v>
      </c>
      <c r="AJ1180" s="84">
        <v>0</v>
      </c>
      <c r="AN1180" s="84" t="s">
        <v>338</v>
      </c>
      <c r="AR1180" s="85">
        <v>43665</v>
      </c>
      <c r="AS1180" s="84">
        <v>6001695315</v>
      </c>
      <c r="AT1180" s="85">
        <v>43669</v>
      </c>
      <c r="AU1180" s="84" t="s">
        <v>3237</v>
      </c>
      <c r="AV1180" s="85">
        <v>43696</v>
      </c>
      <c r="AW1180" s="123">
        <v>43708</v>
      </c>
      <c r="AX1180" s="123">
        <v>43728</v>
      </c>
      <c r="AY1180" s="132">
        <v>47520</v>
      </c>
      <c r="AZ1180" s="132">
        <v>51322</v>
      </c>
      <c r="BA1180" s="84" t="s">
        <v>543</v>
      </c>
      <c r="BB1180" s="88">
        <v>23000</v>
      </c>
      <c r="BC1180" s="88">
        <v>24840</v>
      </c>
      <c r="BD1180" s="84" t="s">
        <v>2849</v>
      </c>
      <c r="BG1180" s="88">
        <v>0</v>
      </c>
      <c r="BK1180" s="88">
        <v>0</v>
      </c>
      <c r="BS1180" s="88">
        <v>0</v>
      </c>
      <c r="BV1180" s="89">
        <v>53460</v>
      </c>
      <c r="BW1180" s="89">
        <v>24840</v>
      </c>
      <c r="BX1180" s="89">
        <v>43664</v>
      </c>
      <c r="BY1180" s="89">
        <v>28620</v>
      </c>
      <c r="BZ1180" s="112">
        <v>53.535353535353536</v>
      </c>
      <c r="CK1180" s="88">
        <v>0</v>
      </c>
    </row>
    <row r="1181" spans="1:89" x14ac:dyDescent="0.15">
      <c r="A1181" s="84">
        <v>2</v>
      </c>
      <c r="B1181" s="85">
        <v>43677</v>
      </c>
      <c r="C1181" s="85">
        <v>43707</v>
      </c>
      <c r="D1181" s="85">
        <v>43705</v>
      </c>
      <c r="E1181" s="85">
        <v>43697</v>
      </c>
      <c r="F1181" s="85">
        <v>43693</v>
      </c>
      <c r="G1181" s="85">
        <v>43686</v>
      </c>
      <c r="H1181" s="85">
        <v>43689</v>
      </c>
      <c r="I1181" s="84" t="s">
        <v>401</v>
      </c>
      <c r="J1181" s="84">
        <v>1</v>
      </c>
      <c r="L1181" s="84">
        <v>0</v>
      </c>
      <c r="M1181" s="85">
        <v>43664</v>
      </c>
      <c r="N1181" s="85" t="s">
        <v>265</v>
      </c>
      <c r="O1181" s="86" t="s">
        <v>340</v>
      </c>
      <c r="P1181" s="84" t="s">
        <v>26</v>
      </c>
      <c r="Q1181" s="86" t="s">
        <v>209</v>
      </c>
      <c r="R1181" s="86" t="s">
        <v>3284</v>
      </c>
      <c r="S1181" s="87" t="s">
        <v>1845</v>
      </c>
      <c r="T1181" s="87" t="s">
        <v>2864</v>
      </c>
      <c r="U1181" s="88">
        <v>180000</v>
      </c>
      <c r="V1181" s="88">
        <v>194400</v>
      </c>
      <c r="W1181" s="88">
        <v>115000</v>
      </c>
      <c r="X1181" s="88">
        <v>124200</v>
      </c>
      <c r="Y1181" s="88">
        <v>65000</v>
      </c>
      <c r="Z1181" s="88">
        <v>70200</v>
      </c>
      <c r="AA1181" s="85">
        <v>43685</v>
      </c>
      <c r="AB1181" s="85">
        <v>43686</v>
      </c>
      <c r="AC1181" s="85">
        <v>43686</v>
      </c>
      <c r="AD1181" s="84">
        <v>0</v>
      </c>
      <c r="AG1181" s="84">
        <v>0</v>
      </c>
      <c r="AJ1181" s="84">
        <v>0</v>
      </c>
      <c r="AN1181" s="84" t="s">
        <v>338</v>
      </c>
      <c r="AR1181" s="85">
        <v>43665</v>
      </c>
      <c r="AS1181" s="84">
        <v>6001695315</v>
      </c>
      <c r="AT1181" s="85">
        <v>43669</v>
      </c>
      <c r="AU1181" s="84" t="s">
        <v>3237</v>
      </c>
      <c r="AV1181" s="85">
        <v>43707</v>
      </c>
      <c r="AW1181" s="123">
        <v>43708</v>
      </c>
      <c r="AX1181" s="123">
        <v>43728</v>
      </c>
      <c r="AY1181" s="132">
        <v>172800</v>
      </c>
      <c r="AZ1181" s="132">
        <f>ROUNDDOWN(AY1181+(AY1181*MASTER!$A$2/100),0)</f>
        <v>186624</v>
      </c>
      <c r="BA1181" s="84" t="s">
        <v>543</v>
      </c>
      <c r="BB1181" s="88">
        <v>54000</v>
      </c>
      <c r="BC1181" s="88">
        <v>58320</v>
      </c>
      <c r="BD1181" s="84" t="s">
        <v>2849</v>
      </c>
      <c r="BG1181" s="88">
        <v>0</v>
      </c>
      <c r="BI1181" s="84" t="s">
        <v>434</v>
      </c>
      <c r="BJ1181" s="88">
        <v>42250</v>
      </c>
      <c r="BK1181" s="88">
        <v>45630</v>
      </c>
      <c r="BL1181" s="84" t="s">
        <v>2849</v>
      </c>
      <c r="BS1181" s="88">
        <v>0</v>
      </c>
      <c r="BV1181" s="89">
        <v>124200</v>
      </c>
      <c r="BW1181" s="89">
        <v>103950</v>
      </c>
      <c r="BX1181" s="89">
        <v>43664</v>
      </c>
      <c r="BY1181" s="89">
        <v>20250</v>
      </c>
      <c r="BZ1181" s="112">
        <v>16.304347826086957</v>
      </c>
      <c r="CK1181" s="88">
        <v>0</v>
      </c>
    </row>
    <row r="1182" spans="1:89" x14ac:dyDescent="0.15">
      <c r="A1182" s="84">
        <v>2</v>
      </c>
      <c r="B1182" s="85">
        <v>43677</v>
      </c>
      <c r="C1182" s="85">
        <v>43707</v>
      </c>
      <c r="E1182" s="85">
        <v>43697</v>
      </c>
      <c r="F1182" s="85">
        <v>43693</v>
      </c>
      <c r="G1182" s="85">
        <v>43686</v>
      </c>
      <c r="H1182" s="85">
        <v>43689</v>
      </c>
      <c r="I1182" s="84" t="s">
        <v>401</v>
      </c>
      <c r="J1182" s="84">
        <v>1</v>
      </c>
      <c r="L1182" s="84">
        <v>0</v>
      </c>
      <c r="M1182" s="85">
        <v>43664</v>
      </c>
      <c r="N1182" s="85" t="s">
        <v>265</v>
      </c>
      <c r="O1182" s="86" t="s">
        <v>340</v>
      </c>
      <c r="P1182" s="84" t="s">
        <v>26</v>
      </c>
      <c r="Q1182" s="86" t="s">
        <v>209</v>
      </c>
      <c r="R1182" s="86" t="s">
        <v>3285</v>
      </c>
      <c r="S1182" s="87" t="s">
        <v>1845</v>
      </c>
      <c r="T1182" s="87" t="s">
        <v>2876</v>
      </c>
      <c r="U1182" s="88">
        <v>95000</v>
      </c>
      <c r="V1182" s="88">
        <v>102600</v>
      </c>
      <c r="W1182" s="88">
        <v>80000</v>
      </c>
      <c r="X1182" s="88">
        <v>86400</v>
      </c>
      <c r="Y1182" s="88">
        <v>15000</v>
      </c>
      <c r="Z1182" s="88">
        <v>16200</v>
      </c>
      <c r="AA1182" s="85">
        <v>43685</v>
      </c>
      <c r="AB1182" s="85">
        <v>43686</v>
      </c>
      <c r="AC1182" s="85">
        <v>43686</v>
      </c>
      <c r="AD1182" s="84">
        <v>0</v>
      </c>
      <c r="AG1182" s="84">
        <v>0</v>
      </c>
      <c r="AJ1182" s="84">
        <v>0</v>
      </c>
      <c r="AN1182" s="84" t="s">
        <v>338</v>
      </c>
      <c r="AR1182" s="85">
        <v>43665</v>
      </c>
      <c r="AS1182" s="84">
        <v>6001695315</v>
      </c>
      <c r="AT1182" s="85">
        <v>43669</v>
      </c>
      <c r="AU1182" s="84" t="s">
        <v>3237</v>
      </c>
      <c r="AV1182" s="85">
        <v>43707</v>
      </c>
      <c r="AW1182" s="123">
        <v>43708</v>
      </c>
      <c r="AX1182" s="123">
        <v>43728</v>
      </c>
      <c r="AY1182" s="132">
        <v>91200</v>
      </c>
      <c r="AZ1182" s="132">
        <f>ROUNDDOWN(AY1182+(AY1182*MASTER!$A$2/100),0)</f>
        <v>98496</v>
      </c>
      <c r="BA1182" s="84" t="s">
        <v>778</v>
      </c>
      <c r="BC1182" s="88">
        <v>0</v>
      </c>
      <c r="BG1182" s="88">
        <v>0</v>
      </c>
      <c r="BI1182" s="84" t="s">
        <v>276</v>
      </c>
      <c r="BJ1182" s="88">
        <v>9750</v>
      </c>
      <c r="BK1182" s="88">
        <v>10530</v>
      </c>
      <c r="BL1182" s="84" t="s">
        <v>3158</v>
      </c>
      <c r="BS1182" s="88">
        <v>0</v>
      </c>
      <c r="BV1182" s="89">
        <v>86400</v>
      </c>
      <c r="BW1182" s="89">
        <v>10530</v>
      </c>
      <c r="BX1182" s="89">
        <v>43664</v>
      </c>
      <c r="BY1182" s="89">
        <v>75870</v>
      </c>
      <c r="BZ1182" s="112">
        <v>87.8125</v>
      </c>
      <c r="CK1182" s="88">
        <v>0</v>
      </c>
    </row>
    <row r="1183" spans="1:89" x14ac:dyDescent="0.15">
      <c r="A1183" s="84">
        <v>2</v>
      </c>
      <c r="B1183" s="85">
        <v>43678</v>
      </c>
      <c r="C1183" s="85">
        <v>43684</v>
      </c>
      <c r="D1183" s="85">
        <v>43716</v>
      </c>
      <c r="E1183" s="85">
        <v>43686</v>
      </c>
      <c r="F1183" s="85">
        <v>43691</v>
      </c>
      <c r="G1183" s="85">
        <v>43684</v>
      </c>
      <c r="H1183" s="85">
        <v>43687</v>
      </c>
      <c r="I1183" s="84" t="s">
        <v>401</v>
      </c>
      <c r="J1183" s="84">
        <v>1</v>
      </c>
      <c r="L1183" s="84">
        <v>0</v>
      </c>
      <c r="M1183" s="85">
        <v>43665</v>
      </c>
      <c r="N1183" s="85" t="s">
        <v>265</v>
      </c>
      <c r="O1183" s="86" t="s">
        <v>340</v>
      </c>
      <c r="P1183" s="84" t="s">
        <v>26</v>
      </c>
      <c r="Q1183" s="86" t="s">
        <v>209</v>
      </c>
      <c r="R1183" s="86" t="s">
        <v>3286</v>
      </c>
      <c r="S1183" s="87" t="s">
        <v>900</v>
      </c>
      <c r="T1183" s="87" t="s">
        <v>831</v>
      </c>
      <c r="U1183" s="88">
        <v>166500</v>
      </c>
      <c r="V1183" s="88">
        <v>179820</v>
      </c>
      <c r="W1183" s="88">
        <v>78000</v>
      </c>
      <c r="X1183" s="88">
        <v>84240</v>
      </c>
      <c r="Y1183" s="88">
        <v>88500</v>
      </c>
      <c r="Z1183" s="88">
        <v>95580</v>
      </c>
      <c r="AA1183" s="85">
        <v>43682</v>
      </c>
      <c r="AB1183" s="85">
        <v>43684</v>
      </c>
      <c r="AC1183" s="85">
        <v>43684</v>
      </c>
      <c r="AD1183" s="84">
        <v>0</v>
      </c>
      <c r="AG1183" s="84">
        <v>0</v>
      </c>
      <c r="AJ1183" s="84">
        <v>0</v>
      </c>
      <c r="AM1183" s="84" t="s">
        <v>290</v>
      </c>
      <c r="AN1183" s="84" t="s">
        <v>3287</v>
      </c>
      <c r="AR1183" s="85">
        <v>43676</v>
      </c>
      <c r="AS1183" s="84">
        <v>6001698276</v>
      </c>
      <c r="AT1183" s="85">
        <v>43677</v>
      </c>
      <c r="AU1183" s="84" t="s">
        <v>3144</v>
      </c>
      <c r="AV1183" s="85">
        <v>43684</v>
      </c>
      <c r="AW1183" s="123">
        <v>43708</v>
      </c>
      <c r="AX1183" s="123">
        <v>43728</v>
      </c>
      <c r="AY1183" s="132">
        <v>159840</v>
      </c>
      <c r="AZ1183" s="132">
        <f>ROUNDDOWN(AY1183+(AY1183*MASTER!$A$2/100),0)</f>
        <v>172627</v>
      </c>
      <c r="BA1183" s="84" t="s">
        <v>477</v>
      </c>
      <c r="BB1183" s="88">
        <v>38000</v>
      </c>
      <c r="BC1183" s="88">
        <v>41040</v>
      </c>
      <c r="BD1183" s="84" t="s">
        <v>2849</v>
      </c>
      <c r="BG1183" s="88">
        <v>0</v>
      </c>
      <c r="BI1183" s="84" t="s">
        <v>434</v>
      </c>
      <c r="BJ1183" s="88">
        <v>57525</v>
      </c>
      <c r="BK1183" s="88">
        <v>62127</v>
      </c>
      <c r="BL1183" s="84" t="s">
        <v>2849</v>
      </c>
      <c r="BS1183" s="88">
        <v>0</v>
      </c>
      <c r="BV1183" s="89">
        <v>84240</v>
      </c>
      <c r="BW1183" s="89">
        <v>103167</v>
      </c>
      <c r="BX1183" s="89">
        <v>43665</v>
      </c>
      <c r="BY1183" s="89">
        <v>-18927</v>
      </c>
      <c r="BZ1183" s="112">
        <v>-22.467948717948719</v>
      </c>
      <c r="CK1183" s="88">
        <v>0</v>
      </c>
    </row>
    <row r="1184" spans="1:89" x14ac:dyDescent="0.15">
      <c r="A1184" s="84">
        <v>2</v>
      </c>
      <c r="B1184" s="85">
        <v>43706</v>
      </c>
      <c r="C1184" s="85">
        <v>43712</v>
      </c>
      <c r="D1184" s="85">
        <v>43745</v>
      </c>
      <c r="E1184" s="85">
        <v>43718</v>
      </c>
      <c r="F1184" s="85">
        <v>43719</v>
      </c>
      <c r="G1184" s="85">
        <v>43712</v>
      </c>
      <c r="H1184" s="85">
        <v>43715</v>
      </c>
      <c r="I1184" s="84" t="s">
        <v>401</v>
      </c>
      <c r="J1184" s="84">
        <v>1</v>
      </c>
      <c r="L1184" s="84">
        <v>0</v>
      </c>
      <c r="M1184" s="85">
        <v>43665</v>
      </c>
      <c r="N1184" s="85" t="s">
        <v>265</v>
      </c>
      <c r="O1184" s="86" t="s">
        <v>340</v>
      </c>
      <c r="P1184" s="84" t="s">
        <v>26</v>
      </c>
      <c r="Q1184" s="86" t="s">
        <v>209</v>
      </c>
      <c r="R1184" s="86" t="s">
        <v>3550</v>
      </c>
      <c r="S1184" s="87" t="s">
        <v>566</v>
      </c>
      <c r="T1184" s="87" t="s">
        <v>1308</v>
      </c>
      <c r="U1184" s="88">
        <v>59000</v>
      </c>
      <c r="V1184" s="88">
        <v>63720</v>
      </c>
      <c r="W1184" s="88">
        <v>47000</v>
      </c>
      <c r="X1184" s="88">
        <v>50760</v>
      </c>
      <c r="Y1184" s="88">
        <v>12000</v>
      </c>
      <c r="Z1184" s="88">
        <v>12960</v>
      </c>
      <c r="AA1184" s="85">
        <v>43711</v>
      </c>
      <c r="AB1184" s="85">
        <v>43712</v>
      </c>
      <c r="AC1184" s="85">
        <v>43712</v>
      </c>
      <c r="AD1184" s="84">
        <v>0</v>
      </c>
      <c r="AG1184" s="84">
        <v>0</v>
      </c>
      <c r="AJ1184" s="84">
        <v>0</v>
      </c>
      <c r="AM1184" s="84" t="s">
        <v>290</v>
      </c>
      <c r="AN1184" s="84" t="s">
        <v>3551</v>
      </c>
      <c r="AR1184" s="85">
        <v>43705</v>
      </c>
      <c r="AS1184" s="84">
        <v>6001706491</v>
      </c>
      <c r="AT1184" s="85">
        <v>43705</v>
      </c>
      <c r="AU1184" s="84" t="s">
        <v>3542</v>
      </c>
      <c r="AV1184" s="85">
        <v>43712</v>
      </c>
      <c r="AW1184" s="123">
        <v>43738</v>
      </c>
      <c r="AX1184" s="123">
        <v>43758</v>
      </c>
      <c r="AY1184" s="132">
        <v>56640</v>
      </c>
      <c r="AZ1184" s="132">
        <f>ROUNDDOWN(AY1184+(AY1184*MASTER!$A$2/100),0)</f>
        <v>61171</v>
      </c>
      <c r="BA1184" s="84" t="s">
        <v>477</v>
      </c>
      <c r="BB1184" s="88">
        <v>38000</v>
      </c>
      <c r="BC1184" s="88">
        <v>41040</v>
      </c>
      <c r="BD1184" s="84" t="s">
        <v>3431</v>
      </c>
      <c r="BG1184" s="88">
        <v>0</v>
      </c>
      <c r="BI1184" s="84" t="s">
        <v>434</v>
      </c>
      <c r="BJ1184" s="88">
        <v>7800</v>
      </c>
      <c r="BK1184" s="88">
        <v>8424</v>
      </c>
      <c r="BL1184" s="84" t="s">
        <v>3431</v>
      </c>
      <c r="BS1184" s="88">
        <v>0</v>
      </c>
      <c r="BV1184" s="89">
        <v>50760</v>
      </c>
      <c r="BW1184" s="89">
        <v>49464</v>
      </c>
      <c r="BX1184" s="89">
        <v>43665</v>
      </c>
      <c r="BY1184" s="89">
        <v>1296</v>
      </c>
      <c r="BZ1184" s="112">
        <v>2.5531914893617018</v>
      </c>
      <c r="CK1184" s="88">
        <v>0</v>
      </c>
    </row>
    <row r="1185" spans="1:89" x14ac:dyDescent="0.15">
      <c r="A1185" s="84">
        <v>2</v>
      </c>
      <c r="B1185" s="85">
        <v>43677</v>
      </c>
      <c r="C1185" s="85">
        <v>43707</v>
      </c>
      <c r="D1185" s="85">
        <v>43706</v>
      </c>
      <c r="E1185" s="85">
        <v>43706</v>
      </c>
      <c r="F1185" s="85" t="s">
        <v>338</v>
      </c>
      <c r="G1185" s="85">
        <v>43684</v>
      </c>
      <c r="H1185" s="85" t="s">
        <v>338</v>
      </c>
      <c r="I1185" s="84" t="s">
        <v>1191</v>
      </c>
      <c r="J1185" s="84">
        <v>2</v>
      </c>
      <c r="L1185" s="84">
        <v>0</v>
      </c>
      <c r="M1185" s="85">
        <v>43665</v>
      </c>
      <c r="N1185" s="85" t="s">
        <v>265</v>
      </c>
      <c r="O1185" s="86" t="s">
        <v>340</v>
      </c>
      <c r="P1185" s="84" t="s">
        <v>26</v>
      </c>
      <c r="Q1185" s="86" t="s">
        <v>209</v>
      </c>
      <c r="R1185" s="86" t="s">
        <v>3288</v>
      </c>
      <c r="S1185" s="87" t="s">
        <v>1680</v>
      </c>
      <c r="T1185" s="87" t="s">
        <v>3289</v>
      </c>
      <c r="U1185" s="88">
        <v>100500</v>
      </c>
      <c r="V1185" s="88">
        <v>108540</v>
      </c>
      <c r="W1185" s="88">
        <v>100500</v>
      </c>
      <c r="X1185" s="88">
        <v>108540</v>
      </c>
      <c r="Z1185" s="88">
        <v>0</v>
      </c>
      <c r="AA1185" s="85">
        <v>43682</v>
      </c>
      <c r="AB1185" s="85">
        <v>43683</v>
      </c>
      <c r="AD1185" s="84">
        <v>0</v>
      </c>
      <c r="AG1185" s="84">
        <v>0</v>
      </c>
      <c r="AJ1185" s="84">
        <v>0</v>
      </c>
      <c r="AN1185" s="84" t="s">
        <v>338</v>
      </c>
      <c r="AR1185" s="85">
        <v>43670</v>
      </c>
      <c r="AS1185" s="84">
        <v>6001697116</v>
      </c>
      <c r="AT1185" s="85">
        <v>43671</v>
      </c>
      <c r="AU1185" s="84" t="s">
        <v>3219</v>
      </c>
      <c r="AV1185" s="85">
        <v>43707</v>
      </c>
      <c r="AW1185" s="123">
        <v>43708</v>
      </c>
      <c r="AX1185" s="123">
        <v>43728</v>
      </c>
      <c r="AY1185" s="132">
        <v>96480</v>
      </c>
      <c r="AZ1185" s="132">
        <f>ROUNDDOWN(AY1185+(AY1185*MASTER!$A$2/100),0)</f>
        <v>104198</v>
      </c>
      <c r="BA1185" s="84" t="s">
        <v>287</v>
      </c>
      <c r="BB1185" s="88">
        <v>52000</v>
      </c>
      <c r="BC1185" s="88">
        <v>56160</v>
      </c>
      <c r="BD1185" s="84" t="s">
        <v>2849</v>
      </c>
      <c r="BG1185" s="88">
        <v>0</v>
      </c>
      <c r="BK1185" s="88">
        <v>0</v>
      </c>
      <c r="BS1185" s="88">
        <v>0</v>
      </c>
      <c r="BV1185" s="89">
        <v>108540</v>
      </c>
      <c r="BW1185" s="89">
        <v>56160</v>
      </c>
      <c r="BX1185" s="89">
        <v>43665</v>
      </c>
      <c r="BY1185" s="89">
        <v>52380</v>
      </c>
      <c r="BZ1185" s="112">
        <v>48.258706467661696</v>
      </c>
      <c r="CK1185" s="88">
        <v>0</v>
      </c>
    </row>
    <row r="1186" spans="1:89" x14ac:dyDescent="0.15">
      <c r="A1186" s="84">
        <v>2</v>
      </c>
      <c r="B1186" s="85">
        <v>43675</v>
      </c>
      <c r="C1186" s="85">
        <v>43707</v>
      </c>
      <c r="E1186" s="85">
        <v>43699</v>
      </c>
      <c r="F1186" s="85" t="s">
        <v>338</v>
      </c>
      <c r="G1186" s="85">
        <v>43675</v>
      </c>
      <c r="H1186" s="85" t="s">
        <v>338</v>
      </c>
      <c r="I1186" s="84" t="s">
        <v>1191</v>
      </c>
      <c r="J1186" s="84">
        <v>2</v>
      </c>
      <c r="L1186" s="84">
        <v>0</v>
      </c>
      <c r="M1186" s="85">
        <v>43665</v>
      </c>
      <c r="N1186" s="85" t="s">
        <v>265</v>
      </c>
      <c r="O1186" s="86" t="s">
        <v>340</v>
      </c>
      <c r="P1186" s="84" t="s">
        <v>26</v>
      </c>
      <c r="Q1186" s="86" t="s">
        <v>209</v>
      </c>
      <c r="R1186" s="86" t="s">
        <v>3290</v>
      </c>
      <c r="S1186" s="87" t="s">
        <v>1053</v>
      </c>
      <c r="T1186" s="87" t="s">
        <v>3291</v>
      </c>
      <c r="U1186" s="88">
        <v>60500</v>
      </c>
      <c r="V1186" s="88">
        <v>65340</v>
      </c>
      <c r="W1186" s="88">
        <v>60500</v>
      </c>
      <c r="X1186" s="88">
        <v>65340</v>
      </c>
      <c r="Z1186" s="88">
        <v>0</v>
      </c>
      <c r="AA1186" s="85">
        <v>43674</v>
      </c>
      <c r="AB1186" s="85">
        <v>43674</v>
      </c>
      <c r="AD1186" s="84">
        <v>0</v>
      </c>
      <c r="AG1186" s="84">
        <v>0</v>
      </c>
      <c r="AJ1186" s="84">
        <v>0</v>
      </c>
      <c r="AN1186" s="84" t="s">
        <v>338</v>
      </c>
      <c r="AR1186" s="85">
        <v>43670</v>
      </c>
      <c r="AS1186" s="84">
        <v>6001697116</v>
      </c>
      <c r="AT1186" s="85">
        <v>43671</v>
      </c>
      <c r="AU1186" s="84" t="s">
        <v>3219</v>
      </c>
      <c r="AV1186" s="85">
        <v>43707</v>
      </c>
      <c r="AW1186" s="123">
        <v>43677</v>
      </c>
      <c r="AX1186" s="123">
        <v>43697</v>
      </c>
      <c r="AY1186" s="132">
        <v>58080</v>
      </c>
      <c r="AZ1186" s="132">
        <f>ROUNDDOWN(AY1186+(AY1186*MASTER!$A$2/100),0)</f>
        <v>62726</v>
      </c>
      <c r="BA1186" s="84" t="s">
        <v>287</v>
      </c>
      <c r="BB1186" s="88">
        <v>34000</v>
      </c>
      <c r="BC1186" s="88">
        <v>36720</v>
      </c>
      <c r="BD1186" s="84" t="s">
        <v>2849</v>
      </c>
      <c r="BG1186" s="88">
        <v>0</v>
      </c>
      <c r="BK1186" s="88">
        <v>0</v>
      </c>
      <c r="BS1186" s="88">
        <v>0</v>
      </c>
      <c r="BV1186" s="89">
        <v>65340</v>
      </c>
      <c r="BW1186" s="89">
        <v>36720</v>
      </c>
      <c r="BX1186" s="89">
        <v>43665</v>
      </c>
      <c r="BY1186" s="89">
        <v>28620</v>
      </c>
      <c r="BZ1186" s="112">
        <v>43.801652892561982</v>
      </c>
      <c r="CK1186" s="88">
        <v>0</v>
      </c>
    </row>
    <row r="1187" spans="1:89" x14ac:dyDescent="0.15">
      <c r="A1187" s="84">
        <v>2</v>
      </c>
      <c r="B1187" s="85">
        <v>43684</v>
      </c>
      <c r="C1187" s="85">
        <v>43707</v>
      </c>
      <c r="E1187" s="85">
        <v>43706</v>
      </c>
      <c r="F1187" s="85">
        <v>43708</v>
      </c>
      <c r="G1187" s="85">
        <v>43703</v>
      </c>
      <c r="H1187" s="85">
        <v>43704</v>
      </c>
      <c r="I1187" s="84" t="s">
        <v>1191</v>
      </c>
      <c r="J1187" s="84">
        <v>2</v>
      </c>
      <c r="L1187" s="84">
        <v>0</v>
      </c>
      <c r="M1187" s="85">
        <v>43665</v>
      </c>
      <c r="N1187" s="85" t="s">
        <v>265</v>
      </c>
      <c r="O1187" s="86" t="s">
        <v>340</v>
      </c>
      <c r="P1187" s="84" t="s">
        <v>26</v>
      </c>
      <c r="Q1187" s="86" t="s">
        <v>209</v>
      </c>
      <c r="R1187" s="86" t="s">
        <v>3417</v>
      </c>
      <c r="S1187" s="87" t="s">
        <v>1047</v>
      </c>
      <c r="T1187" s="87" t="s">
        <v>3293</v>
      </c>
      <c r="U1187" s="88">
        <v>100500</v>
      </c>
      <c r="V1187" s="88">
        <v>108540</v>
      </c>
      <c r="W1187" s="88">
        <v>100500</v>
      </c>
      <c r="X1187" s="88">
        <v>108540</v>
      </c>
      <c r="Z1187" s="88">
        <v>0</v>
      </c>
      <c r="AA1187" s="85">
        <v>43700</v>
      </c>
      <c r="AB1187" s="85">
        <v>43701</v>
      </c>
      <c r="AC1187" s="85">
        <v>43701</v>
      </c>
      <c r="AD1187" s="84">
        <v>0</v>
      </c>
      <c r="AG1187" s="84">
        <v>0</v>
      </c>
      <c r="AJ1187" s="84">
        <v>0</v>
      </c>
      <c r="AN1187" s="84" t="s">
        <v>338</v>
      </c>
      <c r="AR1187" s="85">
        <v>43670</v>
      </c>
      <c r="AS1187" s="84">
        <v>6001697116</v>
      </c>
      <c r="AT1187" s="85">
        <v>43671</v>
      </c>
      <c r="AU1187" s="84" t="s">
        <v>3219</v>
      </c>
      <c r="AV1187" s="85">
        <v>43707</v>
      </c>
      <c r="AW1187" s="123">
        <v>43708</v>
      </c>
      <c r="AX1187" s="123">
        <v>43728</v>
      </c>
      <c r="AY1187" s="132">
        <v>96480</v>
      </c>
      <c r="AZ1187" s="132">
        <f>ROUNDDOWN(AY1187+(AY1187*MASTER!$A$2/100),0)</f>
        <v>104198</v>
      </c>
      <c r="BA1187" s="84" t="s">
        <v>287</v>
      </c>
      <c r="BB1187" s="88">
        <v>51000</v>
      </c>
      <c r="BC1187" s="88">
        <v>55080</v>
      </c>
      <c r="BD1187" s="84" t="s">
        <v>3431</v>
      </c>
      <c r="BG1187" s="88">
        <v>0</v>
      </c>
      <c r="BK1187" s="88">
        <v>0</v>
      </c>
      <c r="BS1187" s="88">
        <v>0</v>
      </c>
      <c r="BV1187" s="89">
        <v>108540</v>
      </c>
      <c r="BW1187" s="89">
        <v>55080</v>
      </c>
      <c r="BX1187" s="89">
        <v>43665</v>
      </c>
      <c r="BY1187" s="89">
        <v>53460</v>
      </c>
      <c r="BZ1187" s="112">
        <v>49.253731343283583</v>
      </c>
      <c r="CK1187" s="88">
        <v>0</v>
      </c>
    </row>
    <row r="1188" spans="1:89" x14ac:dyDescent="0.15">
      <c r="A1188" s="84">
        <v>2</v>
      </c>
      <c r="B1188" s="85">
        <v>43684</v>
      </c>
      <c r="C1188" s="85">
        <v>43707</v>
      </c>
      <c r="E1188" s="85">
        <v>43706</v>
      </c>
      <c r="F1188" s="85">
        <v>43706</v>
      </c>
      <c r="G1188" s="85">
        <v>43699</v>
      </c>
      <c r="H1188" s="85">
        <v>43702</v>
      </c>
      <c r="I1188" s="84" t="s">
        <v>1191</v>
      </c>
      <c r="J1188" s="84">
        <v>2</v>
      </c>
      <c r="L1188" s="84">
        <v>0</v>
      </c>
      <c r="M1188" s="85">
        <v>43665</v>
      </c>
      <c r="N1188" s="85" t="s">
        <v>265</v>
      </c>
      <c r="O1188" s="86" t="s">
        <v>340</v>
      </c>
      <c r="P1188" s="84" t="s">
        <v>26</v>
      </c>
      <c r="Q1188" s="86" t="s">
        <v>209</v>
      </c>
      <c r="R1188" s="86" t="s">
        <v>3292</v>
      </c>
      <c r="S1188" s="87" t="s">
        <v>1274</v>
      </c>
      <c r="T1188" s="87" t="s">
        <v>3293</v>
      </c>
      <c r="U1188" s="88">
        <v>100500</v>
      </c>
      <c r="V1188" s="88">
        <v>108540</v>
      </c>
      <c r="W1188" s="88">
        <v>100500</v>
      </c>
      <c r="X1188" s="88">
        <v>108540</v>
      </c>
      <c r="Z1188" s="88">
        <v>0</v>
      </c>
      <c r="AA1188" s="85">
        <v>43698</v>
      </c>
      <c r="AB1188" s="85">
        <v>43699</v>
      </c>
      <c r="AC1188" s="85">
        <v>43699</v>
      </c>
      <c r="AD1188" s="84">
        <v>0</v>
      </c>
      <c r="AG1188" s="84">
        <v>0</v>
      </c>
      <c r="AJ1188" s="84">
        <v>0</v>
      </c>
      <c r="AN1188" s="84" t="s">
        <v>338</v>
      </c>
      <c r="AR1188" s="85">
        <v>43670</v>
      </c>
      <c r="AS1188" s="84">
        <v>6001697116</v>
      </c>
      <c r="AT1188" s="85">
        <v>43671</v>
      </c>
      <c r="AU1188" s="84" t="s">
        <v>3219</v>
      </c>
      <c r="AV1188" s="85">
        <v>43707</v>
      </c>
      <c r="AW1188" s="123">
        <v>43708</v>
      </c>
      <c r="AX1188" s="123">
        <v>43728</v>
      </c>
      <c r="AY1188" s="132">
        <v>96480</v>
      </c>
      <c r="AZ1188" s="132">
        <f>ROUNDDOWN(AY1188+(AY1188*MASTER!$A$2/100),0)</f>
        <v>104198</v>
      </c>
      <c r="BA1188" s="84" t="s">
        <v>287</v>
      </c>
      <c r="BB1188" s="88">
        <v>51000</v>
      </c>
      <c r="BC1188" s="88">
        <v>55080</v>
      </c>
      <c r="BD1188" s="84" t="s">
        <v>3431</v>
      </c>
      <c r="BG1188" s="88">
        <v>0</v>
      </c>
      <c r="BK1188" s="88">
        <v>0</v>
      </c>
      <c r="BS1188" s="88">
        <v>0</v>
      </c>
      <c r="BV1188" s="89">
        <v>108540</v>
      </c>
      <c r="BW1188" s="89">
        <v>55080</v>
      </c>
      <c r="BX1188" s="89">
        <v>43665</v>
      </c>
      <c r="BY1188" s="89">
        <v>53460</v>
      </c>
      <c r="BZ1188" s="112">
        <v>49.253731343283583</v>
      </c>
      <c r="CK1188" s="88">
        <v>0</v>
      </c>
    </row>
    <row r="1189" spans="1:89" x14ac:dyDescent="0.15">
      <c r="A1189" s="84">
        <v>2</v>
      </c>
      <c r="B1189" s="85">
        <v>43684</v>
      </c>
      <c r="C1189" s="85">
        <v>43707</v>
      </c>
      <c r="E1189" s="85">
        <v>43706</v>
      </c>
      <c r="F1189" s="85" t="s">
        <v>338</v>
      </c>
      <c r="G1189" s="85">
        <v>43699</v>
      </c>
      <c r="H1189" s="85" t="s">
        <v>338</v>
      </c>
      <c r="I1189" s="84" t="s">
        <v>1191</v>
      </c>
      <c r="J1189" s="84">
        <v>2</v>
      </c>
      <c r="L1189" s="84">
        <v>0</v>
      </c>
      <c r="M1189" s="85">
        <v>43665</v>
      </c>
      <c r="N1189" s="85" t="s">
        <v>265</v>
      </c>
      <c r="O1189" s="86" t="s">
        <v>340</v>
      </c>
      <c r="P1189" s="84" t="s">
        <v>26</v>
      </c>
      <c r="Q1189" s="86" t="s">
        <v>209</v>
      </c>
      <c r="R1189" s="86" t="s">
        <v>3416</v>
      </c>
      <c r="S1189" s="87" t="s">
        <v>1464</v>
      </c>
      <c r="T1189" s="87" t="s">
        <v>3291</v>
      </c>
      <c r="U1189" s="88">
        <v>100500</v>
      </c>
      <c r="V1189" s="88">
        <v>108540</v>
      </c>
      <c r="W1189" s="88">
        <v>100500</v>
      </c>
      <c r="X1189" s="88">
        <v>108540</v>
      </c>
      <c r="Z1189" s="88">
        <v>0</v>
      </c>
      <c r="AA1189" s="85">
        <v>43697</v>
      </c>
      <c r="AB1189" s="85">
        <v>43698</v>
      </c>
      <c r="AD1189" s="84">
        <v>0</v>
      </c>
      <c r="AG1189" s="84">
        <v>0</v>
      </c>
      <c r="AJ1189" s="84">
        <v>0</v>
      </c>
      <c r="AN1189" s="84" t="s">
        <v>338</v>
      </c>
      <c r="AR1189" s="85">
        <v>43670</v>
      </c>
      <c r="AS1189" s="84">
        <v>6001697116</v>
      </c>
      <c r="AT1189" s="85">
        <v>43671</v>
      </c>
      <c r="AU1189" s="84" t="s">
        <v>3219</v>
      </c>
      <c r="AV1189" s="85">
        <v>43707</v>
      </c>
      <c r="AW1189" s="123">
        <v>43708</v>
      </c>
      <c r="AX1189" s="123">
        <v>43728</v>
      </c>
      <c r="AY1189" s="132">
        <v>96480</v>
      </c>
      <c r="AZ1189" s="132">
        <f>ROUNDDOWN(AY1189+(AY1189*MASTER!$A$2/100),0)</f>
        <v>104198</v>
      </c>
      <c r="BA1189" s="84" t="s">
        <v>287</v>
      </c>
      <c r="BB1189" s="88">
        <v>51000</v>
      </c>
      <c r="BC1189" s="88">
        <v>55080</v>
      </c>
      <c r="BD1189" s="84" t="s">
        <v>2849</v>
      </c>
      <c r="BG1189" s="88">
        <v>0</v>
      </c>
      <c r="BK1189" s="88">
        <v>0</v>
      </c>
      <c r="BS1189" s="88">
        <v>0</v>
      </c>
      <c r="BV1189" s="89">
        <v>108540</v>
      </c>
      <c r="BW1189" s="89">
        <v>55080</v>
      </c>
      <c r="BX1189" s="89">
        <v>43665</v>
      </c>
      <c r="BY1189" s="89">
        <v>53460</v>
      </c>
      <c r="BZ1189" s="112">
        <v>49.253731343283583</v>
      </c>
      <c r="CK1189" s="88">
        <v>0</v>
      </c>
    </row>
    <row r="1190" spans="1:89" x14ac:dyDescent="0.15">
      <c r="A1190" s="84">
        <v>2</v>
      </c>
      <c r="B1190" s="85">
        <v>43684</v>
      </c>
      <c r="C1190" s="85">
        <v>43707</v>
      </c>
      <c r="E1190" s="85">
        <v>43706</v>
      </c>
      <c r="F1190" s="85" t="s">
        <v>338</v>
      </c>
      <c r="G1190" s="85">
        <v>43699</v>
      </c>
      <c r="H1190" s="85" t="s">
        <v>338</v>
      </c>
      <c r="I1190" s="84" t="s">
        <v>1191</v>
      </c>
      <c r="J1190" s="84">
        <v>2</v>
      </c>
      <c r="L1190" s="84">
        <v>0</v>
      </c>
      <c r="M1190" s="85">
        <v>43665</v>
      </c>
      <c r="N1190" s="85" t="s">
        <v>265</v>
      </c>
      <c r="O1190" s="86" t="s">
        <v>340</v>
      </c>
      <c r="P1190" s="84" t="s">
        <v>26</v>
      </c>
      <c r="Q1190" s="86" t="s">
        <v>209</v>
      </c>
      <c r="R1190" s="86" t="s">
        <v>3414</v>
      </c>
      <c r="S1190" s="87" t="s">
        <v>1855</v>
      </c>
      <c r="T1190" s="87" t="s">
        <v>3415</v>
      </c>
      <c r="U1190" s="88">
        <v>100500</v>
      </c>
      <c r="V1190" s="88">
        <v>108540</v>
      </c>
      <c r="W1190" s="88">
        <v>100500</v>
      </c>
      <c r="X1190" s="88">
        <v>108540</v>
      </c>
      <c r="Z1190" s="88">
        <v>0</v>
      </c>
      <c r="AA1190" s="85">
        <v>43696</v>
      </c>
      <c r="AB1190" s="85">
        <v>43697</v>
      </c>
      <c r="AD1190" s="84">
        <v>0</v>
      </c>
      <c r="AG1190" s="84">
        <v>0</v>
      </c>
      <c r="AJ1190" s="84">
        <v>0</v>
      </c>
      <c r="AN1190" s="84" t="s">
        <v>338</v>
      </c>
      <c r="AR1190" s="85">
        <v>43670</v>
      </c>
      <c r="AS1190" s="84">
        <v>6001697116</v>
      </c>
      <c r="AT1190" s="85">
        <v>43671</v>
      </c>
      <c r="AU1190" s="84" t="s">
        <v>3219</v>
      </c>
      <c r="AV1190" s="85">
        <v>43707</v>
      </c>
      <c r="AW1190" s="123">
        <v>43708</v>
      </c>
      <c r="AX1190" s="123">
        <v>43728</v>
      </c>
      <c r="AY1190" s="132">
        <v>96480</v>
      </c>
      <c r="AZ1190" s="132">
        <f>ROUNDDOWN(AY1190+(AY1190*MASTER!$A$2/100),0)</f>
        <v>104198</v>
      </c>
      <c r="BA1190" s="84" t="s">
        <v>287</v>
      </c>
      <c r="BB1190" s="88">
        <v>50000</v>
      </c>
      <c r="BC1190" s="88">
        <v>54000</v>
      </c>
      <c r="BD1190" s="84" t="s">
        <v>2849</v>
      </c>
      <c r="BG1190" s="88">
        <v>0</v>
      </c>
      <c r="BK1190" s="88">
        <v>0</v>
      </c>
      <c r="BS1190" s="88">
        <v>0</v>
      </c>
      <c r="BV1190" s="89">
        <v>108540</v>
      </c>
      <c r="BW1190" s="89">
        <v>54000</v>
      </c>
      <c r="BX1190" s="89">
        <v>43665</v>
      </c>
      <c r="BY1190" s="89">
        <v>54540</v>
      </c>
      <c r="BZ1190" s="112">
        <v>50.248756218905477</v>
      </c>
      <c r="CK1190" s="88">
        <v>0</v>
      </c>
    </row>
    <row r="1191" spans="1:89" x14ac:dyDescent="0.15">
      <c r="A1191" s="84">
        <v>2</v>
      </c>
      <c r="B1191" s="85">
        <v>43684</v>
      </c>
      <c r="C1191" s="85">
        <v>43707</v>
      </c>
      <c r="E1191" s="85">
        <v>43706</v>
      </c>
      <c r="F1191" s="85">
        <v>43707</v>
      </c>
      <c r="G1191" s="85">
        <v>43700</v>
      </c>
      <c r="H1191" s="85">
        <v>43703</v>
      </c>
      <c r="I1191" s="84" t="s">
        <v>1191</v>
      </c>
      <c r="J1191" s="84">
        <v>2</v>
      </c>
      <c r="L1191" s="84">
        <v>0</v>
      </c>
      <c r="M1191" s="85">
        <v>43665</v>
      </c>
      <c r="N1191" s="85" t="s">
        <v>265</v>
      </c>
      <c r="O1191" s="86" t="s">
        <v>340</v>
      </c>
      <c r="P1191" s="84" t="s">
        <v>26</v>
      </c>
      <c r="Q1191" s="86" t="s">
        <v>209</v>
      </c>
      <c r="R1191" s="86" t="s">
        <v>3294</v>
      </c>
      <c r="S1191" s="87" t="s">
        <v>913</v>
      </c>
      <c r="T1191" s="87" t="s">
        <v>3291</v>
      </c>
      <c r="U1191" s="88">
        <v>100500</v>
      </c>
      <c r="V1191" s="88">
        <v>108540</v>
      </c>
      <c r="W1191" s="88">
        <v>100500</v>
      </c>
      <c r="X1191" s="88">
        <v>108540</v>
      </c>
      <c r="Z1191" s="88">
        <v>0</v>
      </c>
      <c r="AA1191" s="85">
        <v>43699</v>
      </c>
      <c r="AB1191" s="85">
        <v>43700</v>
      </c>
      <c r="AC1191" s="85">
        <v>43700</v>
      </c>
      <c r="AD1191" s="84">
        <v>0</v>
      </c>
      <c r="AG1191" s="84">
        <v>0</v>
      </c>
      <c r="AJ1191" s="84">
        <v>0</v>
      </c>
      <c r="AN1191" s="84" t="s">
        <v>338</v>
      </c>
      <c r="AR1191" s="85">
        <v>43670</v>
      </c>
      <c r="AS1191" s="84">
        <v>6001697116</v>
      </c>
      <c r="AT1191" s="85">
        <v>43671</v>
      </c>
      <c r="AU1191" s="84" t="s">
        <v>3219</v>
      </c>
      <c r="AV1191" s="85">
        <v>43707</v>
      </c>
      <c r="AW1191" s="123">
        <v>43708</v>
      </c>
      <c r="AX1191" s="123">
        <v>43728</v>
      </c>
      <c r="AY1191" s="132">
        <v>96480</v>
      </c>
      <c r="AZ1191" s="132">
        <f>ROUNDDOWN(AY1191+(AY1191*MASTER!$A$2/100),0)</f>
        <v>104198</v>
      </c>
      <c r="BA1191" s="84" t="s">
        <v>287</v>
      </c>
      <c r="BB1191" s="88">
        <v>50000</v>
      </c>
      <c r="BC1191" s="88">
        <v>54000</v>
      </c>
      <c r="BD1191" s="84" t="s">
        <v>3431</v>
      </c>
      <c r="BG1191" s="88">
        <v>0</v>
      </c>
      <c r="BK1191" s="88">
        <v>0</v>
      </c>
      <c r="BS1191" s="88">
        <v>0</v>
      </c>
      <c r="BV1191" s="89">
        <v>108540</v>
      </c>
      <c r="BW1191" s="89">
        <v>54000</v>
      </c>
      <c r="BX1191" s="89">
        <v>43665</v>
      </c>
      <c r="BY1191" s="89">
        <v>54540</v>
      </c>
      <c r="BZ1191" s="112">
        <v>50.248756218905477</v>
      </c>
      <c r="CK1191" s="88">
        <v>0</v>
      </c>
    </row>
    <row r="1192" spans="1:89" x14ac:dyDescent="0.15">
      <c r="A1192" s="84">
        <v>1</v>
      </c>
      <c r="C1192" s="85" t="s">
        <v>338</v>
      </c>
      <c r="F1192" s="85" t="s">
        <v>338</v>
      </c>
      <c r="H1192" s="85" t="s">
        <v>338</v>
      </c>
      <c r="J1192" s="84">
        <v>2</v>
      </c>
      <c r="L1192" s="84">
        <v>0</v>
      </c>
      <c r="M1192" s="85">
        <v>43665</v>
      </c>
      <c r="N1192" s="85" t="s">
        <v>265</v>
      </c>
      <c r="O1192" s="86" t="s">
        <v>340</v>
      </c>
      <c r="P1192" s="84" t="s">
        <v>26</v>
      </c>
      <c r="Q1192" s="86" t="s">
        <v>209</v>
      </c>
      <c r="R1192" s="86" t="s">
        <v>3295</v>
      </c>
      <c r="S1192" s="87" t="s">
        <v>3296</v>
      </c>
      <c r="T1192" s="87" t="s">
        <v>2952</v>
      </c>
      <c r="U1192" s="88">
        <v>49500</v>
      </c>
      <c r="V1192" s="88">
        <v>53460</v>
      </c>
      <c r="W1192" s="88">
        <v>49500</v>
      </c>
      <c r="X1192" s="88">
        <v>53460</v>
      </c>
      <c r="Z1192" s="88">
        <v>0</v>
      </c>
      <c r="AA1192" s="85" t="s">
        <v>2637</v>
      </c>
      <c r="AD1192" s="84">
        <v>0</v>
      </c>
      <c r="AG1192" s="84">
        <v>0</v>
      </c>
      <c r="AJ1192" s="84">
        <v>0</v>
      </c>
      <c r="AY1192" s="132">
        <f>ROUNDDOWN((0.96*U1192),0)</f>
        <v>47520</v>
      </c>
      <c r="AZ1192" s="132">
        <f>ROUNDDOWN(AY1192+(AY1192*MASTER!$A$2/100),0)</f>
        <v>51321</v>
      </c>
      <c r="BC1192" s="88">
        <v>0</v>
      </c>
      <c r="BG1192" s="88">
        <v>0</v>
      </c>
      <c r="BK1192" s="88">
        <v>0</v>
      </c>
      <c r="BS1192" s="88">
        <v>0</v>
      </c>
      <c r="BV1192" s="89">
        <v>53460</v>
      </c>
      <c r="BW1192" s="89">
        <v>0</v>
      </c>
      <c r="BX1192" s="89">
        <v>43665</v>
      </c>
      <c r="BY1192" s="89">
        <v>53460</v>
      </c>
      <c r="BZ1192" s="112">
        <v>100</v>
      </c>
    </row>
    <row r="1193" spans="1:89" x14ac:dyDescent="0.15">
      <c r="A1193" s="84">
        <v>2</v>
      </c>
      <c r="B1193" s="85">
        <v>43706</v>
      </c>
      <c r="C1193" s="85">
        <v>43738</v>
      </c>
      <c r="D1193" s="85">
        <v>43712</v>
      </c>
      <c r="E1193" s="85">
        <v>43718</v>
      </c>
      <c r="F1193" s="85">
        <v>43715</v>
      </c>
      <c r="G1193" s="85">
        <v>43710</v>
      </c>
      <c r="H1193" s="85">
        <v>43711</v>
      </c>
      <c r="I1193" s="84" t="s">
        <v>401</v>
      </c>
      <c r="J1193" s="84">
        <v>1</v>
      </c>
      <c r="L1193" s="84">
        <v>0</v>
      </c>
      <c r="M1193" s="85">
        <v>43665</v>
      </c>
      <c r="N1193" s="85" t="s">
        <v>265</v>
      </c>
      <c r="O1193" s="86" t="s">
        <v>340</v>
      </c>
      <c r="P1193" s="84" t="s">
        <v>26</v>
      </c>
      <c r="Q1193" s="86" t="s">
        <v>209</v>
      </c>
      <c r="R1193" s="86" t="s">
        <v>3297</v>
      </c>
      <c r="S1193" s="87" t="s">
        <v>3298</v>
      </c>
      <c r="T1193" s="87" t="s">
        <v>828</v>
      </c>
      <c r="U1193" s="88">
        <v>95000</v>
      </c>
      <c r="V1193" s="88">
        <v>102600</v>
      </c>
      <c r="W1193" s="88">
        <v>80000</v>
      </c>
      <c r="X1193" s="88">
        <v>86400</v>
      </c>
      <c r="Y1193" s="88">
        <v>15000</v>
      </c>
      <c r="Z1193" s="88">
        <v>16200</v>
      </c>
      <c r="AA1193" s="85">
        <v>43707</v>
      </c>
      <c r="AB1193" s="85">
        <v>43708</v>
      </c>
      <c r="AC1193" s="85">
        <v>43708</v>
      </c>
      <c r="AD1193" s="84">
        <v>0</v>
      </c>
      <c r="AG1193" s="84">
        <v>0</v>
      </c>
      <c r="AJ1193" s="84">
        <v>0</v>
      </c>
      <c r="AR1193" s="85">
        <v>43670</v>
      </c>
      <c r="AS1193" s="84">
        <v>6001696926</v>
      </c>
      <c r="AT1193" s="85">
        <v>43671</v>
      </c>
      <c r="AU1193" s="84" t="s">
        <v>3194</v>
      </c>
      <c r="AV1193" s="85">
        <v>43738</v>
      </c>
      <c r="AW1193" s="123">
        <v>43708</v>
      </c>
      <c r="AX1193" s="123">
        <v>43728</v>
      </c>
      <c r="AY1193" s="132">
        <v>91200</v>
      </c>
      <c r="AZ1193" s="132">
        <f>ROUNDDOWN(AY1193+(AY1193*MASTER!$A$2/100),0)</f>
        <v>98496</v>
      </c>
      <c r="BA1193" s="84" t="s">
        <v>666</v>
      </c>
      <c r="BB1193" s="88">
        <v>26000</v>
      </c>
      <c r="BC1193" s="88">
        <v>28080</v>
      </c>
      <c r="BD1193" s="84" t="s">
        <v>3431</v>
      </c>
      <c r="BG1193" s="88">
        <v>0</v>
      </c>
      <c r="BI1193" s="84" t="s">
        <v>276</v>
      </c>
      <c r="BJ1193" s="88">
        <v>9750</v>
      </c>
      <c r="BK1193" s="88">
        <v>10530</v>
      </c>
      <c r="BL1193" s="84" t="s">
        <v>3515</v>
      </c>
      <c r="BS1193" s="88">
        <v>0</v>
      </c>
      <c r="BV1193" s="89">
        <v>86400</v>
      </c>
      <c r="BW1193" s="89">
        <v>38610</v>
      </c>
      <c r="BX1193" s="89">
        <v>43665</v>
      </c>
      <c r="BY1193" s="89">
        <v>47790</v>
      </c>
      <c r="BZ1193" s="112">
        <v>55.3125</v>
      </c>
    </row>
    <row r="1194" spans="1:89" x14ac:dyDescent="0.15">
      <c r="A1194" s="84">
        <v>2</v>
      </c>
      <c r="B1194" s="85">
        <v>43683</v>
      </c>
      <c r="C1194" s="85">
        <v>43699</v>
      </c>
      <c r="E1194" s="85">
        <v>43705</v>
      </c>
      <c r="F1194" s="85">
        <v>43705</v>
      </c>
      <c r="G1194" s="85">
        <v>43704</v>
      </c>
      <c r="H1194" s="85">
        <v>43701</v>
      </c>
      <c r="I1194" s="84" t="s">
        <v>401</v>
      </c>
      <c r="J1194" s="84">
        <v>2</v>
      </c>
      <c r="L1194" s="84">
        <v>0</v>
      </c>
      <c r="M1194" s="85">
        <v>43668</v>
      </c>
      <c r="N1194" s="85" t="s">
        <v>265</v>
      </c>
      <c r="O1194" s="86" t="s">
        <v>340</v>
      </c>
      <c r="P1194" s="84" t="s">
        <v>26</v>
      </c>
      <c r="Q1194" s="86" t="s">
        <v>209</v>
      </c>
      <c r="R1194" s="86" t="s">
        <v>3299</v>
      </c>
      <c r="S1194" s="87" t="s">
        <v>2795</v>
      </c>
      <c r="T1194" s="87" t="s">
        <v>2952</v>
      </c>
      <c r="U1194" s="88">
        <v>49500</v>
      </c>
      <c r="V1194" s="88">
        <v>53460</v>
      </c>
      <c r="W1194" s="88">
        <v>49500</v>
      </c>
      <c r="X1194" s="88">
        <v>53460</v>
      </c>
      <c r="Z1194" s="88">
        <v>0</v>
      </c>
      <c r="AA1194" s="85">
        <v>43697</v>
      </c>
      <c r="AB1194" s="85">
        <v>43698</v>
      </c>
      <c r="AC1194" s="85">
        <v>43698</v>
      </c>
      <c r="AD1194" s="84">
        <v>0</v>
      </c>
      <c r="AG1194" s="84">
        <v>0</v>
      </c>
      <c r="AJ1194" s="84">
        <v>0</v>
      </c>
      <c r="AR1194" s="85">
        <v>43670</v>
      </c>
      <c r="AS1194" s="84">
        <v>6001696926</v>
      </c>
      <c r="AT1194" s="85">
        <v>43671</v>
      </c>
      <c r="AU1194" s="84" t="s">
        <v>3194</v>
      </c>
      <c r="AV1194" s="85">
        <v>43699</v>
      </c>
      <c r="AW1194" s="123">
        <v>43708</v>
      </c>
      <c r="AX1194" s="123">
        <v>43728</v>
      </c>
      <c r="AY1194" s="132">
        <v>47520</v>
      </c>
      <c r="AZ1194" s="132">
        <v>51322</v>
      </c>
      <c r="BA1194" s="84" t="s">
        <v>477</v>
      </c>
      <c r="BB1194" s="88">
        <v>38000</v>
      </c>
      <c r="BC1194" s="88">
        <v>41040</v>
      </c>
      <c r="BD1194" s="84" t="s">
        <v>2849</v>
      </c>
      <c r="BG1194" s="88">
        <v>0</v>
      </c>
      <c r="BK1194" s="88">
        <v>0</v>
      </c>
      <c r="BS1194" s="88">
        <v>0</v>
      </c>
      <c r="BV1194" s="89">
        <v>53460</v>
      </c>
      <c r="BW1194" s="89">
        <v>41040</v>
      </c>
      <c r="BX1194" s="89">
        <v>43668</v>
      </c>
      <c r="BY1194" s="89">
        <v>12420</v>
      </c>
      <c r="BZ1194" s="112">
        <v>23.232323232323232</v>
      </c>
    </row>
    <row r="1195" spans="1:89" x14ac:dyDescent="0.15">
      <c r="A1195" s="84">
        <v>1</v>
      </c>
      <c r="B1195" s="85">
        <v>43679</v>
      </c>
      <c r="C1195" s="85">
        <v>43684</v>
      </c>
      <c r="F1195" s="85" t="s">
        <v>338</v>
      </c>
      <c r="H1195" s="85" t="s">
        <v>338</v>
      </c>
      <c r="J1195" s="84">
        <v>2</v>
      </c>
      <c r="L1195" s="84">
        <v>0</v>
      </c>
      <c r="M1195" s="85">
        <v>43668</v>
      </c>
      <c r="N1195" s="85" t="s">
        <v>265</v>
      </c>
      <c r="O1195" s="86" t="s">
        <v>340</v>
      </c>
      <c r="P1195" s="84" t="s">
        <v>26</v>
      </c>
      <c r="Q1195" s="86" t="s">
        <v>209</v>
      </c>
      <c r="R1195" s="86" t="s">
        <v>3300</v>
      </c>
      <c r="S1195" s="87" t="s">
        <v>351</v>
      </c>
      <c r="T1195" s="87" t="s">
        <v>3301</v>
      </c>
      <c r="U1195" s="88">
        <v>62500</v>
      </c>
      <c r="V1195" s="88">
        <v>67500</v>
      </c>
      <c r="W1195" s="88">
        <v>62500</v>
      </c>
      <c r="X1195" s="88">
        <v>67500</v>
      </c>
      <c r="Z1195" s="88">
        <v>0</v>
      </c>
      <c r="AA1195" s="85">
        <v>43669</v>
      </c>
      <c r="AB1195" s="85">
        <v>43671</v>
      </c>
      <c r="AD1195" s="84">
        <v>0</v>
      </c>
      <c r="AG1195" s="84">
        <v>0</v>
      </c>
      <c r="AJ1195" s="84">
        <v>0</v>
      </c>
      <c r="AR1195" s="85">
        <v>43677</v>
      </c>
      <c r="AS1195" s="84">
        <v>6001698620</v>
      </c>
      <c r="AT1195" s="85">
        <v>43677</v>
      </c>
      <c r="AU1195" s="84" t="s">
        <v>3302</v>
      </c>
      <c r="AV1195" s="85">
        <v>43684</v>
      </c>
      <c r="AW1195" s="123">
        <v>43708</v>
      </c>
      <c r="AX1195" s="123">
        <v>43728</v>
      </c>
      <c r="AY1195" s="132">
        <v>60000</v>
      </c>
      <c r="AZ1195" s="132">
        <f>ROUNDDOWN(AY1195+(AY1195*MASTER!$A$2/100),0)</f>
        <v>64800</v>
      </c>
      <c r="BC1195" s="88">
        <v>0</v>
      </c>
      <c r="BG1195" s="88">
        <v>0</v>
      </c>
      <c r="BK1195" s="88">
        <v>0</v>
      </c>
      <c r="BS1195" s="88">
        <v>0</v>
      </c>
      <c r="BV1195" s="89">
        <v>67500</v>
      </c>
      <c r="BW1195" s="89">
        <v>0</v>
      </c>
      <c r="BX1195" s="89">
        <v>43668</v>
      </c>
      <c r="BY1195" s="89">
        <v>67500</v>
      </c>
      <c r="BZ1195" s="112">
        <v>100</v>
      </c>
    </row>
    <row r="1196" spans="1:89" x14ac:dyDescent="0.15">
      <c r="A1196" s="84">
        <v>2</v>
      </c>
      <c r="C1196" s="85" t="s">
        <v>338</v>
      </c>
      <c r="F1196" s="85" t="s">
        <v>338</v>
      </c>
      <c r="H1196" s="85" t="s">
        <v>338</v>
      </c>
      <c r="J1196" s="84">
        <v>4</v>
      </c>
      <c r="L1196" s="84">
        <v>0</v>
      </c>
      <c r="M1196" s="85">
        <v>43668</v>
      </c>
      <c r="N1196" s="85" t="s">
        <v>265</v>
      </c>
      <c r="O1196" s="86" t="s">
        <v>340</v>
      </c>
      <c r="P1196" s="84" t="s">
        <v>78</v>
      </c>
      <c r="Q1196" s="86" t="s">
        <v>209</v>
      </c>
      <c r="R1196" s="86" t="s">
        <v>3303</v>
      </c>
      <c r="S1196" s="87" t="s">
        <v>3304</v>
      </c>
      <c r="T1196" s="87" t="s">
        <v>3510</v>
      </c>
      <c r="U1196" s="88">
        <v>0</v>
      </c>
      <c r="V1196" s="88">
        <v>0</v>
      </c>
      <c r="W1196" s="88">
        <v>0</v>
      </c>
      <c r="X1196" s="88">
        <v>0</v>
      </c>
      <c r="Y1196" s="88">
        <v>0</v>
      </c>
      <c r="Z1196" s="88">
        <v>0</v>
      </c>
      <c r="AA1196" s="85">
        <v>43637</v>
      </c>
      <c r="AB1196" s="85">
        <v>43666</v>
      </c>
      <c r="AD1196" s="84">
        <v>0</v>
      </c>
      <c r="AG1196" s="84">
        <v>0</v>
      </c>
      <c r="AJ1196" s="84">
        <v>0</v>
      </c>
      <c r="AN1196" s="84" t="s">
        <v>338</v>
      </c>
      <c r="AY1196" s="132">
        <f>ROUNDDOWN((0.96*U1196),0)</f>
        <v>0</v>
      </c>
      <c r="AZ1196" s="132">
        <f>ROUNDDOWN(AY1196+(AY1196*MASTER!$A$2/100),0)</f>
        <v>0</v>
      </c>
      <c r="BA1196" s="84" t="s">
        <v>3305</v>
      </c>
      <c r="BB1196" s="88">
        <v>553107</v>
      </c>
      <c r="BC1196" s="88">
        <v>597355.56000000006</v>
      </c>
      <c r="BD1196" s="84" t="s">
        <v>2660</v>
      </c>
      <c r="BG1196" s="88">
        <v>0</v>
      </c>
      <c r="BK1196" s="88">
        <v>0</v>
      </c>
      <c r="BS1196" s="88">
        <v>0</v>
      </c>
      <c r="BV1196" s="89">
        <v>0</v>
      </c>
      <c r="BW1196" s="89">
        <v>597355.56000000006</v>
      </c>
      <c r="BX1196" s="89">
        <v>43668</v>
      </c>
      <c r="BY1196" s="89">
        <v>-597355.56000000006</v>
      </c>
      <c r="BZ1196" s="112" t="s">
        <v>338</v>
      </c>
    </row>
    <row r="1197" spans="1:89" x14ac:dyDescent="0.15">
      <c r="A1197" s="84">
        <v>1</v>
      </c>
      <c r="B1197" s="85">
        <v>43675</v>
      </c>
      <c r="C1197" s="85">
        <v>43672</v>
      </c>
      <c r="F1197" s="85" t="s">
        <v>338</v>
      </c>
      <c r="H1197" s="85" t="s">
        <v>338</v>
      </c>
      <c r="J1197" s="84">
        <v>2</v>
      </c>
      <c r="L1197" s="84">
        <v>0</v>
      </c>
      <c r="M1197" s="85">
        <v>43668</v>
      </c>
      <c r="N1197" s="85" t="s">
        <v>265</v>
      </c>
      <c r="O1197" s="86" t="s">
        <v>340</v>
      </c>
      <c r="P1197" s="84" t="s">
        <v>272</v>
      </c>
      <c r="Q1197" s="86" t="s">
        <v>209</v>
      </c>
      <c r="R1197" s="86" t="s">
        <v>3306</v>
      </c>
      <c r="S1197" s="87" t="s">
        <v>351</v>
      </c>
      <c r="T1197" s="87" t="s">
        <v>3307</v>
      </c>
      <c r="U1197" s="88">
        <v>17500</v>
      </c>
      <c r="V1197" s="88">
        <v>18900</v>
      </c>
      <c r="W1197" s="88">
        <v>17500</v>
      </c>
      <c r="X1197" s="88">
        <v>18900</v>
      </c>
      <c r="Z1197" s="88">
        <v>0</v>
      </c>
      <c r="AD1197" s="84">
        <v>0</v>
      </c>
      <c r="AG1197" s="84">
        <v>0</v>
      </c>
      <c r="AJ1197" s="84">
        <v>0</v>
      </c>
      <c r="AR1197" s="85">
        <v>43670</v>
      </c>
      <c r="AS1197" s="84">
        <v>6001696926</v>
      </c>
      <c r="AT1197" s="85">
        <v>43671</v>
      </c>
      <c r="AU1197" s="84" t="s">
        <v>3194</v>
      </c>
      <c r="AV1197" s="85">
        <v>43672</v>
      </c>
      <c r="AW1197" s="123">
        <v>43677</v>
      </c>
      <c r="AX1197" s="123">
        <v>43697</v>
      </c>
      <c r="AY1197" s="132">
        <v>16800</v>
      </c>
      <c r="AZ1197" s="132">
        <f>ROUNDDOWN(AY1197+(AY1197*MASTER!$A$2/100),0)</f>
        <v>18144</v>
      </c>
      <c r="BC1197" s="88">
        <v>0</v>
      </c>
      <c r="BG1197" s="88">
        <v>0</v>
      </c>
      <c r="BK1197" s="88">
        <v>0</v>
      </c>
      <c r="BS1197" s="88">
        <v>0</v>
      </c>
      <c r="BV1197" s="89">
        <v>18900</v>
      </c>
      <c r="BW1197" s="89">
        <v>0</v>
      </c>
      <c r="BX1197" s="89">
        <v>43668</v>
      </c>
      <c r="BY1197" s="89">
        <v>18900</v>
      </c>
      <c r="BZ1197" s="112">
        <v>100</v>
      </c>
    </row>
    <row r="1198" spans="1:89" x14ac:dyDescent="0.15">
      <c r="A1198" s="84">
        <v>1</v>
      </c>
      <c r="B1198" s="85">
        <v>43675</v>
      </c>
      <c r="C1198" s="85">
        <v>43685</v>
      </c>
      <c r="F1198" s="85" t="s">
        <v>338</v>
      </c>
      <c r="H1198" s="85" t="s">
        <v>338</v>
      </c>
      <c r="J1198" s="84">
        <v>2</v>
      </c>
      <c r="L1198" s="84">
        <v>0</v>
      </c>
      <c r="M1198" s="85">
        <v>43668</v>
      </c>
      <c r="N1198" s="85" t="s">
        <v>265</v>
      </c>
      <c r="O1198" s="86" t="s">
        <v>340</v>
      </c>
      <c r="P1198" s="84" t="s">
        <v>272</v>
      </c>
      <c r="Q1198" s="86" t="s">
        <v>209</v>
      </c>
      <c r="R1198" s="86" t="s">
        <v>3308</v>
      </c>
      <c r="S1198" s="87" t="s">
        <v>351</v>
      </c>
      <c r="T1198" s="87" t="s">
        <v>3309</v>
      </c>
      <c r="U1198" s="88">
        <v>17500</v>
      </c>
      <c r="V1198" s="88">
        <v>18900</v>
      </c>
      <c r="W1198" s="88">
        <v>17500</v>
      </c>
      <c r="X1198" s="88">
        <v>18900</v>
      </c>
      <c r="Z1198" s="88">
        <v>0</v>
      </c>
      <c r="AD1198" s="84">
        <v>0</v>
      </c>
      <c r="AG1198" s="84">
        <v>0</v>
      </c>
      <c r="AJ1198" s="84">
        <v>0</v>
      </c>
      <c r="AR1198" s="85">
        <v>43670</v>
      </c>
      <c r="AS1198" s="84">
        <v>6001696926</v>
      </c>
      <c r="AT1198" s="85">
        <v>43671</v>
      </c>
      <c r="AU1198" s="84" t="s">
        <v>3194</v>
      </c>
      <c r="AV1198" s="85">
        <v>43685</v>
      </c>
      <c r="AW1198" s="123">
        <v>43708</v>
      </c>
      <c r="AX1198" s="123">
        <v>43728</v>
      </c>
      <c r="AY1198" s="132">
        <v>16800</v>
      </c>
      <c r="AZ1198" s="132">
        <f>ROUNDDOWN(AY1198+(AY1198*MASTER!$A$2/100),0)</f>
        <v>18144</v>
      </c>
      <c r="BC1198" s="88">
        <v>0</v>
      </c>
      <c r="BG1198" s="88">
        <v>0</v>
      </c>
      <c r="BK1198" s="88">
        <v>0</v>
      </c>
      <c r="BS1198" s="88">
        <v>0</v>
      </c>
      <c r="BV1198" s="89">
        <v>18900</v>
      </c>
      <c r="BW1198" s="89">
        <v>0</v>
      </c>
      <c r="BX1198" s="89">
        <v>43668</v>
      </c>
      <c r="BY1198" s="89">
        <v>18900</v>
      </c>
      <c r="BZ1198" s="112">
        <v>100</v>
      </c>
    </row>
    <row r="1199" spans="1:89" x14ac:dyDescent="0.15">
      <c r="A1199" s="84">
        <v>2</v>
      </c>
      <c r="C1199" s="85" t="s">
        <v>338</v>
      </c>
      <c r="F1199" s="85" t="s">
        <v>338</v>
      </c>
      <c r="H1199" s="85" t="s">
        <v>338</v>
      </c>
      <c r="J1199" s="84">
        <v>4</v>
      </c>
      <c r="L1199" s="84">
        <v>0</v>
      </c>
      <c r="M1199" s="85">
        <v>43668</v>
      </c>
      <c r="N1199" s="85" t="s">
        <v>265</v>
      </c>
      <c r="O1199" s="86" t="s">
        <v>340</v>
      </c>
      <c r="P1199" s="84" t="s">
        <v>272</v>
      </c>
      <c r="Q1199" s="86" t="s">
        <v>209</v>
      </c>
      <c r="R1199" s="86" t="s">
        <v>3310</v>
      </c>
      <c r="S1199" s="87" t="s">
        <v>351</v>
      </c>
      <c r="T1199" s="87" t="s">
        <v>3311</v>
      </c>
      <c r="U1199" s="88">
        <v>0</v>
      </c>
      <c r="V1199" s="88">
        <v>0</v>
      </c>
      <c r="W1199" s="88">
        <v>0</v>
      </c>
      <c r="X1199" s="88">
        <v>0</v>
      </c>
      <c r="Y1199" s="88">
        <v>0</v>
      </c>
      <c r="Z1199" s="88">
        <v>0</v>
      </c>
      <c r="AA1199" s="85">
        <v>43637</v>
      </c>
      <c r="AB1199" s="85">
        <v>43666</v>
      </c>
      <c r="AD1199" s="84">
        <v>0</v>
      </c>
      <c r="AG1199" s="84">
        <v>0</v>
      </c>
      <c r="AJ1199" s="84">
        <v>0</v>
      </c>
      <c r="AN1199" s="84" t="s">
        <v>338</v>
      </c>
      <c r="AY1199" s="132">
        <f>ROUNDDOWN((0.96*U1199),0)</f>
        <v>0</v>
      </c>
      <c r="AZ1199" s="132">
        <f>ROUNDDOWN(AY1199+(AY1199*MASTER!$A$2/100),0)</f>
        <v>0</v>
      </c>
      <c r="BA1199" s="84" t="s">
        <v>1045</v>
      </c>
      <c r="BB1199" s="88">
        <v>315000</v>
      </c>
      <c r="BC1199" s="88">
        <v>340200</v>
      </c>
      <c r="BD1199" s="84" t="s">
        <v>2637</v>
      </c>
      <c r="BG1199" s="88">
        <v>0</v>
      </c>
      <c r="BK1199" s="88">
        <v>0</v>
      </c>
      <c r="BS1199" s="88">
        <v>0</v>
      </c>
      <c r="BV1199" s="89">
        <v>0</v>
      </c>
      <c r="BW1199" s="89">
        <v>340200</v>
      </c>
      <c r="BX1199" s="89">
        <v>43668</v>
      </c>
      <c r="BY1199" s="89">
        <v>-340200</v>
      </c>
      <c r="BZ1199" s="112" t="s">
        <v>338</v>
      </c>
    </row>
    <row r="1200" spans="1:89" x14ac:dyDescent="0.15">
      <c r="A1200" s="84">
        <v>2</v>
      </c>
      <c r="C1200" s="85" t="s">
        <v>338</v>
      </c>
      <c r="F1200" s="85" t="s">
        <v>338</v>
      </c>
      <c r="H1200" s="85" t="s">
        <v>338</v>
      </c>
      <c r="J1200" s="84">
        <v>4</v>
      </c>
      <c r="L1200" s="84">
        <v>0</v>
      </c>
      <c r="M1200" s="85">
        <v>43668</v>
      </c>
      <c r="N1200" s="85" t="s">
        <v>265</v>
      </c>
      <c r="O1200" s="86" t="s">
        <v>340</v>
      </c>
      <c r="P1200" s="84" t="s">
        <v>272</v>
      </c>
      <c r="Q1200" s="86" t="s">
        <v>209</v>
      </c>
      <c r="R1200" s="86" t="s">
        <v>3312</v>
      </c>
      <c r="S1200" s="87" t="s">
        <v>351</v>
      </c>
      <c r="T1200" s="87" t="s">
        <v>3313</v>
      </c>
      <c r="U1200" s="88">
        <v>0</v>
      </c>
      <c r="V1200" s="88">
        <v>0</v>
      </c>
      <c r="W1200" s="88">
        <v>0</v>
      </c>
      <c r="X1200" s="88">
        <v>0</v>
      </c>
      <c r="Y1200" s="88">
        <v>0</v>
      </c>
      <c r="Z1200" s="88">
        <v>0</v>
      </c>
      <c r="AD1200" s="84">
        <v>0</v>
      </c>
      <c r="AG1200" s="84">
        <v>0</v>
      </c>
      <c r="AJ1200" s="84">
        <v>0</v>
      </c>
      <c r="AN1200" s="84" t="s">
        <v>338</v>
      </c>
      <c r="AY1200" s="132">
        <f>ROUNDDOWN((0.96*U1200),0)</f>
        <v>0</v>
      </c>
      <c r="AZ1200" s="132">
        <f>ROUNDDOWN(AY1200+(AY1200*MASTER!$A$2/100),0)</f>
        <v>0</v>
      </c>
      <c r="BA1200" s="84" t="s">
        <v>1045</v>
      </c>
      <c r="BB1200" s="88">
        <v>910000</v>
      </c>
      <c r="BC1200" s="88">
        <v>982800</v>
      </c>
      <c r="BD1200" s="84" t="s">
        <v>2637</v>
      </c>
      <c r="BG1200" s="88">
        <v>0</v>
      </c>
      <c r="BK1200" s="88">
        <v>0</v>
      </c>
      <c r="BS1200" s="88">
        <v>0</v>
      </c>
      <c r="BV1200" s="89">
        <v>0</v>
      </c>
      <c r="BW1200" s="89">
        <v>982800</v>
      </c>
      <c r="BX1200" s="89">
        <v>43668</v>
      </c>
      <c r="BY1200" s="89">
        <v>-982800</v>
      </c>
      <c r="BZ1200" s="112" t="s">
        <v>338</v>
      </c>
    </row>
    <row r="1201" spans="1:89" x14ac:dyDescent="0.15">
      <c r="A1201" s="84">
        <v>2</v>
      </c>
      <c r="C1201" s="85" t="s">
        <v>338</v>
      </c>
      <c r="F1201" s="85" t="s">
        <v>338</v>
      </c>
      <c r="H1201" s="85" t="s">
        <v>338</v>
      </c>
      <c r="J1201" s="84">
        <v>4</v>
      </c>
      <c r="L1201" s="84">
        <v>0</v>
      </c>
      <c r="M1201" s="85">
        <v>43668</v>
      </c>
      <c r="N1201" s="85" t="s">
        <v>265</v>
      </c>
      <c r="O1201" s="86" t="s">
        <v>340</v>
      </c>
      <c r="P1201" s="84" t="s">
        <v>272</v>
      </c>
      <c r="Q1201" s="86" t="s">
        <v>209</v>
      </c>
      <c r="R1201" s="86" t="s">
        <v>3314</v>
      </c>
      <c r="S1201" s="87" t="s">
        <v>351</v>
      </c>
      <c r="T1201" s="87" t="s">
        <v>3315</v>
      </c>
      <c r="U1201" s="88">
        <v>0</v>
      </c>
      <c r="V1201" s="88">
        <v>0</v>
      </c>
      <c r="W1201" s="88">
        <v>0</v>
      </c>
      <c r="X1201" s="88">
        <v>0</v>
      </c>
      <c r="Y1201" s="88">
        <v>0</v>
      </c>
      <c r="Z1201" s="88">
        <v>0</v>
      </c>
      <c r="AD1201" s="84">
        <v>0</v>
      </c>
      <c r="AG1201" s="84">
        <v>0</v>
      </c>
      <c r="AJ1201" s="84">
        <v>0</v>
      </c>
      <c r="AN1201" s="84" t="s">
        <v>338</v>
      </c>
      <c r="AY1201" s="132">
        <f>ROUNDDOWN((0.96*U1201),0)</f>
        <v>0</v>
      </c>
      <c r="AZ1201" s="132">
        <f>ROUNDDOWN(AY1201+(AY1201*MASTER!$A$2/100),0)</f>
        <v>0</v>
      </c>
      <c r="BA1201" s="84" t="s">
        <v>275</v>
      </c>
      <c r="BB1201" s="88">
        <v>882000</v>
      </c>
      <c r="BC1201" s="88">
        <v>952560</v>
      </c>
      <c r="BD1201" s="84" t="s">
        <v>2660</v>
      </c>
      <c r="BG1201" s="88">
        <v>0</v>
      </c>
      <c r="BK1201" s="88">
        <v>0</v>
      </c>
      <c r="BS1201" s="88">
        <v>0</v>
      </c>
      <c r="BV1201" s="89">
        <v>0</v>
      </c>
      <c r="BW1201" s="89">
        <v>952560</v>
      </c>
      <c r="BX1201" s="89">
        <v>43668</v>
      </c>
      <c r="BY1201" s="89">
        <v>-952560</v>
      </c>
      <c r="BZ1201" s="112" t="s">
        <v>338</v>
      </c>
    </row>
    <row r="1202" spans="1:89" x14ac:dyDescent="0.15">
      <c r="A1202" s="84">
        <v>2</v>
      </c>
      <c r="C1202" s="85" t="s">
        <v>338</v>
      </c>
      <c r="F1202" s="85" t="s">
        <v>338</v>
      </c>
      <c r="H1202" s="85" t="s">
        <v>338</v>
      </c>
      <c r="J1202" s="84">
        <v>4</v>
      </c>
      <c r="L1202" s="84">
        <v>0</v>
      </c>
      <c r="M1202" s="85">
        <v>43668</v>
      </c>
      <c r="N1202" s="85" t="s">
        <v>265</v>
      </c>
      <c r="O1202" s="86" t="s">
        <v>340</v>
      </c>
      <c r="P1202" s="84" t="s">
        <v>272</v>
      </c>
      <c r="Q1202" s="86" t="s">
        <v>209</v>
      </c>
      <c r="R1202" s="86" t="s">
        <v>3316</v>
      </c>
      <c r="S1202" s="87" t="s">
        <v>351</v>
      </c>
      <c r="T1202" s="87" t="s">
        <v>3317</v>
      </c>
      <c r="U1202" s="88">
        <v>0</v>
      </c>
      <c r="V1202" s="88">
        <v>0</v>
      </c>
      <c r="W1202" s="88">
        <v>0</v>
      </c>
      <c r="X1202" s="88">
        <v>0</v>
      </c>
      <c r="Y1202" s="88">
        <v>0</v>
      </c>
      <c r="Z1202" s="88">
        <v>0</v>
      </c>
      <c r="AD1202" s="84">
        <v>0</v>
      </c>
      <c r="AG1202" s="84">
        <v>0</v>
      </c>
      <c r="AJ1202" s="84">
        <v>0</v>
      </c>
      <c r="AN1202" s="84" t="s">
        <v>338</v>
      </c>
      <c r="AY1202" s="132">
        <f>ROUNDDOWN((0.96*U1202),0)</f>
        <v>0</v>
      </c>
      <c r="AZ1202" s="132">
        <f>ROUNDDOWN(AY1202+(AY1202*MASTER!$A$2/100),0)</f>
        <v>0</v>
      </c>
      <c r="BA1202" s="84" t="s">
        <v>1045</v>
      </c>
      <c r="BB1202" s="88">
        <v>697000</v>
      </c>
      <c r="BC1202" s="88">
        <v>752760</v>
      </c>
      <c r="BD1202" s="84" t="s">
        <v>2637</v>
      </c>
      <c r="BG1202" s="88">
        <v>0</v>
      </c>
      <c r="BK1202" s="88">
        <v>0</v>
      </c>
      <c r="BS1202" s="88">
        <v>0</v>
      </c>
      <c r="BV1202" s="89">
        <v>0</v>
      </c>
      <c r="BW1202" s="89">
        <v>752760</v>
      </c>
      <c r="BX1202" s="89">
        <v>43668</v>
      </c>
      <c r="BY1202" s="89">
        <v>-752760</v>
      </c>
      <c r="BZ1202" s="112" t="s">
        <v>338</v>
      </c>
    </row>
    <row r="1203" spans="1:89" x14ac:dyDescent="0.15">
      <c r="A1203" s="84">
        <v>2</v>
      </c>
      <c r="C1203" s="85" t="s">
        <v>338</v>
      </c>
      <c r="F1203" s="85" t="s">
        <v>338</v>
      </c>
      <c r="H1203" s="85" t="s">
        <v>338</v>
      </c>
      <c r="J1203" s="84">
        <v>4</v>
      </c>
      <c r="L1203" s="84">
        <v>0</v>
      </c>
      <c r="M1203" s="85">
        <v>43668</v>
      </c>
      <c r="N1203" s="85" t="s">
        <v>265</v>
      </c>
      <c r="O1203" s="86" t="s">
        <v>340</v>
      </c>
      <c r="P1203" s="84" t="s">
        <v>272</v>
      </c>
      <c r="Q1203" s="86" t="s">
        <v>209</v>
      </c>
      <c r="R1203" s="86" t="s">
        <v>3318</v>
      </c>
      <c r="S1203" s="87" t="s">
        <v>351</v>
      </c>
      <c r="T1203" s="87" t="s">
        <v>3319</v>
      </c>
      <c r="U1203" s="88">
        <v>0</v>
      </c>
      <c r="V1203" s="88">
        <v>0</v>
      </c>
      <c r="W1203" s="88">
        <v>0</v>
      </c>
      <c r="X1203" s="88">
        <v>0</v>
      </c>
      <c r="Y1203" s="88">
        <v>0</v>
      </c>
      <c r="Z1203" s="88">
        <v>0</v>
      </c>
      <c r="AD1203" s="84">
        <v>0</v>
      </c>
      <c r="AG1203" s="84">
        <v>0</v>
      </c>
      <c r="AJ1203" s="84">
        <v>0</v>
      </c>
      <c r="AN1203" s="84" t="s">
        <v>338</v>
      </c>
      <c r="AY1203" s="132">
        <v>0</v>
      </c>
      <c r="AZ1203" s="132">
        <f>ROUNDDOWN(AY1203+(AY1203*MASTER!$A$2/100),0)</f>
        <v>0</v>
      </c>
      <c r="BA1203" s="84" t="s">
        <v>1045</v>
      </c>
      <c r="BB1203" s="88">
        <v>939000</v>
      </c>
      <c r="BC1203" s="88">
        <v>1014120</v>
      </c>
      <c r="BD1203" s="84" t="s">
        <v>3158</v>
      </c>
      <c r="BG1203" s="88">
        <v>0</v>
      </c>
      <c r="BK1203" s="88">
        <v>0</v>
      </c>
      <c r="BS1203" s="88">
        <v>0</v>
      </c>
      <c r="BV1203" s="89">
        <v>0</v>
      </c>
      <c r="BW1203" s="89">
        <v>1014120</v>
      </c>
      <c r="BX1203" s="89">
        <v>43668</v>
      </c>
      <c r="BY1203" s="89">
        <v>-1014120</v>
      </c>
      <c r="BZ1203" s="112" t="s">
        <v>338</v>
      </c>
    </row>
    <row r="1204" spans="1:89" x14ac:dyDescent="0.15">
      <c r="A1204" s="84">
        <v>2</v>
      </c>
      <c r="C1204" s="85" t="s">
        <v>338</v>
      </c>
      <c r="F1204" s="85" t="s">
        <v>338</v>
      </c>
      <c r="H1204" s="85" t="s">
        <v>338</v>
      </c>
      <c r="J1204" s="84">
        <v>4</v>
      </c>
      <c r="L1204" s="84">
        <v>0</v>
      </c>
      <c r="M1204" s="85">
        <v>43668</v>
      </c>
      <c r="N1204" s="85" t="s">
        <v>265</v>
      </c>
      <c r="O1204" s="86" t="s">
        <v>340</v>
      </c>
      <c r="P1204" s="84" t="s">
        <v>272</v>
      </c>
      <c r="Q1204" s="86" t="s">
        <v>209</v>
      </c>
      <c r="R1204" s="86" t="s">
        <v>3320</v>
      </c>
      <c r="S1204" s="87" t="s">
        <v>351</v>
      </c>
      <c r="T1204" s="87" t="s">
        <v>3321</v>
      </c>
      <c r="U1204" s="88">
        <v>0</v>
      </c>
      <c r="V1204" s="88">
        <v>0</v>
      </c>
      <c r="W1204" s="88">
        <v>0</v>
      </c>
      <c r="X1204" s="88">
        <v>0</v>
      </c>
      <c r="Y1204" s="88">
        <v>0</v>
      </c>
      <c r="Z1204" s="88">
        <v>0</v>
      </c>
      <c r="AD1204" s="84">
        <v>0</v>
      </c>
      <c r="AG1204" s="84">
        <v>0</v>
      </c>
      <c r="AJ1204" s="84">
        <v>0</v>
      </c>
      <c r="AN1204" s="84" t="s">
        <v>338</v>
      </c>
      <c r="AY1204" s="132">
        <v>0</v>
      </c>
      <c r="AZ1204" s="132">
        <f>ROUNDDOWN(AY1204+(AY1204*MASTER!$A$2/100),0)</f>
        <v>0</v>
      </c>
      <c r="BA1204" s="84" t="s">
        <v>1045</v>
      </c>
      <c r="BB1204" s="88">
        <v>319000</v>
      </c>
      <c r="BC1204" s="88">
        <f>ROUNDDOWN(BB1204+(BB1204*0.1),0)</f>
        <v>350900</v>
      </c>
      <c r="BD1204" s="84" t="s">
        <v>863</v>
      </c>
      <c r="BG1204" s="88">
        <v>0</v>
      </c>
      <c r="BK1204" s="88">
        <v>0</v>
      </c>
      <c r="BS1204" s="88">
        <v>0</v>
      </c>
      <c r="BV1204" s="89">
        <v>0</v>
      </c>
      <c r="BW1204" s="89">
        <v>344520</v>
      </c>
      <c r="BX1204" s="89">
        <v>43668</v>
      </c>
      <c r="BY1204" s="89">
        <v>-344520</v>
      </c>
      <c r="BZ1204" s="112" t="s">
        <v>338</v>
      </c>
      <c r="CC1204" s="84">
        <v>2019</v>
      </c>
    </row>
    <row r="1205" spans="1:89" x14ac:dyDescent="0.15">
      <c r="A1205" s="84">
        <v>2</v>
      </c>
      <c r="C1205" s="85" t="s">
        <v>338</v>
      </c>
      <c r="F1205" s="85" t="s">
        <v>338</v>
      </c>
      <c r="H1205" s="85" t="s">
        <v>338</v>
      </c>
      <c r="J1205" s="84">
        <v>4</v>
      </c>
      <c r="L1205" s="84">
        <v>0</v>
      </c>
      <c r="M1205" s="85">
        <v>43668</v>
      </c>
      <c r="N1205" s="85" t="s">
        <v>265</v>
      </c>
      <c r="O1205" s="86" t="s">
        <v>340</v>
      </c>
      <c r="P1205" s="84" t="s">
        <v>272</v>
      </c>
      <c r="Q1205" s="86" t="s">
        <v>209</v>
      </c>
      <c r="R1205" s="86" t="s">
        <v>3957</v>
      </c>
      <c r="S1205" s="87" t="s">
        <v>351</v>
      </c>
      <c r="T1205" s="87" t="s">
        <v>3958</v>
      </c>
      <c r="U1205" s="88">
        <v>0</v>
      </c>
      <c r="V1205" s="88">
        <v>0</v>
      </c>
      <c r="W1205" s="88">
        <v>0</v>
      </c>
      <c r="X1205" s="88">
        <v>0</v>
      </c>
      <c r="Y1205" s="88">
        <v>0</v>
      </c>
      <c r="Z1205" s="88">
        <v>0</v>
      </c>
      <c r="AD1205" s="84">
        <v>0</v>
      </c>
      <c r="AG1205" s="84">
        <v>0</v>
      </c>
      <c r="AJ1205" s="84">
        <v>0</v>
      </c>
      <c r="AN1205" s="84" t="s">
        <v>338</v>
      </c>
      <c r="AY1205" s="132">
        <v>0</v>
      </c>
      <c r="AZ1205" s="132">
        <f>ROUNDDOWN(AY1205+(AY1205*MASTER!$A$2/100),0)</f>
        <v>0</v>
      </c>
      <c r="BA1205" s="84" t="s">
        <v>1045</v>
      </c>
      <c r="BB1205" s="88">
        <v>753000</v>
      </c>
      <c r="BC1205" s="88">
        <f>ROUNDDOWN(BB1205+(BB1205*0.1),0)</f>
        <v>828300</v>
      </c>
      <c r="BD1205" s="84" t="s">
        <v>863</v>
      </c>
      <c r="BG1205" s="88">
        <v>0</v>
      </c>
      <c r="BK1205" s="88">
        <v>0</v>
      </c>
      <c r="BS1205" s="88">
        <v>0</v>
      </c>
      <c r="BV1205" s="89">
        <v>0</v>
      </c>
      <c r="BW1205" s="89">
        <v>813240</v>
      </c>
      <c r="BX1205" s="89">
        <v>43668</v>
      </c>
      <c r="BY1205" s="89">
        <v>-813240</v>
      </c>
      <c r="BZ1205" s="112" t="s">
        <v>338</v>
      </c>
      <c r="CC1205" s="84">
        <v>2019</v>
      </c>
    </row>
    <row r="1206" spans="1:89" x14ac:dyDescent="0.15">
      <c r="A1206" s="84">
        <v>2</v>
      </c>
      <c r="B1206" s="85">
        <v>43717</v>
      </c>
      <c r="C1206" s="85">
        <v>43728</v>
      </c>
      <c r="D1206" s="85">
        <v>43748</v>
      </c>
      <c r="E1206" s="85">
        <v>43734</v>
      </c>
      <c r="F1206" s="85">
        <v>43735</v>
      </c>
      <c r="G1206" s="85">
        <v>43732</v>
      </c>
      <c r="H1206" s="85">
        <v>43731</v>
      </c>
      <c r="I1206" s="84" t="s">
        <v>401</v>
      </c>
      <c r="J1206" s="84">
        <v>2</v>
      </c>
      <c r="L1206" s="84">
        <v>0</v>
      </c>
      <c r="M1206" s="85">
        <v>43669</v>
      </c>
      <c r="N1206" s="85" t="s">
        <v>265</v>
      </c>
      <c r="O1206" s="86" t="s">
        <v>340</v>
      </c>
      <c r="P1206" s="84" t="s">
        <v>26</v>
      </c>
      <c r="Q1206" s="86" t="s">
        <v>209</v>
      </c>
      <c r="R1206" s="86" t="s">
        <v>3322</v>
      </c>
      <c r="S1206" s="87" t="s">
        <v>1312</v>
      </c>
      <c r="T1206" s="87" t="s">
        <v>455</v>
      </c>
      <c r="U1206" s="88">
        <v>91500</v>
      </c>
      <c r="V1206" s="88">
        <v>98820</v>
      </c>
      <c r="W1206" s="88">
        <v>91500</v>
      </c>
      <c r="X1206" s="88">
        <v>98820</v>
      </c>
      <c r="Z1206" s="88">
        <v>0</v>
      </c>
      <c r="AA1206" s="85">
        <v>43725</v>
      </c>
      <c r="AB1206" s="85">
        <v>43728</v>
      </c>
      <c r="AC1206" s="85">
        <v>43728</v>
      </c>
      <c r="AD1206" s="84">
        <v>0</v>
      </c>
      <c r="AG1206" s="84">
        <v>0</v>
      </c>
      <c r="AJ1206" s="84">
        <v>0</v>
      </c>
      <c r="AM1206" s="84" t="s">
        <v>290</v>
      </c>
      <c r="AN1206" s="84" t="s">
        <v>3323</v>
      </c>
      <c r="AR1206" s="85">
        <v>43707</v>
      </c>
      <c r="AS1206" s="84">
        <v>6001707275</v>
      </c>
      <c r="AT1206" s="85">
        <v>43707</v>
      </c>
      <c r="AU1206" s="84" t="s">
        <v>3587</v>
      </c>
      <c r="AV1206" s="85">
        <v>43728</v>
      </c>
      <c r="AW1206" s="123">
        <v>43738</v>
      </c>
      <c r="AX1206" s="123">
        <v>43758</v>
      </c>
      <c r="AY1206" s="132">
        <v>87840</v>
      </c>
      <c r="AZ1206" s="132">
        <f>ROUNDDOWN(AY1206+(AY1206*MASTER!$A$2/100),0)</f>
        <v>94867</v>
      </c>
      <c r="BA1206" s="84" t="s">
        <v>286</v>
      </c>
      <c r="BB1206" s="88">
        <v>41000</v>
      </c>
      <c r="BC1206" s="88">
        <v>44280</v>
      </c>
      <c r="BD1206" s="84" t="s">
        <v>3431</v>
      </c>
      <c r="BG1206" s="88">
        <v>0</v>
      </c>
      <c r="BK1206" s="88">
        <v>0</v>
      </c>
      <c r="BS1206" s="88">
        <v>0</v>
      </c>
      <c r="BV1206" s="89">
        <v>98820</v>
      </c>
      <c r="BW1206" s="89">
        <v>44280</v>
      </c>
      <c r="BX1206" s="89">
        <v>43669</v>
      </c>
      <c r="BY1206" s="89">
        <v>54540</v>
      </c>
      <c r="BZ1206" s="112">
        <v>55.191256830601091</v>
      </c>
      <c r="CK1206" s="88">
        <v>0</v>
      </c>
    </row>
    <row r="1207" spans="1:89" x14ac:dyDescent="0.15">
      <c r="A1207" s="84">
        <v>2</v>
      </c>
      <c r="B1207" s="85">
        <v>43697</v>
      </c>
      <c r="C1207" s="85">
        <v>43698</v>
      </c>
      <c r="D1207" s="85">
        <v>43706</v>
      </c>
      <c r="E1207" s="85">
        <v>43741</v>
      </c>
      <c r="F1207" s="85">
        <v>43705</v>
      </c>
      <c r="G1207" s="85">
        <v>43699</v>
      </c>
      <c r="H1207" s="85">
        <v>43701</v>
      </c>
      <c r="I1207" s="84" t="s">
        <v>1191</v>
      </c>
      <c r="J1207" s="84">
        <v>1</v>
      </c>
      <c r="L1207" s="84">
        <v>0</v>
      </c>
      <c r="M1207" s="85">
        <v>43669</v>
      </c>
      <c r="N1207" s="85" t="s">
        <v>265</v>
      </c>
      <c r="O1207" s="86" t="s">
        <v>340</v>
      </c>
      <c r="P1207" s="84" t="s">
        <v>26</v>
      </c>
      <c r="Q1207" s="86" t="s">
        <v>209</v>
      </c>
      <c r="R1207" s="86" t="s">
        <v>3474</v>
      </c>
      <c r="S1207" s="87" t="s">
        <v>3066</v>
      </c>
      <c r="T1207" s="87" t="s">
        <v>1668</v>
      </c>
      <c r="U1207" s="88">
        <v>59000</v>
      </c>
      <c r="V1207" s="88">
        <v>63720</v>
      </c>
      <c r="W1207" s="88">
        <v>47000</v>
      </c>
      <c r="X1207" s="88">
        <v>50760</v>
      </c>
      <c r="Y1207" s="88">
        <v>12000</v>
      </c>
      <c r="Z1207" s="88">
        <v>12960</v>
      </c>
      <c r="AA1207" s="85">
        <v>43696</v>
      </c>
      <c r="AB1207" s="85">
        <v>43698</v>
      </c>
      <c r="AC1207" s="85">
        <v>43698</v>
      </c>
      <c r="AD1207" s="84">
        <v>0</v>
      </c>
      <c r="AG1207" s="84">
        <v>0</v>
      </c>
      <c r="AJ1207" s="84">
        <v>0</v>
      </c>
      <c r="AM1207" s="84" t="s">
        <v>290</v>
      </c>
      <c r="AN1207" s="84" t="s">
        <v>3475</v>
      </c>
      <c r="AR1207" s="85">
        <v>43696</v>
      </c>
      <c r="AS1207" s="84">
        <v>6001703039</v>
      </c>
      <c r="AT1207" s="85">
        <v>43696</v>
      </c>
      <c r="AU1207" s="84" t="s">
        <v>3464</v>
      </c>
      <c r="AV1207" s="85">
        <v>43698</v>
      </c>
      <c r="AW1207" s="123">
        <v>43708</v>
      </c>
      <c r="AX1207" s="123">
        <v>43728</v>
      </c>
      <c r="AY1207" s="132">
        <v>56640</v>
      </c>
      <c r="AZ1207" s="132">
        <f>ROUNDDOWN(AY1207+(AY1207*MASTER!$A$2/100),0)</f>
        <v>61171</v>
      </c>
      <c r="BA1207" s="84" t="s">
        <v>287</v>
      </c>
      <c r="BB1207" s="88">
        <v>26000</v>
      </c>
      <c r="BC1207" s="88">
        <v>28080</v>
      </c>
      <c r="BD1207" s="84" t="s">
        <v>2849</v>
      </c>
      <c r="BG1207" s="88">
        <v>0</v>
      </c>
      <c r="BI1207" s="84" t="s">
        <v>434</v>
      </c>
      <c r="BJ1207" s="88">
        <v>7800</v>
      </c>
      <c r="BK1207" s="88">
        <v>8424</v>
      </c>
      <c r="BL1207" s="84" t="s">
        <v>3431</v>
      </c>
      <c r="BS1207" s="88">
        <v>0</v>
      </c>
      <c r="BV1207" s="89">
        <v>50760</v>
      </c>
      <c r="BW1207" s="89">
        <v>36504</v>
      </c>
      <c r="BX1207" s="89">
        <v>43669</v>
      </c>
      <c r="BY1207" s="89">
        <v>14256</v>
      </c>
      <c r="BZ1207" s="112">
        <v>28.085106382978726</v>
      </c>
      <c r="CK1207" s="88">
        <v>0</v>
      </c>
    </row>
    <row r="1208" spans="1:89" x14ac:dyDescent="0.15">
      <c r="A1208" s="84">
        <v>1</v>
      </c>
      <c r="B1208" s="85">
        <v>43675</v>
      </c>
      <c r="C1208" s="85">
        <v>43683</v>
      </c>
      <c r="F1208" s="85" t="s">
        <v>338</v>
      </c>
      <c r="H1208" s="85" t="s">
        <v>338</v>
      </c>
      <c r="J1208" s="84">
        <v>2</v>
      </c>
      <c r="L1208" s="84">
        <v>0</v>
      </c>
      <c r="M1208" s="85">
        <v>43669</v>
      </c>
      <c r="N1208" s="85" t="s">
        <v>265</v>
      </c>
      <c r="O1208" s="86" t="s">
        <v>340</v>
      </c>
      <c r="P1208" s="84" t="s">
        <v>78</v>
      </c>
      <c r="Q1208" s="86" t="s">
        <v>209</v>
      </c>
      <c r="R1208" s="86" t="s">
        <v>3324</v>
      </c>
      <c r="S1208" s="87" t="s">
        <v>919</v>
      </c>
      <c r="T1208" s="87" t="s">
        <v>726</v>
      </c>
      <c r="U1208" s="88">
        <v>65000</v>
      </c>
      <c r="V1208" s="88">
        <v>70200</v>
      </c>
      <c r="W1208" s="88">
        <v>65000</v>
      </c>
      <c r="X1208" s="88">
        <v>70200</v>
      </c>
      <c r="Z1208" s="88">
        <v>0</v>
      </c>
      <c r="AA1208" s="85">
        <v>43682</v>
      </c>
      <c r="AB1208" s="85">
        <v>43683</v>
      </c>
      <c r="AD1208" s="84">
        <v>0</v>
      </c>
      <c r="AG1208" s="84">
        <v>0</v>
      </c>
      <c r="AJ1208" s="84">
        <v>0</v>
      </c>
      <c r="AN1208" s="84" t="s">
        <v>338</v>
      </c>
      <c r="AR1208" s="85">
        <v>43671</v>
      </c>
      <c r="AS1208" s="84">
        <v>6001697349</v>
      </c>
      <c r="AT1208" s="85">
        <v>43671</v>
      </c>
      <c r="AU1208" s="84" t="s">
        <v>3231</v>
      </c>
      <c r="AV1208" s="85">
        <v>43683</v>
      </c>
      <c r="AW1208" s="123">
        <v>43708</v>
      </c>
      <c r="AX1208" s="123">
        <v>43728</v>
      </c>
      <c r="AY1208" s="132">
        <v>62400</v>
      </c>
      <c r="AZ1208" s="132">
        <f>ROUNDDOWN(AY1208+(AY1208*MASTER!$A$2/100),0)</f>
        <v>67392</v>
      </c>
      <c r="BC1208" s="88">
        <v>0</v>
      </c>
      <c r="BG1208" s="88">
        <v>0</v>
      </c>
      <c r="BK1208" s="88">
        <v>0</v>
      </c>
      <c r="BS1208" s="88">
        <v>0</v>
      </c>
      <c r="BV1208" s="89">
        <v>70200</v>
      </c>
      <c r="BW1208" s="89">
        <v>0</v>
      </c>
      <c r="BX1208" s="89">
        <v>43669</v>
      </c>
      <c r="BY1208" s="89">
        <v>70200</v>
      </c>
      <c r="BZ1208" s="112">
        <v>100</v>
      </c>
      <c r="CK1208" s="88">
        <v>0</v>
      </c>
    </row>
    <row r="1209" spans="1:89" x14ac:dyDescent="0.15">
      <c r="A1209" s="84">
        <v>1</v>
      </c>
      <c r="B1209" s="85">
        <v>43675</v>
      </c>
      <c r="C1209" s="85">
        <v>43684</v>
      </c>
      <c r="F1209" s="85" t="s">
        <v>338</v>
      </c>
      <c r="H1209" s="85" t="s">
        <v>338</v>
      </c>
      <c r="J1209" s="84">
        <v>2</v>
      </c>
      <c r="L1209" s="84">
        <v>0</v>
      </c>
      <c r="M1209" s="85">
        <v>43669</v>
      </c>
      <c r="N1209" s="85" t="s">
        <v>265</v>
      </c>
      <c r="O1209" s="86" t="s">
        <v>340</v>
      </c>
      <c r="P1209" s="84" t="s">
        <v>78</v>
      </c>
      <c r="Q1209" s="86" t="s">
        <v>209</v>
      </c>
      <c r="R1209" s="86" t="s">
        <v>3325</v>
      </c>
      <c r="S1209" s="87" t="s">
        <v>619</v>
      </c>
      <c r="T1209" s="87" t="s">
        <v>726</v>
      </c>
      <c r="U1209" s="88">
        <v>65000</v>
      </c>
      <c r="V1209" s="88">
        <v>70200</v>
      </c>
      <c r="W1209" s="88">
        <v>65000</v>
      </c>
      <c r="X1209" s="88">
        <v>70200</v>
      </c>
      <c r="Z1209" s="88">
        <v>0</v>
      </c>
      <c r="AA1209" s="85">
        <v>43683</v>
      </c>
      <c r="AB1209" s="85">
        <v>43684</v>
      </c>
      <c r="AD1209" s="84">
        <v>0</v>
      </c>
      <c r="AG1209" s="84">
        <v>0</v>
      </c>
      <c r="AJ1209" s="84">
        <v>0</v>
      </c>
      <c r="AN1209" s="84" t="s">
        <v>338</v>
      </c>
      <c r="AR1209" s="85">
        <v>43671</v>
      </c>
      <c r="AS1209" s="84">
        <v>6001697349</v>
      </c>
      <c r="AT1209" s="85">
        <v>43671</v>
      </c>
      <c r="AU1209" s="84" t="s">
        <v>3231</v>
      </c>
      <c r="AV1209" s="85">
        <v>43684</v>
      </c>
      <c r="AW1209" s="123">
        <v>43708</v>
      </c>
      <c r="AX1209" s="123">
        <v>43728</v>
      </c>
      <c r="AY1209" s="132">
        <v>62400</v>
      </c>
      <c r="AZ1209" s="132">
        <f>ROUNDDOWN(AY1209+(AY1209*MASTER!$A$2/100),0)</f>
        <v>67392</v>
      </c>
      <c r="BC1209" s="88">
        <v>0</v>
      </c>
      <c r="BG1209" s="88">
        <v>0</v>
      </c>
      <c r="BK1209" s="88">
        <v>0</v>
      </c>
      <c r="BS1209" s="88">
        <v>0</v>
      </c>
      <c r="BV1209" s="89">
        <v>70200</v>
      </c>
      <c r="BW1209" s="89">
        <v>0</v>
      </c>
      <c r="BX1209" s="89">
        <v>43669</v>
      </c>
      <c r="BY1209" s="89">
        <v>70200</v>
      </c>
      <c r="BZ1209" s="112">
        <v>100</v>
      </c>
      <c r="CK1209" s="88">
        <v>0</v>
      </c>
    </row>
    <row r="1210" spans="1:89" x14ac:dyDescent="0.15">
      <c r="A1210" s="84">
        <v>1</v>
      </c>
      <c r="B1210" s="85">
        <v>43678</v>
      </c>
      <c r="C1210" s="85">
        <v>43685</v>
      </c>
      <c r="F1210" s="85" t="s">
        <v>338</v>
      </c>
      <c r="H1210" s="85" t="s">
        <v>338</v>
      </c>
      <c r="J1210" s="84">
        <v>2</v>
      </c>
      <c r="L1210" s="84">
        <v>0</v>
      </c>
      <c r="M1210" s="85">
        <v>43669</v>
      </c>
      <c r="N1210" s="85" t="s">
        <v>265</v>
      </c>
      <c r="O1210" s="86" t="s">
        <v>340</v>
      </c>
      <c r="P1210" s="84" t="s">
        <v>78</v>
      </c>
      <c r="Q1210" s="86" t="s">
        <v>209</v>
      </c>
      <c r="R1210" s="86" t="s">
        <v>3326</v>
      </c>
      <c r="S1210" s="87" t="s">
        <v>1741</v>
      </c>
      <c r="T1210" s="87" t="s">
        <v>726</v>
      </c>
      <c r="U1210" s="88">
        <v>65000</v>
      </c>
      <c r="V1210" s="88">
        <v>70200</v>
      </c>
      <c r="W1210" s="88">
        <v>65000</v>
      </c>
      <c r="X1210" s="88">
        <v>70200</v>
      </c>
      <c r="Z1210" s="88">
        <v>0</v>
      </c>
      <c r="AA1210" s="85">
        <v>43684</v>
      </c>
      <c r="AB1210" s="85">
        <v>43685</v>
      </c>
      <c r="AD1210" s="84">
        <v>0</v>
      </c>
      <c r="AG1210" s="84">
        <v>0</v>
      </c>
      <c r="AJ1210" s="84">
        <v>0</v>
      </c>
      <c r="AR1210" s="85">
        <v>43676</v>
      </c>
      <c r="AS1210" s="84">
        <v>6001698276</v>
      </c>
      <c r="AT1210" s="85">
        <v>43677</v>
      </c>
      <c r="AU1210" s="84" t="s">
        <v>3144</v>
      </c>
      <c r="AV1210" s="85">
        <v>43685</v>
      </c>
      <c r="AW1210" s="123">
        <v>43708</v>
      </c>
      <c r="AX1210" s="123">
        <v>43728</v>
      </c>
      <c r="AY1210" s="132">
        <v>62400</v>
      </c>
      <c r="AZ1210" s="132">
        <f>ROUNDDOWN(AY1210+(AY1210*MASTER!$A$2/100),0)</f>
        <v>67392</v>
      </c>
      <c r="BC1210" s="88">
        <v>0</v>
      </c>
      <c r="BG1210" s="88">
        <v>0</v>
      </c>
      <c r="BK1210" s="88">
        <v>0</v>
      </c>
      <c r="BS1210" s="88">
        <v>0</v>
      </c>
      <c r="BV1210" s="89">
        <v>70200</v>
      </c>
      <c r="BW1210" s="89">
        <v>0</v>
      </c>
      <c r="BX1210" s="89">
        <v>43669</v>
      </c>
      <c r="BY1210" s="89">
        <v>70200</v>
      </c>
      <c r="BZ1210" s="112">
        <v>100</v>
      </c>
    </row>
    <row r="1211" spans="1:89" x14ac:dyDescent="0.15">
      <c r="A1211" s="84">
        <v>1</v>
      </c>
      <c r="B1211" s="85">
        <v>43678</v>
      </c>
      <c r="C1211" s="85">
        <v>43686</v>
      </c>
      <c r="F1211" s="85" t="s">
        <v>338</v>
      </c>
      <c r="H1211" s="85" t="s">
        <v>338</v>
      </c>
      <c r="J1211" s="84">
        <v>2</v>
      </c>
      <c r="L1211" s="84">
        <v>0</v>
      </c>
      <c r="M1211" s="85">
        <v>43669</v>
      </c>
      <c r="N1211" s="85" t="s">
        <v>265</v>
      </c>
      <c r="O1211" s="86" t="s">
        <v>340</v>
      </c>
      <c r="P1211" s="84" t="s">
        <v>78</v>
      </c>
      <c r="Q1211" s="86" t="s">
        <v>209</v>
      </c>
      <c r="R1211" s="86" t="s">
        <v>3327</v>
      </c>
      <c r="S1211" s="87" t="s">
        <v>1737</v>
      </c>
      <c r="T1211" s="87" t="s">
        <v>726</v>
      </c>
      <c r="U1211" s="88">
        <v>65000</v>
      </c>
      <c r="V1211" s="88">
        <v>70200</v>
      </c>
      <c r="W1211" s="88">
        <v>65000</v>
      </c>
      <c r="X1211" s="88">
        <v>70200</v>
      </c>
      <c r="Z1211" s="88">
        <v>0</v>
      </c>
      <c r="AA1211" s="85">
        <v>43685</v>
      </c>
      <c r="AB1211" s="85">
        <v>43686</v>
      </c>
      <c r="AD1211" s="84">
        <v>0</v>
      </c>
      <c r="AG1211" s="84">
        <v>0</v>
      </c>
      <c r="AJ1211" s="84">
        <v>0</v>
      </c>
      <c r="AR1211" s="85">
        <v>43676</v>
      </c>
      <c r="AS1211" s="84">
        <v>6001698276</v>
      </c>
      <c r="AT1211" s="85">
        <v>43677</v>
      </c>
      <c r="AU1211" s="84" t="s">
        <v>3144</v>
      </c>
      <c r="AV1211" s="85">
        <v>43686</v>
      </c>
      <c r="AW1211" s="123">
        <v>43708</v>
      </c>
      <c r="AX1211" s="123">
        <v>43728</v>
      </c>
      <c r="AY1211" s="132">
        <v>62400</v>
      </c>
      <c r="AZ1211" s="132">
        <f>ROUNDDOWN(AY1211+(AY1211*MASTER!$A$2/100),0)</f>
        <v>67392</v>
      </c>
      <c r="BC1211" s="88">
        <v>0</v>
      </c>
      <c r="BG1211" s="88">
        <v>0</v>
      </c>
      <c r="BK1211" s="88">
        <v>0</v>
      </c>
      <c r="BS1211" s="88">
        <v>0</v>
      </c>
      <c r="BV1211" s="89">
        <v>70200</v>
      </c>
      <c r="BW1211" s="89">
        <v>0</v>
      </c>
      <c r="BX1211" s="89">
        <v>43669</v>
      </c>
      <c r="BY1211" s="89">
        <v>70200</v>
      </c>
      <c r="BZ1211" s="112">
        <v>100</v>
      </c>
      <c r="CK1211" s="88">
        <v>0</v>
      </c>
    </row>
    <row r="1212" spans="1:89" x14ac:dyDescent="0.15">
      <c r="A1212" s="84">
        <v>1</v>
      </c>
      <c r="B1212" s="85">
        <v>43675</v>
      </c>
      <c r="C1212" s="85">
        <v>43687</v>
      </c>
      <c r="F1212" s="85" t="s">
        <v>338</v>
      </c>
      <c r="H1212" s="85" t="s">
        <v>338</v>
      </c>
      <c r="J1212" s="84">
        <v>2</v>
      </c>
      <c r="L1212" s="84">
        <v>0</v>
      </c>
      <c r="M1212" s="85">
        <v>43669</v>
      </c>
      <c r="N1212" s="85" t="s">
        <v>265</v>
      </c>
      <c r="O1212" s="86" t="s">
        <v>340</v>
      </c>
      <c r="P1212" s="84" t="s">
        <v>78</v>
      </c>
      <c r="Q1212" s="86" t="s">
        <v>209</v>
      </c>
      <c r="R1212" s="86" t="s">
        <v>3328</v>
      </c>
      <c r="S1212" s="87" t="s">
        <v>459</v>
      </c>
      <c r="T1212" s="87" t="s">
        <v>726</v>
      </c>
      <c r="U1212" s="88">
        <v>65000</v>
      </c>
      <c r="V1212" s="88">
        <v>70200</v>
      </c>
      <c r="W1212" s="88">
        <v>65000</v>
      </c>
      <c r="X1212" s="88">
        <v>70200</v>
      </c>
      <c r="Z1212" s="88">
        <v>0</v>
      </c>
      <c r="AA1212" s="85">
        <v>43686</v>
      </c>
      <c r="AB1212" s="85">
        <v>43687</v>
      </c>
      <c r="AD1212" s="84">
        <v>0</v>
      </c>
      <c r="AG1212" s="84">
        <v>0</v>
      </c>
      <c r="AJ1212" s="84">
        <v>0</v>
      </c>
      <c r="AR1212" s="85">
        <v>43671</v>
      </c>
      <c r="AS1212" s="84">
        <v>6001697349</v>
      </c>
      <c r="AT1212" s="85">
        <v>43671</v>
      </c>
      <c r="AU1212" s="84" t="s">
        <v>3231</v>
      </c>
      <c r="AV1212" s="85">
        <v>43687</v>
      </c>
      <c r="AW1212" s="123">
        <v>43708</v>
      </c>
      <c r="AX1212" s="123">
        <v>43728</v>
      </c>
      <c r="AY1212" s="132">
        <v>62400</v>
      </c>
      <c r="AZ1212" s="132">
        <f>ROUNDDOWN(AY1212+(AY1212*MASTER!$A$2/100),0)</f>
        <v>67392</v>
      </c>
      <c r="BC1212" s="88">
        <v>0</v>
      </c>
      <c r="BG1212" s="88">
        <v>0</v>
      </c>
      <c r="BK1212" s="88">
        <v>0</v>
      </c>
      <c r="BS1212" s="88">
        <v>0</v>
      </c>
      <c r="BV1212" s="89">
        <v>70200</v>
      </c>
      <c r="BW1212" s="89">
        <v>0</v>
      </c>
      <c r="BX1212" s="89">
        <v>43669</v>
      </c>
      <c r="BY1212" s="89">
        <v>70200</v>
      </c>
      <c r="BZ1212" s="112">
        <v>100</v>
      </c>
      <c r="CK1212" s="88">
        <v>0</v>
      </c>
    </row>
    <row r="1213" spans="1:89" x14ac:dyDescent="0.15">
      <c r="A1213" s="84">
        <v>1</v>
      </c>
      <c r="B1213" s="85">
        <v>43675</v>
      </c>
      <c r="C1213" s="85">
        <v>43697</v>
      </c>
      <c r="F1213" s="85" t="s">
        <v>338</v>
      </c>
      <c r="H1213" s="85" t="s">
        <v>338</v>
      </c>
      <c r="J1213" s="84">
        <v>2</v>
      </c>
      <c r="L1213" s="84">
        <v>0</v>
      </c>
      <c r="M1213" s="85">
        <v>43669</v>
      </c>
      <c r="N1213" s="85" t="s">
        <v>265</v>
      </c>
      <c r="O1213" s="86" t="s">
        <v>340</v>
      </c>
      <c r="P1213" s="84" t="s">
        <v>78</v>
      </c>
      <c r="Q1213" s="86" t="s">
        <v>209</v>
      </c>
      <c r="R1213" s="86" t="s">
        <v>3329</v>
      </c>
      <c r="S1213" s="87" t="s">
        <v>1226</v>
      </c>
      <c r="T1213" s="87" t="s">
        <v>726</v>
      </c>
      <c r="U1213" s="88">
        <v>65000</v>
      </c>
      <c r="V1213" s="88">
        <v>70200</v>
      </c>
      <c r="W1213" s="88">
        <v>65000</v>
      </c>
      <c r="X1213" s="88">
        <v>70200</v>
      </c>
      <c r="Z1213" s="88">
        <v>0</v>
      </c>
      <c r="AA1213" s="85">
        <v>43696</v>
      </c>
      <c r="AB1213" s="85">
        <v>43697</v>
      </c>
      <c r="AD1213" s="84">
        <v>0</v>
      </c>
      <c r="AG1213" s="84">
        <v>0</v>
      </c>
      <c r="AJ1213" s="84">
        <v>0</v>
      </c>
      <c r="AR1213" s="85">
        <v>43671</v>
      </c>
      <c r="AS1213" s="84">
        <v>6001697349</v>
      </c>
      <c r="AT1213" s="85">
        <v>43671</v>
      </c>
      <c r="AU1213" s="84" t="s">
        <v>3231</v>
      </c>
      <c r="AV1213" s="85">
        <v>43697</v>
      </c>
      <c r="AW1213" s="123">
        <v>43708</v>
      </c>
      <c r="AX1213" s="123">
        <v>43728</v>
      </c>
      <c r="AY1213" s="132">
        <v>62400</v>
      </c>
      <c r="AZ1213" s="132">
        <f>ROUNDDOWN(AY1213+(AY1213*MASTER!$A$2/100),0)</f>
        <v>67392</v>
      </c>
      <c r="BC1213" s="88">
        <v>0</v>
      </c>
      <c r="BG1213" s="88">
        <v>0</v>
      </c>
      <c r="BK1213" s="88">
        <v>0</v>
      </c>
      <c r="BS1213" s="88">
        <v>0</v>
      </c>
      <c r="BV1213" s="89">
        <v>70200</v>
      </c>
      <c r="BW1213" s="89">
        <v>0</v>
      </c>
      <c r="BX1213" s="89">
        <v>43669</v>
      </c>
      <c r="BY1213" s="89">
        <v>70200</v>
      </c>
      <c r="BZ1213" s="112">
        <v>100</v>
      </c>
      <c r="CK1213" s="88">
        <v>0</v>
      </c>
    </row>
    <row r="1214" spans="1:89" x14ac:dyDescent="0.15">
      <c r="A1214" s="84">
        <v>1</v>
      </c>
      <c r="B1214" s="85">
        <v>43678</v>
      </c>
      <c r="C1214" s="85">
        <v>43698</v>
      </c>
      <c r="F1214" s="85" t="s">
        <v>338</v>
      </c>
      <c r="H1214" s="85" t="s">
        <v>338</v>
      </c>
      <c r="J1214" s="84">
        <v>2</v>
      </c>
      <c r="L1214" s="84">
        <v>0</v>
      </c>
      <c r="M1214" s="85">
        <v>43669</v>
      </c>
      <c r="N1214" s="85" t="s">
        <v>265</v>
      </c>
      <c r="O1214" s="86" t="s">
        <v>340</v>
      </c>
      <c r="P1214" s="84" t="s">
        <v>78</v>
      </c>
      <c r="Q1214" s="86" t="s">
        <v>209</v>
      </c>
      <c r="R1214" s="86" t="s">
        <v>3330</v>
      </c>
      <c r="S1214" s="87" t="s">
        <v>997</v>
      </c>
      <c r="T1214" s="87" t="s">
        <v>726</v>
      </c>
      <c r="U1214" s="88">
        <v>65000</v>
      </c>
      <c r="V1214" s="88">
        <v>70200</v>
      </c>
      <c r="W1214" s="88">
        <v>65000</v>
      </c>
      <c r="X1214" s="88">
        <v>70200</v>
      </c>
      <c r="Z1214" s="88">
        <v>0</v>
      </c>
      <c r="AA1214" s="85">
        <v>43697</v>
      </c>
      <c r="AB1214" s="85">
        <v>43698</v>
      </c>
      <c r="AD1214" s="84">
        <v>0</v>
      </c>
      <c r="AG1214" s="84">
        <v>0</v>
      </c>
      <c r="AJ1214" s="84">
        <v>0</v>
      </c>
      <c r="AR1214" s="85">
        <v>43676</v>
      </c>
      <c r="AS1214" s="84">
        <v>6001698276</v>
      </c>
      <c r="AT1214" s="85">
        <v>43677</v>
      </c>
      <c r="AU1214" s="84" t="s">
        <v>3144</v>
      </c>
      <c r="AV1214" s="85">
        <v>43698</v>
      </c>
      <c r="AW1214" s="123">
        <v>43708</v>
      </c>
      <c r="AX1214" s="123">
        <v>43728</v>
      </c>
      <c r="AY1214" s="132">
        <v>62400</v>
      </c>
      <c r="AZ1214" s="132">
        <f>ROUNDDOWN(AY1214+(AY1214*MASTER!$A$2/100),0)</f>
        <v>67392</v>
      </c>
      <c r="BC1214" s="88">
        <v>0</v>
      </c>
      <c r="BG1214" s="88">
        <v>0</v>
      </c>
      <c r="BK1214" s="88">
        <v>0</v>
      </c>
      <c r="BS1214" s="88">
        <v>0</v>
      </c>
      <c r="BV1214" s="89">
        <v>70200</v>
      </c>
      <c r="BW1214" s="89">
        <v>0</v>
      </c>
      <c r="BX1214" s="89">
        <v>43669</v>
      </c>
      <c r="BY1214" s="89">
        <v>70200</v>
      </c>
      <c r="BZ1214" s="112">
        <v>100</v>
      </c>
      <c r="CK1214" s="88">
        <v>0</v>
      </c>
    </row>
    <row r="1215" spans="1:89" x14ac:dyDescent="0.15">
      <c r="A1215" s="84">
        <v>1</v>
      </c>
      <c r="B1215" s="85">
        <v>43675</v>
      </c>
      <c r="C1215" s="85">
        <v>43699</v>
      </c>
      <c r="F1215" s="85" t="s">
        <v>338</v>
      </c>
      <c r="H1215" s="85" t="s">
        <v>338</v>
      </c>
      <c r="J1215" s="84">
        <v>2</v>
      </c>
      <c r="L1215" s="84">
        <v>0</v>
      </c>
      <c r="M1215" s="85">
        <v>43669</v>
      </c>
      <c r="N1215" s="85" t="s">
        <v>265</v>
      </c>
      <c r="O1215" s="86" t="s">
        <v>340</v>
      </c>
      <c r="P1215" s="84" t="s">
        <v>78</v>
      </c>
      <c r="Q1215" s="86" t="s">
        <v>209</v>
      </c>
      <c r="R1215" s="86" t="s">
        <v>3331</v>
      </c>
      <c r="S1215" s="87" t="s">
        <v>821</v>
      </c>
      <c r="T1215" s="87" t="s">
        <v>726</v>
      </c>
      <c r="U1215" s="88">
        <v>65000</v>
      </c>
      <c r="V1215" s="88">
        <v>70200</v>
      </c>
      <c r="W1215" s="88">
        <v>65000</v>
      </c>
      <c r="X1215" s="88">
        <v>70200</v>
      </c>
      <c r="Z1215" s="88">
        <v>0</v>
      </c>
      <c r="AA1215" s="85">
        <v>43698</v>
      </c>
      <c r="AB1215" s="85">
        <v>43699</v>
      </c>
      <c r="AD1215" s="84">
        <v>0</v>
      </c>
      <c r="AG1215" s="84">
        <v>0</v>
      </c>
      <c r="AJ1215" s="84">
        <v>0</v>
      </c>
      <c r="AR1215" s="85">
        <v>43671</v>
      </c>
      <c r="AS1215" s="84">
        <v>6001697349</v>
      </c>
      <c r="AT1215" s="85">
        <v>43671</v>
      </c>
      <c r="AU1215" s="84" t="s">
        <v>3231</v>
      </c>
      <c r="AV1215" s="85">
        <v>43699</v>
      </c>
      <c r="AW1215" s="123">
        <v>43708</v>
      </c>
      <c r="AX1215" s="123">
        <v>43728</v>
      </c>
      <c r="AY1215" s="132">
        <v>62400</v>
      </c>
      <c r="AZ1215" s="132">
        <f>ROUNDDOWN(AY1215+(AY1215*MASTER!$A$2/100),0)</f>
        <v>67392</v>
      </c>
      <c r="BC1215" s="88">
        <v>0</v>
      </c>
      <c r="BG1215" s="88">
        <v>0</v>
      </c>
      <c r="BK1215" s="88">
        <v>0</v>
      </c>
      <c r="BS1215" s="88">
        <v>0</v>
      </c>
      <c r="BV1215" s="89">
        <v>70200</v>
      </c>
      <c r="BW1215" s="89">
        <v>0</v>
      </c>
      <c r="BX1215" s="89">
        <v>43669</v>
      </c>
      <c r="BY1215" s="89">
        <v>70200</v>
      </c>
      <c r="BZ1215" s="112">
        <v>100</v>
      </c>
      <c r="CK1215" s="88">
        <v>0</v>
      </c>
    </row>
    <row r="1216" spans="1:89" x14ac:dyDescent="0.15">
      <c r="A1216" s="84">
        <v>1</v>
      </c>
      <c r="B1216" s="85">
        <v>43678</v>
      </c>
      <c r="C1216" s="85">
        <v>43700</v>
      </c>
      <c r="F1216" s="85" t="s">
        <v>338</v>
      </c>
      <c r="H1216" s="85" t="s">
        <v>338</v>
      </c>
      <c r="J1216" s="84">
        <v>2</v>
      </c>
      <c r="L1216" s="84">
        <v>0</v>
      </c>
      <c r="M1216" s="85">
        <v>43669</v>
      </c>
      <c r="N1216" s="85" t="s">
        <v>265</v>
      </c>
      <c r="O1216" s="86" t="s">
        <v>340</v>
      </c>
      <c r="P1216" s="84" t="s">
        <v>78</v>
      </c>
      <c r="Q1216" s="86" t="s">
        <v>209</v>
      </c>
      <c r="R1216" s="86" t="s">
        <v>3332</v>
      </c>
      <c r="S1216" s="87" t="s">
        <v>2075</v>
      </c>
      <c r="T1216" s="87" t="s">
        <v>726</v>
      </c>
      <c r="U1216" s="88">
        <v>65000</v>
      </c>
      <c r="V1216" s="88">
        <v>70200</v>
      </c>
      <c r="W1216" s="88">
        <v>65000</v>
      </c>
      <c r="X1216" s="88">
        <v>70200</v>
      </c>
      <c r="Z1216" s="88">
        <v>0</v>
      </c>
      <c r="AA1216" s="85">
        <v>43699</v>
      </c>
      <c r="AB1216" s="85">
        <v>43700</v>
      </c>
      <c r="AD1216" s="84">
        <v>0</v>
      </c>
      <c r="AG1216" s="84">
        <v>0</v>
      </c>
      <c r="AJ1216" s="84">
        <v>0</v>
      </c>
      <c r="AR1216" s="85">
        <v>43676</v>
      </c>
      <c r="AS1216" s="84">
        <v>6001698276</v>
      </c>
      <c r="AT1216" s="85">
        <v>43677</v>
      </c>
      <c r="AU1216" s="84" t="s">
        <v>3144</v>
      </c>
      <c r="AV1216" s="85">
        <v>43700</v>
      </c>
      <c r="AW1216" s="123">
        <v>43708</v>
      </c>
      <c r="AX1216" s="123">
        <v>43728</v>
      </c>
      <c r="AY1216" s="132">
        <v>62400</v>
      </c>
      <c r="AZ1216" s="132">
        <f>ROUNDDOWN(AY1216+(AY1216*MASTER!$A$2/100),0)</f>
        <v>67392</v>
      </c>
      <c r="BC1216" s="88">
        <v>0</v>
      </c>
      <c r="BG1216" s="88">
        <v>0</v>
      </c>
      <c r="BK1216" s="88">
        <v>0</v>
      </c>
      <c r="BS1216" s="88">
        <v>0</v>
      </c>
      <c r="BV1216" s="89">
        <v>70200</v>
      </c>
      <c r="BW1216" s="89">
        <v>0</v>
      </c>
      <c r="BX1216" s="89">
        <v>43669</v>
      </c>
      <c r="BY1216" s="89">
        <v>70200</v>
      </c>
      <c r="BZ1216" s="112">
        <v>100</v>
      </c>
      <c r="CK1216" s="88">
        <v>0</v>
      </c>
    </row>
    <row r="1217" spans="1:89" x14ac:dyDescent="0.15">
      <c r="A1217" s="84">
        <v>1</v>
      </c>
      <c r="B1217" s="85">
        <v>43675</v>
      </c>
      <c r="C1217" s="85">
        <v>43701</v>
      </c>
      <c r="F1217" s="85" t="s">
        <v>338</v>
      </c>
      <c r="H1217" s="85" t="s">
        <v>338</v>
      </c>
      <c r="J1217" s="84">
        <v>2</v>
      </c>
      <c r="L1217" s="84">
        <v>0</v>
      </c>
      <c r="M1217" s="85">
        <v>43669</v>
      </c>
      <c r="N1217" s="85" t="s">
        <v>265</v>
      </c>
      <c r="O1217" s="86" t="s">
        <v>340</v>
      </c>
      <c r="P1217" s="84" t="s">
        <v>78</v>
      </c>
      <c r="Q1217" s="86" t="s">
        <v>209</v>
      </c>
      <c r="R1217" s="86" t="s">
        <v>3333</v>
      </c>
      <c r="S1217" s="87" t="s">
        <v>1619</v>
      </c>
      <c r="T1217" s="87" t="s">
        <v>726</v>
      </c>
      <c r="U1217" s="88">
        <v>65000</v>
      </c>
      <c r="V1217" s="88">
        <v>70200</v>
      </c>
      <c r="W1217" s="88">
        <v>65000</v>
      </c>
      <c r="X1217" s="88">
        <v>70200</v>
      </c>
      <c r="Z1217" s="88">
        <v>0</v>
      </c>
      <c r="AA1217" s="85">
        <v>43700</v>
      </c>
      <c r="AB1217" s="85">
        <v>43701</v>
      </c>
      <c r="AD1217" s="84">
        <v>0</v>
      </c>
      <c r="AG1217" s="84">
        <v>0</v>
      </c>
      <c r="AJ1217" s="84">
        <v>0</v>
      </c>
      <c r="AR1217" s="85">
        <v>43671</v>
      </c>
      <c r="AS1217" s="84">
        <v>6001697349</v>
      </c>
      <c r="AT1217" s="85">
        <v>43671</v>
      </c>
      <c r="AU1217" s="84" t="s">
        <v>3231</v>
      </c>
      <c r="AV1217" s="85">
        <v>43701</v>
      </c>
      <c r="AW1217" s="123">
        <v>43708</v>
      </c>
      <c r="AX1217" s="123">
        <v>43728</v>
      </c>
      <c r="AY1217" s="132">
        <v>62400</v>
      </c>
      <c r="AZ1217" s="132">
        <f>ROUNDDOWN(AY1217+(AY1217*MASTER!$A$2/100),0)</f>
        <v>67392</v>
      </c>
      <c r="BC1217" s="88">
        <v>0</v>
      </c>
      <c r="BG1217" s="88">
        <v>0</v>
      </c>
      <c r="BK1217" s="88">
        <v>0</v>
      </c>
      <c r="BS1217" s="88">
        <v>0</v>
      </c>
      <c r="BV1217" s="89">
        <v>70200</v>
      </c>
      <c r="BW1217" s="89">
        <v>0</v>
      </c>
      <c r="BX1217" s="89">
        <v>43669</v>
      </c>
      <c r="BY1217" s="89">
        <v>70200</v>
      </c>
      <c r="BZ1217" s="112">
        <v>100</v>
      </c>
      <c r="CK1217" s="88">
        <v>0</v>
      </c>
    </row>
    <row r="1218" spans="1:89" x14ac:dyDescent="0.15">
      <c r="A1218" s="84">
        <v>1</v>
      </c>
      <c r="B1218" s="85">
        <v>43678</v>
      </c>
      <c r="C1218" s="85">
        <v>43704</v>
      </c>
      <c r="F1218" s="85" t="s">
        <v>338</v>
      </c>
      <c r="H1218" s="85" t="s">
        <v>338</v>
      </c>
      <c r="J1218" s="84">
        <v>2</v>
      </c>
      <c r="L1218" s="84">
        <v>0</v>
      </c>
      <c r="M1218" s="85">
        <v>43669</v>
      </c>
      <c r="N1218" s="85" t="s">
        <v>265</v>
      </c>
      <c r="O1218" s="86" t="s">
        <v>340</v>
      </c>
      <c r="P1218" s="84" t="s">
        <v>78</v>
      </c>
      <c r="Q1218" s="86" t="s">
        <v>209</v>
      </c>
      <c r="R1218" s="86" t="s">
        <v>3334</v>
      </c>
      <c r="S1218" s="87" t="s">
        <v>2112</v>
      </c>
      <c r="T1218" s="87" t="s">
        <v>726</v>
      </c>
      <c r="U1218" s="88">
        <v>65000</v>
      </c>
      <c r="V1218" s="88">
        <v>70200</v>
      </c>
      <c r="W1218" s="88">
        <v>65000</v>
      </c>
      <c r="X1218" s="88">
        <v>70200</v>
      </c>
      <c r="Z1218" s="88">
        <v>0</v>
      </c>
      <c r="AA1218" s="85">
        <v>43703</v>
      </c>
      <c r="AB1218" s="85">
        <v>43704</v>
      </c>
      <c r="AD1218" s="84">
        <v>0</v>
      </c>
      <c r="AG1218" s="84">
        <v>0</v>
      </c>
      <c r="AJ1218" s="84">
        <v>0</v>
      </c>
      <c r="AR1218" s="85">
        <v>43676</v>
      </c>
      <c r="AS1218" s="84">
        <v>6001698276</v>
      </c>
      <c r="AT1218" s="85">
        <v>43677</v>
      </c>
      <c r="AU1218" s="84" t="s">
        <v>3144</v>
      </c>
      <c r="AV1218" s="85">
        <v>43704</v>
      </c>
      <c r="AW1218" s="123">
        <v>43708</v>
      </c>
      <c r="AX1218" s="123">
        <v>43728</v>
      </c>
      <c r="AY1218" s="132">
        <v>62400</v>
      </c>
      <c r="AZ1218" s="132">
        <f>ROUNDDOWN(AY1218+(AY1218*MASTER!$A$2/100),0)</f>
        <v>67392</v>
      </c>
      <c r="BC1218" s="88">
        <v>0</v>
      </c>
      <c r="BG1218" s="88">
        <v>0</v>
      </c>
      <c r="BK1218" s="88">
        <v>0</v>
      </c>
      <c r="BS1218" s="88">
        <v>0</v>
      </c>
      <c r="BV1218" s="89">
        <v>70200</v>
      </c>
      <c r="BW1218" s="89">
        <v>0</v>
      </c>
      <c r="BX1218" s="89">
        <v>43669</v>
      </c>
      <c r="BY1218" s="89">
        <v>70200</v>
      </c>
      <c r="BZ1218" s="112">
        <v>100</v>
      </c>
      <c r="CK1218" s="88">
        <v>0</v>
      </c>
    </row>
    <row r="1219" spans="1:89" x14ac:dyDescent="0.15">
      <c r="A1219" s="84">
        <v>1</v>
      </c>
      <c r="B1219" s="85">
        <v>43678</v>
      </c>
      <c r="C1219" s="85">
        <v>43705</v>
      </c>
      <c r="F1219" s="85" t="s">
        <v>338</v>
      </c>
      <c r="H1219" s="85" t="s">
        <v>338</v>
      </c>
      <c r="J1219" s="84">
        <v>2</v>
      </c>
      <c r="L1219" s="84">
        <v>0</v>
      </c>
      <c r="M1219" s="85">
        <v>43669</v>
      </c>
      <c r="N1219" s="85" t="s">
        <v>265</v>
      </c>
      <c r="O1219" s="86" t="s">
        <v>340</v>
      </c>
      <c r="P1219" s="84" t="s">
        <v>78</v>
      </c>
      <c r="Q1219" s="86" t="s">
        <v>209</v>
      </c>
      <c r="R1219" s="86" t="s">
        <v>3335</v>
      </c>
      <c r="S1219" s="87" t="s">
        <v>1073</v>
      </c>
      <c r="T1219" s="87" t="s">
        <v>726</v>
      </c>
      <c r="U1219" s="88">
        <v>65000</v>
      </c>
      <c r="V1219" s="88">
        <v>70200</v>
      </c>
      <c r="W1219" s="88">
        <v>65000</v>
      </c>
      <c r="X1219" s="88">
        <v>70200</v>
      </c>
      <c r="Z1219" s="88">
        <v>0</v>
      </c>
      <c r="AA1219" s="85">
        <v>43704</v>
      </c>
      <c r="AB1219" s="85">
        <v>43705</v>
      </c>
      <c r="AD1219" s="84">
        <v>0</v>
      </c>
      <c r="AG1219" s="84">
        <v>0</v>
      </c>
      <c r="AJ1219" s="84">
        <v>0</v>
      </c>
      <c r="AR1219" s="85">
        <v>43676</v>
      </c>
      <c r="AS1219" s="84">
        <v>6001698276</v>
      </c>
      <c r="AT1219" s="85">
        <v>43677</v>
      </c>
      <c r="AU1219" s="84" t="s">
        <v>3144</v>
      </c>
      <c r="AV1219" s="85">
        <v>43705</v>
      </c>
      <c r="AW1219" s="123">
        <v>43708</v>
      </c>
      <c r="AX1219" s="123">
        <v>43728</v>
      </c>
      <c r="AY1219" s="132">
        <v>62400</v>
      </c>
      <c r="AZ1219" s="132">
        <f>ROUNDDOWN(AY1219+(AY1219*MASTER!$A$2/100),0)</f>
        <v>67392</v>
      </c>
      <c r="BC1219" s="88">
        <v>0</v>
      </c>
      <c r="BG1219" s="88">
        <v>0</v>
      </c>
      <c r="BK1219" s="88">
        <v>0</v>
      </c>
      <c r="BS1219" s="88">
        <v>0</v>
      </c>
      <c r="BV1219" s="89">
        <v>70200</v>
      </c>
      <c r="BW1219" s="89">
        <v>0</v>
      </c>
      <c r="BX1219" s="89">
        <v>43669</v>
      </c>
      <c r="BY1219" s="89">
        <v>70200</v>
      </c>
      <c r="BZ1219" s="112">
        <v>100</v>
      </c>
      <c r="CK1219" s="88">
        <v>0</v>
      </c>
    </row>
    <row r="1220" spans="1:89" x14ac:dyDescent="0.15">
      <c r="A1220" s="84">
        <v>1</v>
      </c>
      <c r="B1220" s="85">
        <v>43675</v>
      </c>
      <c r="C1220" s="85">
        <v>43706</v>
      </c>
      <c r="F1220" s="85" t="s">
        <v>338</v>
      </c>
      <c r="H1220" s="85" t="s">
        <v>338</v>
      </c>
      <c r="J1220" s="84">
        <v>2</v>
      </c>
      <c r="L1220" s="84">
        <v>0</v>
      </c>
      <c r="M1220" s="85">
        <v>43669</v>
      </c>
      <c r="N1220" s="85" t="s">
        <v>265</v>
      </c>
      <c r="O1220" s="86" t="s">
        <v>340</v>
      </c>
      <c r="P1220" s="84" t="s">
        <v>78</v>
      </c>
      <c r="Q1220" s="86" t="s">
        <v>209</v>
      </c>
      <c r="R1220" s="86" t="s">
        <v>3336</v>
      </c>
      <c r="S1220" s="87" t="s">
        <v>3209</v>
      </c>
      <c r="T1220" s="87" t="s">
        <v>726</v>
      </c>
      <c r="U1220" s="88">
        <v>65000</v>
      </c>
      <c r="V1220" s="88">
        <v>70200</v>
      </c>
      <c r="W1220" s="88">
        <v>65000</v>
      </c>
      <c r="X1220" s="88">
        <v>70200</v>
      </c>
      <c r="Z1220" s="88">
        <v>0</v>
      </c>
      <c r="AA1220" s="85">
        <v>43705</v>
      </c>
      <c r="AB1220" s="85">
        <v>43706</v>
      </c>
      <c r="AD1220" s="84">
        <v>0</v>
      </c>
      <c r="AG1220" s="84">
        <v>0</v>
      </c>
      <c r="AJ1220" s="84">
        <v>0</v>
      </c>
      <c r="AN1220" s="84" t="s">
        <v>338</v>
      </c>
      <c r="AR1220" s="85">
        <v>43671</v>
      </c>
      <c r="AS1220" s="84">
        <v>6001697349</v>
      </c>
      <c r="AT1220" s="85">
        <v>43671</v>
      </c>
      <c r="AU1220" s="84" t="s">
        <v>3231</v>
      </c>
      <c r="AV1220" s="85">
        <v>43706</v>
      </c>
      <c r="AW1220" s="123">
        <v>43708</v>
      </c>
      <c r="AX1220" s="123">
        <v>43728</v>
      </c>
      <c r="AY1220" s="132">
        <v>62400</v>
      </c>
      <c r="AZ1220" s="132">
        <f>ROUNDDOWN(AY1220+(AY1220*MASTER!$A$2/100),0)</f>
        <v>67392</v>
      </c>
      <c r="BC1220" s="88">
        <v>0</v>
      </c>
      <c r="BG1220" s="88">
        <v>0</v>
      </c>
      <c r="BK1220" s="88">
        <v>0</v>
      </c>
      <c r="BS1220" s="88">
        <v>0</v>
      </c>
      <c r="BV1220" s="89">
        <v>70200</v>
      </c>
      <c r="BW1220" s="89">
        <v>0</v>
      </c>
      <c r="BX1220" s="89">
        <v>43669</v>
      </c>
      <c r="BY1220" s="89">
        <v>70200</v>
      </c>
      <c r="BZ1220" s="112">
        <v>100</v>
      </c>
      <c r="CK1220" s="88">
        <v>0</v>
      </c>
    </row>
    <row r="1221" spans="1:89" x14ac:dyDescent="0.15">
      <c r="A1221" s="84">
        <v>2</v>
      </c>
      <c r="B1221" s="85">
        <v>43678</v>
      </c>
      <c r="C1221" s="85">
        <v>43679</v>
      </c>
      <c r="D1221" s="85">
        <v>43676</v>
      </c>
      <c r="E1221" s="85">
        <v>43676</v>
      </c>
      <c r="F1221" s="85" t="s">
        <v>338</v>
      </c>
      <c r="G1221" s="85">
        <v>43676</v>
      </c>
      <c r="H1221" s="85" t="s">
        <v>338</v>
      </c>
      <c r="I1221" s="84" t="s">
        <v>380</v>
      </c>
      <c r="J1221" s="84">
        <v>2</v>
      </c>
      <c r="L1221" s="84">
        <v>0</v>
      </c>
      <c r="M1221" s="85">
        <v>43670</v>
      </c>
      <c r="N1221" s="85" t="s">
        <v>265</v>
      </c>
      <c r="O1221" s="86" t="s">
        <v>340</v>
      </c>
      <c r="P1221" s="84" t="s">
        <v>6</v>
      </c>
      <c r="Q1221" s="86" t="s">
        <v>209</v>
      </c>
      <c r="R1221" s="86" t="s">
        <v>3337</v>
      </c>
      <c r="S1221" s="87" t="s">
        <v>1078</v>
      </c>
      <c r="T1221" s="87" t="s">
        <v>342</v>
      </c>
      <c r="U1221" s="88">
        <v>35000</v>
      </c>
      <c r="V1221" s="88">
        <v>37800</v>
      </c>
      <c r="W1221" s="88">
        <v>35000</v>
      </c>
      <c r="X1221" s="88">
        <v>37800</v>
      </c>
      <c r="Z1221" s="88">
        <v>0</v>
      </c>
      <c r="AA1221" s="85">
        <v>43671</v>
      </c>
      <c r="AB1221" s="85">
        <v>43671</v>
      </c>
      <c r="AD1221" s="84">
        <v>0</v>
      </c>
      <c r="AG1221" s="84">
        <v>0</v>
      </c>
      <c r="AJ1221" s="84">
        <v>0</v>
      </c>
      <c r="AN1221" s="84" t="s">
        <v>338</v>
      </c>
      <c r="AR1221" s="85">
        <v>43676</v>
      </c>
      <c r="AS1221" s="84">
        <v>6001698276</v>
      </c>
      <c r="AT1221" s="85">
        <v>43677</v>
      </c>
      <c r="AU1221" s="84" t="s">
        <v>3144</v>
      </c>
      <c r="AV1221" s="85">
        <v>43679</v>
      </c>
      <c r="AW1221" s="123">
        <v>43708</v>
      </c>
      <c r="AX1221" s="123">
        <v>43728</v>
      </c>
      <c r="AY1221" s="132">
        <v>33600</v>
      </c>
      <c r="AZ1221" s="132">
        <f>ROUNDDOWN(AY1221+(AY1221*MASTER!$A$2/100),0)</f>
        <v>36288</v>
      </c>
      <c r="BA1221" s="84" t="s">
        <v>286</v>
      </c>
      <c r="BB1221" s="88">
        <v>38000</v>
      </c>
      <c r="BC1221" s="88">
        <v>41040</v>
      </c>
      <c r="BD1221" s="84" t="s">
        <v>2849</v>
      </c>
      <c r="BG1221" s="88">
        <v>0</v>
      </c>
      <c r="BK1221" s="88">
        <v>0</v>
      </c>
      <c r="BS1221" s="88">
        <v>0</v>
      </c>
      <c r="BV1221" s="89">
        <v>37800</v>
      </c>
      <c r="BW1221" s="89">
        <v>41040</v>
      </c>
      <c r="BX1221" s="89">
        <v>43670</v>
      </c>
      <c r="BY1221" s="89">
        <v>-3240</v>
      </c>
      <c r="BZ1221" s="112">
        <v>-8.5714285714285712</v>
      </c>
      <c r="CK1221" s="88">
        <v>0</v>
      </c>
    </row>
    <row r="1222" spans="1:89" x14ac:dyDescent="0.15">
      <c r="A1222" s="84">
        <v>1</v>
      </c>
      <c r="B1222" s="85">
        <v>43677</v>
      </c>
      <c r="C1222" s="85">
        <v>43678</v>
      </c>
      <c r="F1222" s="85" t="s">
        <v>338</v>
      </c>
      <c r="H1222" s="85" t="s">
        <v>338</v>
      </c>
      <c r="J1222" s="84">
        <v>2</v>
      </c>
      <c r="L1222" s="84">
        <v>0</v>
      </c>
      <c r="M1222" s="85">
        <v>43670</v>
      </c>
      <c r="N1222" s="85" t="s">
        <v>265</v>
      </c>
      <c r="O1222" s="86" t="s">
        <v>340</v>
      </c>
      <c r="P1222" s="84" t="s">
        <v>78</v>
      </c>
      <c r="Q1222" s="86" t="s">
        <v>209</v>
      </c>
      <c r="R1222" s="86" t="s">
        <v>3338</v>
      </c>
      <c r="S1222" s="87" t="s">
        <v>407</v>
      </c>
      <c r="T1222" s="87" t="s">
        <v>582</v>
      </c>
      <c r="U1222" s="88">
        <v>5150</v>
      </c>
      <c r="V1222" s="88">
        <v>5562</v>
      </c>
      <c r="W1222" s="88">
        <v>5150</v>
      </c>
      <c r="X1222" s="88">
        <v>5562</v>
      </c>
      <c r="Z1222" s="88">
        <v>0</v>
      </c>
      <c r="AD1222" s="84">
        <v>0</v>
      </c>
      <c r="AG1222" s="84">
        <v>0</v>
      </c>
      <c r="AJ1222" s="84">
        <v>0</v>
      </c>
      <c r="AR1222" s="85">
        <v>43670</v>
      </c>
      <c r="AS1222" s="84">
        <v>6001696866</v>
      </c>
      <c r="AT1222" s="85">
        <v>43671</v>
      </c>
      <c r="AU1222" s="84" t="s">
        <v>3339</v>
      </c>
      <c r="AV1222" s="85">
        <v>43678</v>
      </c>
      <c r="AW1222" s="123">
        <v>43677</v>
      </c>
      <c r="AX1222" s="123">
        <v>43697</v>
      </c>
      <c r="AY1222" s="132">
        <v>4944</v>
      </c>
      <c r="AZ1222" s="132">
        <v>5340</v>
      </c>
      <c r="BC1222" s="88">
        <v>0</v>
      </c>
      <c r="BG1222" s="88">
        <v>0</v>
      </c>
      <c r="BK1222" s="88">
        <v>0</v>
      </c>
      <c r="BS1222" s="88">
        <v>0</v>
      </c>
      <c r="BV1222" s="89">
        <v>5562</v>
      </c>
      <c r="BW1222" s="89">
        <v>0</v>
      </c>
      <c r="BX1222" s="89">
        <v>43670</v>
      </c>
      <c r="BY1222" s="89">
        <v>5562</v>
      </c>
      <c r="BZ1222" s="112">
        <v>100</v>
      </c>
      <c r="CK1222" s="88">
        <v>0</v>
      </c>
    </row>
    <row r="1223" spans="1:89" x14ac:dyDescent="0.15">
      <c r="A1223" s="84">
        <v>1</v>
      </c>
      <c r="B1223" s="85">
        <v>43677</v>
      </c>
      <c r="C1223" s="85">
        <v>43679</v>
      </c>
      <c r="F1223" s="85" t="s">
        <v>338</v>
      </c>
      <c r="H1223" s="85" t="s">
        <v>338</v>
      </c>
      <c r="J1223" s="84">
        <v>2</v>
      </c>
      <c r="L1223" s="84">
        <v>0</v>
      </c>
      <c r="M1223" s="85">
        <v>43670</v>
      </c>
      <c r="N1223" s="85" t="s">
        <v>265</v>
      </c>
      <c r="O1223" s="86" t="s">
        <v>340</v>
      </c>
      <c r="P1223" s="84" t="s">
        <v>26</v>
      </c>
      <c r="Q1223" s="86" t="s">
        <v>209</v>
      </c>
      <c r="R1223" s="86" t="s">
        <v>3340</v>
      </c>
      <c r="S1223" s="87" t="s">
        <v>351</v>
      </c>
      <c r="T1223" s="87" t="s">
        <v>3341</v>
      </c>
      <c r="U1223" s="88">
        <v>37800</v>
      </c>
      <c r="V1223" s="88">
        <v>40824</v>
      </c>
      <c r="W1223" s="88">
        <v>37800</v>
      </c>
      <c r="X1223" s="88">
        <v>40824</v>
      </c>
      <c r="Z1223" s="88">
        <v>0</v>
      </c>
      <c r="AD1223" s="84">
        <v>0</v>
      </c>
      <c r="AG1223" s="84">
        <v>0</v>
      </c>
      <c r="AJ1223" s="84">
        <v>0</v>
      </c>
      <c r="AN1223" s="84" t="s">
        <v>338</v>
      </c>
      <c r="AR1223" s="85">
        <v>43676</v>
      </c>
      <c r="AS1223" s="84">
        <v>6001698277</v>
      </c>
      <c r="AT1223" s="85">
        <v>43676</v>
      </c>
      <c r="AU1223" s="84" t="s">
        <v>3342</v>
      </c>
      <c r="AV1223" s="85">
        <v>43679</v>
      </c>
      <c r="AW1223" s="123">
        <v>43708</v>
      </c>
      <c r="AX1223" s="123">
        <v>43728</v>
      </c>
      <c r="AY1223" s="140">
        <v>37800</v>
      </c>
      <c r="AZ1223" s="132">
        <f>ROUNDDOWN(AY1223+(AY1223*MASTER!$A$2/100),0)</f>
        <v>40824</v>
      </c>
      <c r="BC1223" s="88">
        <v>0</v>
      </c>
      <c r="BG1223" s="88">
        <v>0</v>
      </c>
      <c r="BK1223" s="88">
        <v>0</v>
      </c>
      <c r="BS1223" s="88">
        <v>0</v>
      </c>
      <c r="BV1223" s="89">
        <v>40824</v>
      </c>
      <c r="BW1223" s="89">
        <v>0</v>
      </c>
      <c r="BX1223" s="89">
        <v>43670</v>
      </c>
      <c r="BY1223" s="89">
        <v>40824</v>
      </c>
      <c r="BZ1223" s="112">
        <v>100</v>
      </c>
      <c r="CK1223" s="88">
        <v>0</v>
      </c>
    </row>
    <row r="1224" spans="1:89" x14ac:dyDescent="0.15">
      <c r="A1224" s="84">
        <v>2</v>
      </c>
      <c r="C1224" s="85" t="s">
        <v>338</v>
      </c>
      <c r="F1224" s="85" t="s">
        <v>338</v>
      </c>
      <c r="H1224" s="85" t="s">
        <v>338</v>
      </c>
      <c r="J1224" s="84">
        <v>4</v>
      </c>
      <c r="L1224" s="84">
        <v>0</v>
      </c>
      <c r="M1224" s="85">
        <v>43670</v>
      </c>
      <c r="N1224" s="85" t="s">
        <v>345</v>
      </c>
      <c r="O1224" s="86" t="s">
        <v>343</v>
      </c>
      <c r="P1224" s="84" t="s">
        <v>482</v>
      </c>
      <c r="Q1224" s="86" t="s">
        <v>3218</v>
      </c>
      <c r="R1224" s="86" t="s">
        <v>3343</v>
      </c>
      <c r="S1224" s="87" t="s">
        <v>752</v>
      </c>
      <c r="T1224" s="87" t="s">
        <v>3344</v>
      </c>
      <c r="U1224" s="88">
        <v>0</v>
      </c>
      <c r="V1224" s="88">
        <v>0</v>
      </c>
      <c r="X1224" s="88">
        <v>0</v>
      </c>
      <c r="Z1224" s="88">
        <v>0</v>
      </c>
      <c r="AA1224" s="85">
        <v>43662</v>
      </c>
      <c r="AB1224" s="85">
        <v>43665</v>
      </c>
      <c r="AD1224" s="84">
        <v>0</v>
      </c>
      <c r="AG1224" s="84">
        <v>0</v>
      </c>
      <c r="AJ1224" s="84">
        <v>0</v>
      </c>
      <c r="AN1224" s="84" t="s">
        <v>338</v>
      </c>
      <c r="AY1224" s="132">
        <f>ROUNDDOWN((0.96*U1224),0)</f>
        <v>0</v>
      </c>
      <c r="AZ1224" s="132">
        <f>ROUNDDOWN(AY1224+(AY1224*MASTER!$A$2/100),0)</f>
        <v>0</v>
      </c>
      <c r="BA1224" s="84" t="s">
        <v>985</v>
      </c>
      <c r="BB1224" s="88">
        <v>91000</v>
      </c>
      <c r="BC1224" s="88">
        <v>98280</v>
      </c>
      <c r="BD1224" s="84" t="s">
        <v>2660</v>
      </c>
      <c r="BG1224" s="88">
        <v>0</v>
      </c>
      <c r="BK1224" s="88">
        <v>0</v>
      </c>
      <c r="BS1224" s="88">
        <v>0</v>
      </c>
      <c r="BV1224" s="89">
        <v>0</v>
      </c>
      <c r="BW1224" s="89">
        <v>98280</v>
      </c>
      <c r="BX1224" s="89">
        <v>43670</v>
      </c>
      <c r="BY1224" s="89">
        <v>-98280</v>
      </c>
      <c r="BZ1224" s="112" t="s">
        <v>338</v>
      </c>
    </row>
    <row r="1225" spans="1:89" x14ac:dyDescent="0.15">
      <c r="A1225" s="84">
        <v>2</v>
      </c>
      <c r="B1225" s="85">
        <v>43738</v>
      </c>
      <c r="C1225" s="85">
        <v>43798</v>
      </c>
      <c r="D1225" s="85">
        <v>43754</v>
      </c>
      <c r="E1225" s="85">
        <v>43754</v>
      </c>
      <c r="F1225" s="85">
        <v>43756</v>
      </c>
      <c r="G1225" s="85">
        <v>43754</v>
      </c>
      <c r="H1225" s="85">
        <v>43752</v>
      </c>
      <c r="I1225" s="84" t="s">
        <v>401</v>
      </c>
      <c r="J1225" s="84">
        <v>1</v>
      </c>
      <c r="L1225" s="84">
        <v>0</v>
      </c>
      <c r="M1225" s="85">
        <v>43671</v>
      </c>
      <c r="N1225" s="85" t="s">
        <v>265</v>
      </c>
      <c r="O1225" s="86" t="s">
        <v>340</v>
      </c>
      <c r="P1225" s="84" t="s">
        <v>26</v>
      </c>
      <c r="Q1225" s="86" t="s">
        <v>209</v>
      </c>
      <c r="R1225" s="86" t="s">
        <v>3784</v>
      </c>
      <c r="S1225" s="87" t="s">
        <v>3695</v>
      </c>
      <c r="T1225" s="87" t="s">
        <v>3466</v>
      </c>
      <c r="U1225" s="88">
        <v>3271200</v>
      </c>
      <c r="V1225" s="88">
        <v>3532896</v>
      </c>
      <c r="W1225" s="88">
        <v>3202200</v>
      </c>
      <c r="X1225" s="88">
        <v>3458376</v>
      </c>
      <c r="Y1225" s="88">
        <v>69000</v>
      </c>
      <c r="Z1225" s="88">
        <v>74520</v>
      </c>
      <c r="AA1225" s="85">
        <v>43745</v>
      </c>
      <c r="AB1225" s="85">
        <v>43749</v>
      </c>
      <c r="AC1225" s="85">
        <v>43749</v>
      </c>
      <c r="AD1225" s="84">
        <v>0</v>
      </c>
      <c r="AG1225" s="84">
        <v>0</v>
      </c>
      <c r="AJ1225" s="84">
        <v>0</v>
      </c>
      <c r="AM1225" s="84" t="s">
        <v>290</v>
      </c>
      <c r="AN1225" s="84" t="s">
        <v>3785</v>
      </c>
      <c r="AR1225" s="85">
        <v>43684</v>
      </c>
      <c r="AS1225" s="84">
        <v>6001701365</v>
      </c>
      <c r="AT1225" s="85">
        <v>43685</v>
      </c>
      <c r="AU1225" s="84" t="s">
        <v>3832</v>
      </c>
      <c r="AV1225" s="85">
        <v>43798</v>
      </c>
      <c r="AW1225" s="123">
        <v>43769</v>
      </c>
      <c r="AX1225" s="123">
        <v>43789</v>
      </c>
      <c r="AY1225" s="157">
        <v>3140352</v>
      </c>
      <c r="AZ1225" s="132">
        <f t="shared" ref="AZ1225:AZ1232" si="6">ROUNDDOWN(AY1225+(AY1225*0.1),0)</f>
        <v>3454387</v>
      </c>
      <c r="BA1225" s="84" t="s">
        <v>666</v>
      </c>
      <c r="BB1225" s="88">
        <v>1491200</v>
      </c>
      <c r="BC1225" s="88">
        <f>ROUNDDOWN(BB1225+(BB1225*0.1),0)</f>
        <v>1640320</v>
      </c>
      <c r="BD1225" s="84" t="s">
        <v>188</v>
      </c>
      <c r="BG1225" s="88">
        <v>0</v>
      </c>
      <c r="BI1225" s="84" t="s">
        <v>276</v>
      </c>
      <c r="BJ1225" s="88">
        <v>44850</v>
      </c>
      <c r="BK1225" s="88">
        <f>ROUNDDOWN(BJ1225+(BJ1225*0.1),0)</f>
        <v>49335</v>
      </c>
      <c r="BL1225" s="84" t="s">
        <v>430</v>
      </c>
      <c r="BS1225" s="88">
        <v>0</v>
      </c>
      <c r="BV1225" s="89">
        <v>3458376</v>
      </c>
      <c r="BW1225" s="89">
        <v>1658934</v>
      </c>
      <c r="BX1225" s="89">
        <v>43671</v>
      </c>
      <c r="BY1225" s="89">
        <v>1799442</v>
      </c>
      <c r="BZ1225" s="112">
        <v>52.031415901567669</v>
      </c>
      <c r="CC1225" s="84">
        <v>2019</v>
      </c>
      <c r="CK1225" s="88">
        <v>0</v>
      </c>
    </row>
    <row r="1226" spans="1:89" x14ac:dyDescent="0.15">
      <c r="A1226" s="84">
        <v>2</v>
      </c>
      <c r="B1226" s="85">
        <v>43738</v>
      </c>
      <c r="C1226" s="85">
        <v>43798</v>
      </c>
      <c r="D1226" s="85">
        <v>43763</v>
      </c>
      <c r="E1226" s="85">
        <v>43763</v>
      </c>
      <c r="F1226" s="85">
        <v>43763</v>
      </c>
      <c r="G1226" s="85">
        <v>43762</v>
      </c>
      <c r="H1226" s="85">
        <v>43759</v>
      </c>
      <c r="I1226" s="84" t="s">
        <v>401</v>
      </c>
      <c r="J1226" s="84">
        <v>1</v>
      </c>
      <c r="L1226" s="84">
        <v>0</v>
      </c>
      <c r="M1226" s="85">
        <v>43671</v>
      </c>
      <c r="N1226" s="85" t="s">
        <v>265</v>
      </c>
      <c r="O1226" s="86" t="s">
        <v>340</v>
      </c>
      <c r="P1226" s="84" t="s">
        <v>26</v>
      </c>
      <c r="Q1226" s="86" t="s">
        <v>209</v>
      </c>
      <c r="R1226" s="86" t="s">
        <v>3786</v>
      </c>
      <c r="S1226" s="87" t="s">
        <v>1009</v>
      </c>
      <c r="T1226" s="87" t="s">
        <v>3466</v>
      </c>
      <c r="U1226" s="88">
        <v>3389200</v>
      </c>
      <c r="V1226" s="88">
        <v>3660336</v>
      </c>
      <c r="W1226" s="88">
        <v>3320200</v>
      </c>
      <c r="X1226" s="88">
        <v>3585816</v>
      </c>
      <c r="Y1226" s="88">
        <v>69000</v>
      </c>
      <c r="Z1226" s="88">
        <v>74520</v>
      </c>
      <c r="AA1226" s="85">
        <v>43753</v>
      </c>
      <c r="AB1226" s="85">
        <v>43756</v>
      </c>
      <c r="AC1226" s="85">
        <v>43756</v>
      </c>
      <c r="AD1226" s="84">
        <v>0</v>
      </c>
      <c r="AG1226" s="84">
        <v>0</v>
      </c>
      <c r="AJ1226" s="84">
        <v>0</v>
      </c>
      <c r="AM1226" s="84" t="s">
        <v>290</v>
      </c>
      <c r="AN1226" s="84" t="s">
        <v>3787</v>
      </c>
      <c r="AR1226" s="85">
        <v>43684</v>
      </c>
      <c r="AS1226" s="84">
        <v>6001701369</v>
      </c>
      <c r="AT1226" s="85">
        <v>43684</v>
      </c>
      <c r="AU1226" s="84" t="s">
        <v>3490</v>
      </c>
      <c r="AV1226" s="85">
        <v>43798</v>
      </c>
      <c r="AW1226" s="123">
        <v>43769</v>
      </c>
      <c r="AX1226" s="123">
        <v>43789</v>
      </c>
      <c r="AY1226" s="157">
        <v>3253632</v>
      </c>
      <c r="AZ1226" s="132">
        <f t="shared" si="6"/>
        <v>3578995</v>
      </c>
      <c r="BA1226" s="84" t="s">
        <v>400</v>
      </c>
      <c r="BB1226" s="88">
        <v>1536000</v>
      </c>
      <c r="BC1226" s="88">
        <v>1658880</v>
      </c>
      <c r="BD1226" s="84" t="s">
        <v>188</v>
      </c>
      <c r="BG1226" s="88">
        <v>0</v>
      </c>
      <c r="BI1226" s="84" t="s">
        <v>434</v>
      </c>
      <c r="BJ1226" s="88">
        <v>44850</v>
      </c>
      <c r="BK1226" s="88">
        <f>ROUNDDOWN(BJ1226+(BJ1226*0.1),0)</f>
        <v>49335</v>
      </c>
      <c r="BL1226" s="84" t="s">
        <v>188</v>
      </c>
      <c r="BS1226" s="88">
        <v>0</v>
      </c>
      <c r="BV1226" s="89">
        <v>3585816</v>
      </c>
      <c r="BW1226" s="89">
        <v>1707318</v>
      </c>
      <c r="BX1226" s="89">
        <v>43671</v>
      </c>
      <c r="BY1226" s="89">
        <v>1878498</v>
      </c>
      <c r="BZ1226" s="112">
        <v>52.386904403349199</v>
      </c>
      <c r="CC1226" s="84">
        <v>2019</v>
      </c>
      <c r="CK1226" s="88">
        <v>0</v>
      </c>
    </row>
    <row r="1227" spans="1:89" x14ac:dyDescent="0.15">
      <c r="A1227" s="84">
        <v>2</v>
      </c>
      <c r="B1227" s="85">
        <v>43735</v>
      </c>
      <c r="C1227" s="85">
        <v>43769</v>
      </c>
      <c r="D1227" s="85">
        <v>43766</v>
      </c>
      <c r="E1227" s="85">
        <v>43754</v>
      </c>
      <c r="F1227" s="85">
        <v>43754</v>
      </c>
      <c r="G1227" s="85">
        <v>43754</v>
      </c>
      <c r="H1227" s="85">
        <v>43750</v>
      </c>
      <c r="I1227" s="84" t="s">
        <v>401</v>
      </c>
      <c r="J1227" s="84">
        <v>1</v>
      </c>
      <c r="L1227" s="84">
        <v>0</v>
      </c>
      <c r="M1227" s="85">
        <v>43671</v>
      </c>
      <c r="N1227" s="85" t="s">
        <v>265</v>
      </c>
      <c r="O1227" s="86" t="s">
        <v>340</v>
      </c>
      <c r="P1227" s="84" t="s">
        <v>26</v>
      </c>
      <c r="Q1227" s="86" t="s">
        <v>209</v>
      </c>
      <c r="R1227" s="86" t="s">
        <v>3788</v>
      </c>
      <c r="S1227" s="87" t="s">
        <v>1467</v>
      </c>
      <c r="T1227" s="87" t="s">
        <v>3466</v>
      </c>
      <c r="U1227" s="88">
        <v>2799200</v>
      </c>
      <c r="V1227" s="88">
        <v>3023136</v>
      </c>
      <c r="W1227" s="88">
        <v>2730200</v>
      </c>
      <c r="X1227" s="88">
        <v>2948616</v>
      </c>
      <c r="Y1227" s="88">
        <v>69000</v>
      </c>
      <c r="Z1227" s="88">
        <v>74520</v>
      </c>
      <c r="AA1227" s="85">
        <v>43742</v>
      </c>
      <c r="AB1227" s="85">
        <v>43747</v>
      </c>
      <c r="AC1227" s="85">
        <v>43747</v>
      </c>
      <c r="AD1227" s="84">
        <v>0</v>
      </c>
      <c r="AG1227" s="84">
        <v>0</v>
      </c>
      <c r="AJ1227" s="84">
        <v>0</v>
      </c>
      <c r="AM1227" s="84" t="s">
        <v>290</v>
      </c>
      <c r="AN1227" s="84" t="s">
        <v>3789</v>
      </c>
      <c r="AR1227" s="85">
        <v>43684</v>
      </c>
      <c r="AS1227" s="84">
        <v>6001701370</v>
      </c>
      <c r="AT1227" s="85">
        <v>43684</v>
      </c>
      <c r="AU1227" s="84" t="s">
        <v>3422</v>
      </c>
      <c r="AV1227" s="85">
        <v>43769</v>
      </c>
      <c r="AW1227" s="123">
        <v>43769</v>
      </c>
      <c r="AX1227" s="123">
        <v>43789</v>
      </c>
      <c r="AY1227" s="157">
        <v>2687232</v>
      </c>
      <c r="AZ1227" s="132">
        <f t="shared" si="6"/>
        <v>2955955</v>
      </c>
      <c r="BA1227" s="163" t="s">
        <v>286</v>
      </c>
      <c r="BB1227" s="88">
        <v>1406000</v>
      </c>
      <c r="BC1227" s="88">
        <f>ROUNDDOWN(BB1227+(BB1227*0.1),0)</f>
        <v>1546600</v>
      </c>
      <c r="BD1227" s="84" t="s">
        <v>188</v>
      </c>
      <c r="BG1227" s="88">
        <v>0</v>
      </c>
      <c r="BI1227" s="84" t="s">
        <v>434</v>
      </c>
      <c r="BJ1227" s="88">
        <v>44850</v>
      </c>
      <c r="BK1227" s="88">
        <f>ROUNDDOWN(BJ1227+(BJ1227*0.1),0)</f>
        <v>49335</v>
      </c>
      <c r="BL1227" s="84" t="s">
        <v>188</v>
      </c>
      <c r="BS1227" s="88">
        <v>0</v>
      </c>
      <c r="BV1227" s="89">
        <v>2948616</v>
      </c>
      <c r="BW1227" s="89">
        <v>1566918</v>
      </c>
      <c r="BX1227" s="89">
        <v>43671</v>
      </c>
      <c r="BY1227" s="89">
        <v>1381698</v>
      </c>
      <c r="BZ1227" s="112">
        <v>46.859204453886164</v>
      </c>
      <c r="CC1227" s="84">
        <v>2019</v>
      </c>
      <c r="CK1227" s="88">
        <v>0</v>
      </c>
    </row>
    <row r="1228" spans="1:89" x14ac:dyDescent="0.15">
      <c r="A1228" s="84">
        <v>2</v>
      </c>
      <c r="B1228" s="85">
        <v>43735</v>
      </c>
      <c r="C1228" s="85">
        <v>43769</v>
      </c>
      <c r="D1228" s="85">
        <v>43754</v>
      </c>
      <c r="E1228" s="85">
        <v>43754</v>
      </c>
      <c r="F1228" s="85">
        <v>43754</v>
      </c>
      <c r="G1228" s="85">
        <v>43754</v>
      </c>
      <c r="H1228" s="85">
        <v>43750</v>
      </c>
      <c r="I1228" s="84" t="s">
        <v>401</v>
      </c>
      <c r="J1228" s="84">
        <v>1</v>
      </c>
      <c r="L1228" s="84">
        <v>0</v>
      </c>
      <c r="M1228" s="85">
        <v>43671</v>
      </c>
      <c r="N1228" s="85" t="s">
        <v>265</v>
      </c>
      <c r="O1228" s="86" t="s">
        <v>340</v>
      </c>
      <c r="P1228" s="84" t="s">
        <v>26</v>
      </c>
      <c r="Q1228" s="86" t="s">
        <v>209</v>
      </c>
      <c r="R1228" s="86" t="s">
        <v>3782</v>
      </c>
      <c r="S1228" s="87" t="s">
        <v>1900</v>
      </c>
      <c r="T1228" s="87" t="s">
        <v>3466</v>
      </c>
      <c r="U1228" s="88">
        <v>3189200</v>
      </c>
      <c r="V1228" s="88">
        <v>3444336</v>
      </c>
      <c r="W1228" s="88">
        <v>3120200</v>
      </c>
      <c r="X1228" s="88">
        <v>3369816</v>
      </c>
      <c r="Y1228" s="88">
        <v>69000</v>
      </c>
      <c r="Z1228" s="88">
        <v>74520</v>
      </c>
      <c r="AA1228" s="85">
        <v>43745</v>
      </c>
      <c r="AB1228" s="85">
        <v>43747</v>
      </c>
      <c r="AC1228" s="85">
        <v>43747</v>
      </c>
      <c r="AD1228" s="84">
        <v>0</v>
      </c>
      <c r="AG1228" s="84">
        <v>0</v>
      </c>
      <c r="AJ1228" s="84">
        <v>0</v>
      </c>
      <c r="AM1228" s="84" t="s">
        <v>290</v>
      </c>
      <c r="AN1228" s="84" t="s">
        <v>3783</v>
      </c>
      <c r="AR1228" s="85">
        <v>43684</v>
      </c>
      <c r="AS1228" s="84">
        <v>6001701371</v>
      </c>
      <c r="AT1228" s="85">
        <v>43684</v>
      </c>
      <c r="AU1228" s="84" t="s">
        <v>3491</v>
      </c>
      <c r="AV1228" s="85">
        <v>43769</v>
      </c>
      <c r="AW1228" s="123">
        <v>43769</v>
      </c>
      <c r="AX1228" s="123">
        <v>43789</v>
      </c>
      <c r="AY1228" s="157">
        <v>3061632</v>
      </c>
      <c r="AZ1228" s="132">
        <f t="shared" si="6"/>
        <v>3367795</v>
      </c>
      <c r="BA1228" s="84" t="s">
        <v>543</v>
      </c>
      <c r="BB1228" s="88">
        <v>1406000</v>
      </c>
      <c r="BC1228" s="88">
        <f>ROUNDDOWN(BB1228+(BB1228*0.1),0)</f>
        <v>1546600</v>
      </c>
      <c r="BD1228" s="84" t="s">
        <v>188</v>
      </c>
      <c r="BG1228" s="88">
        <v>0</v>
      </c>
      <c r="BI1228" s="84" t="s">
        <v>276</v>
      </c>
      <c r="BJ1228" s="88">
        <v>44850</v>
      </c>
      <c r="BK1228" s="88">
        <f>ROUNDDOWN(BJ1228+(BJ1228*0.1),0)</f>
        <v>49335</v>
      </c>
      <c r="BL1228" s="84" t="s">
        <v>430</v>
      </c>
      <c r="BS1228" s="88">
        <v>0</v>
      </c>
      <c r="BV1228" s="89">
        <v>3369816</v>
      </c>
      <c r="BW1228" s="89">
        <v>1566918</v>
      </c>
      <c r="BX1228" s="89">
        <v>43671</v>
      </c>
      <c r="BY1228" s="89">
        <v>1802898</v>
      </c>
      <c r="BZ1228" s="112">
        <v>53.501378116787393</v>
      </c>
      <c r="CC1228" s="84">
        <v>2019</v>
      </c>
      <c r="CK1228" s="88">
        <v>0</v>
      </c>
    </row>
    <row r="1229" spans="1:89" x14ac:dyDescent="0.15">
      <c r="A1229" s="84">
        <v>2</v>
      </c>
      <c r="B1229" s="85">
        <v>43844</v>
      </c>
      <c r="C1229" s="85">
        <v>43861</v>
      </c>
      <c r="D1229" s="85">
        <v>43899</v>
      </c>
      <c r="E1229" s="85">
        <v>43861</v>
      </c>
      <c r="F1229" s="85">
        <v>43860</v>
      </c>
      <c r="G1229" s="85">
        <v>43860</v>
      </c>
      <c r="H1229" s="85">
        <v>43856</v>
      </c>
      <c r="I1229" s="84" t="s">
        <v>401</v>
      </c>
      <c r="J1229" s="84">
        <v>1</v>
      </c>
      <c r="L1229" s="84">
        <v>0</v>
      </c>
      <c r="M1229" s="85">
        <v>43671</v>
      </c>
      <c r="N1229" s="85" t="s">
        <v>265</v>
      </c>
      <c r="O1229" s="86" t="s">
        <v>340</v>
      </c>
      <c r="P1229" s="84" t="s">
        <v>26</v>
      </c>
      <c r="Q1229" s="86" t="s">
        <v>209</v>
      </c>
      <c r="R1229" s="86" t="s">
        <v>3426</v>
      </c>
      <c r="S1229" s="87" t="s">
        <v>1053</v>
      </c>
      <c r="T1229" s="87" t="s">
        <v>3427</v>
      </c>
      <c r="U1229" s="88">
        <v>3186040</v>
      </c>
      <c r="V1229" s="88">
        <v>3440923.2</v>
      </c>
      <c r="W1229" s="88">
        <v>3117040</v>
      </c>
      <c r="X1229" s="88">
        <v>3366403.2</v>
      </c>
      <c r="Y1229" s="88">
        <v>69000</v>
      </c>
      <c r="Z1229" s="88">
        <v>74520</v>
      </c>
      <c r="AA1229" s="85">
        <v>43851</v>
      </c>
      <c r="AB1229" s="85">
        <v>43853</v>
      </c>
      <c r="AC1229" s="85">
        <v>43853</v>
      </c>
      <c r="AD1229" s="84">
        <v>0</v>
      </c>
      <c r="AG1229" s="84">
        <v>0</v>
      </c>
      <c r="AJ1229" s="84">
        <v>0</v>
      </c>
      <c r="AM1229" s="84" t="s">
        <v>290</v>
      </c>
      <c r="AN1229" s="84" t="s">
        <v>3428</v>
      </c>
      <c r="AR1229" s="85">
        <v>43684</v>
      </c>
      <c r="AS1229" s="84">
        <v>6001701364</v>
      </c>
      <c r="AT1229" s="85">
        <v>43685</v>
      </c>
      <c r="AU1229" s="84" t="s">
        <v>3924</v>
      </c>
      <c r="AV1229" s="85">
        <v>43861</v>
      </c>
      <c r="AW1229" s="123">
        <v>43861</v>
      </c>
      <c r="AX1229" s="123">
        <v>43881</v>
      </c>
      <c r="AY1229" s="132">
        <v>3058598</v>
      </c>
      <c r="AZ1229" s="132">
        <v>3364458</v>
      </c>
      <c r="BA1229" s="84" t="s">
        <v>287</v>
      </c>
      <c r="BB1229" s="88">
        <v>1755000</v>
      </c>
      <c r="BC1229" s="88">
        <v>1895400</v>
      </c>
      <c r="BD1229" s="84" t="s">
        <v>1233</v>
      </c>
      <c r="BG1229" s="88">
        <v>0</v>
      </c>
      <c r="BI1229" s="84" t="s">
        <v>434</v>
      </c>
      <c r="BJ1229" s="88">
        <v>44850</v>
      </c>
      <c r="BK1229" s="88">
        <v>48438</v>
      </c>
      <c r="BL1229" s="84" t="s">
        <v>1233</v>
      </c>
      <c r="BS1229" s="88">
        <v>0</v>
      </c>
      <c r="BV1229" s="89">
        <v>3366403.2</v>
      </c>
      <c r="BW1229" s="89">
        <v>1943838</v>
      </c>
      <c r="BX1229" s="89">
        <v>43671</v>
      </c>
      <c r="BY1229" s="89">
        <v>1422565.2</v>
      </c>
      <c r="BZ1229" s="112">
        <v>42.257718861483973</v>
      </c>
      <c r="CC1229" s="84">
        <v>2019</v>
      </c>
      <c r="CK1229" s="88">
        <v>0</v>
      </c>
    </row>
    <row r="1230" spans="1:89" x14ac:dyDescent="0.15">
      <c r="A1230" s="84">
        <v>2</v>
      </c>
      <c r="B1230" s="85">
        <v>43844</v>
      </c>
      <c r="C1230" s="85">
        <v>43861</v>
      </c>
      <c r="D1230" s="85">
        <v>43899</v>
      </c>
      <c r="E1230" s="85">
        <v>43859</v>
      </c>
      <c r="F1230" s="85">
        <v>43861</v>
      </c>
      <c r="G1230" s="85">
        <v>43857</v>
      </c>
      <c r="H1230" s="85">
        <v>43857</v>
      </c>
      <c r="I1230" s="84" t="s">
        <v>401</v>
      </c>
      <c r="J1230" s="84">
        <v>1</v>
      </c>
      <c r="L1230" s="84">
        <v>0</v>
      </c>
      <c r="M1230" s="85">
        <v>43671</v>
      </c>
      <c r="N1230" s="85" t="s">
        <v>265</v>
      </c>
      <c r="O1230" s="86" t="s">
        <v>340</v>
      </c>
      <c r="P1230" s="84" t="s">
        <v>26</v>
      </c>
      <c r="Q1230" s="86" t="s">
        <v>209</v>
      </c>
      <c r="R1230" s="86" t="s">
        <v>3790</v>
      </c>
      <c r="S1230" s="87" t="s">
        <v>2453</v>
      </c>
      <c r="T1230" s="87" t="s">
        <v>3466</v>
      </c>
      <c r="U1230" s="88">
        <v>2998200</v>
      </c>
      <c r="V1230" s="88">
        <v>3238056</v>
      </c>
      <c r="W1230" s="88">
        <v>2929200</v>
      </c>
      <c r="X1230" s="88">
        <v>3163536</v>
      </c>
      <c r="Y1230" s="88">
        <v>69000</v>
      </c>
      <c r="Z1230" s="88">
        <v>74520</v>
      </c>
      <c r="AA1230" s="85">
        <v>43853</v>
      </c>
      <c r="AB1230" s="85">
        <v>43854</v>
      </c>
      <c r="AC1230" s="85">
        <v>43854</v>
      </c>
      <c r="AD1230" s="84">
        <v>0</v>
      </c>
      <c r="AG1230" s="84">
        <v>0</v>
      </c>
      <c r="AJ1230" s="84">
        <v>0</v>
      </c>
      <c r="AM1230" s="84" t="s">
        <v>290</v>
      </c>
      <c r="AN1230" s="84" t="s">
        <v>3791</v>
      </c>
      <c r="AR1230" s="85">
        <v>43684</v>
      </c>
      <c r="AS1230" s="84">
        <v>6001701361</v>
      </c>
      <c r="AT1230" s="85">
        <v>43684</v>
      </c>
      <c r="AU1230" s="84" t="s">
        <v>3420</v>
      </c>
      <c r="AV1230" s="85">
        <v>43861</v>
      </c>
      <c r="AW1230" s="123">
        <v>43861</v>
      </c>
      <c r="AX1230" s="123">
        <v>43881</v>
      </c>
      <c r="AY1230" s="132">
        <v>2878272</v>
      </c>
      <c r="AZ1230" s="132">
        <f t="shared" si="6"/>
        <v>3166099</v>
      </c>
      <c r="BA1230" s="84" t="s">
        <v>287</v>
      </c>
      <c r="BB1230" s="88">
        <v>1386000</v>
      </c>
      <c r="BC1230" s="88">
        <v>1496880</v>
      </c>
      <c r="BD1230" s="84" t="s">
        <v>1138</v>
      </c>
      <c r="BG1230" s="88">
        <v>0</v>
      </c>
      <c r="BI1230" s="84" t="s">
        <v>434</v>
      </c>
      <c r="BJ1230" s="88">
        <v>44850</v>
      </c>
      <c r="BK1230" s="88">
        <v>48438</v>
      </c>
      <c r="BL1230" s="84" t="s">
        <v>1233</v>
      </c>
      <c r="BS1230" s="88">
        <v>0</v>
      </c>
      <c r="BV1230" s="89">
        <v>3163536</v>
      </c>
      <c r="BW1230" s="89">
        <v>1545318</v>
      </c>
      <c r="BX1230" s="89">
        <v>43671</v>
      </c>
      <c r="BY1230" s="89">
        <v>1618218</v>
      </c>
      <c r="BZ1230" s="112">
        <v>51.152191724702988</v>
      </c>
      <c r="CC1230" s="84">
        <v>2019</v>
      </c>
      <c r="CK1230" s="88">
        <v>0</v>
      </c>
    </row>
    <row r="1231" spans="1:89" x14ac:dyDescent="0.15">
      <c r="A1231" s="84">
        <v>2</v>
      </c>
      <c r="B1231" s="85">
        <v>43774</v>
      </c>
      <c r="C1231" s="85">
        <v>43798</v>
      </c>
      <c r="E1231" s="85">
        <v>43788</v>
      </c>
      <c r="F1231" s="85">
        <v>43791</v>
      </c>
      <c r="G1231" s="85">
        <v>43787</v>
      </c>
      <c r="H1231" s="85">
        <v>43787</v>
      </c>
      <c r="I1231" s="84" t="s">
        <v>401</v>
      </c>
      <c r="J1231" s="84">
        <v>1</v>
      </c>
      <c r="L1231" s="84">
        <v>0</v>
      </c>
      <c r="M1231" s="85">
        <v>43671</v>
      </c>
      <c r="N1231" s="85" t="s">
        <v>265</v>
      </c>
      <c r="O1231" s="86" t="s">
        <v>340</v>
      </c>
      <c r="P1231" s="84" t="s">
        <v>26</v>
      </c>
      <c r="Q1231" s="86" t="s">
        <v>209</v>
      </c>
      <c r="R1231" s="86" t="s">
        <v>3465</v>
      </c>
      <c r="S1231" s="87" t="s">
        <v>635</v>
      </c>
      <c r="T1231" s="87" t="s">
        <v>3466</v>
      </c>
      <c r="U1231" s="88">
        <v>3328200</v>
      </c>
      <c r="V1231" s="88">
        <v>3594456</v>
      </c>
      <c r="W1231" s="88">
        <v>3259200</v>
      </c>
      <c r="X1231" s="88">
        <v>3519936</v>
      </c>
      <c r="Y1231" s="88">
        <v>69000</v>
      </c>
      <c r="Z1231" s="88">
        <v>74520</v>
      </c>
      <c r="AA1231" s="85">
        <v>43781</v>
      </c>
      <c r="AB1231" s="85">
        <v>43784</v>
      </c>
      <c r="AC1231" s="85">
        <v>43784</v>
      </c>
      <c r="AD1231" s="84">
        <v>0</v>
      </c>
      <c r="AG1231" s="84">
        <v>0</v>
      </c>
      <c r="AJ1231" s="84">
        <v>0</v>
      </c>
      <c r="AM1231" s="84" t="s">
        <v>290</v>
      </c>
      <c r="AN1231" s="84" t="s">
        <v>3467</v>
      </c>
      <c r="AR1231" s="85">
        <v>43684</v>
      </c>
      <c r="AS1231" s="84">
        <v>6001701368</v>
      </c>
      <c r="AT1231" s="85">
        <v>43696</v>
      </c>
      <c r="AU1231" s="84" t="s">
        <v>3468</v>
      </c>
      <c r="AV1231" s="85">
        <v>43798</v>
      </c>
      <c r="AW1231" s="123">
        <v>43799</v>
      </c>
      <c r="AX1231" s="123">
        <v>43819</v>
      </c>
      <c r="AY1231" s="132">
        <v>3195072</v>
      </c>
      <c r="AZ1231" s="132">
        <f t="shared" si="6"/>
        <v>3514579</v>
      </c>
      <c r="BA1231" s="84" t="s">
        <v>400</v>
      </c>
      <c r="BB1231" s="88">
        <v>1439000</v>
      </c>
      <c r="BC1231" s="88">
        <f>ROUNDDOWN(BB1231+(BB1231*0.1),0)</f>
        <v>1582900</v>
      </c>
      <c r="BD1231" s="84" t="s">
        <v>189</v>
      </c>
      <c r="BG1231" s="88">
        <v>0</v>
      </c>
      <c r="BI1231" s="84" t="s">
        <v>434</v>
      </c>
      <c r="BJ1231" s="88">
        <v>44850</v>
      </c>
      <c r="BK1231" s="88">
        <f>ROUNDDOWN(BJ1231+(BJ1231*0.1),0)</f>
        <v>49335</v>
      </c>
      <c r="BL1231" s="84" t="s">
        <v>189</v>
      </c>
      <c r="BS1231" s="88">
        <v>0</v>
      </c>
      <c r="BV1231" s="89">
        <v>3519936</v>
      </c>
      <c r="BW1231" s="89">
        <v>1602558</v>
      </c>
      <c r="BX1231" s="89">
        <v>43671</v>
      </c>
      <c r="BY1231" s="89">
        <v>1917378</v>
      </c>
      <c r="BZ1231" s="112">
        <v>54.471956308296512</v>
      </c>
      <c r="CC1231" s="84">
        <v>2019</v>
      </c>
      <c r="CK1231" s="88">
        <v>0</v>
      </c>
    </row>
    <row r="1232" spans="1:89" x14ac:dyDescent="0.15">
      <c r="A1232" s="84">
        <v>2</v>
      </c>
      <c r="B1232" s="85">
        <v>43787</v>
      </c>
      <c r="C1232" s="85">
        <v>43798</v>
      </c>
      <c r="D1232" s="85">
        <v>43808</v>
      </c>
      <c r="E1232" s="85">
        <v>43808</v>
      </c>
      <c r="F1232" s="85">
        <v>43803</v>
      </c>
      <c r="G1232" s="85">
        <v>43798</v>
      </c>
      <c r="H1232" s="85">
        <v>43799</v>
      </c>
      <c r="I1232" s="84" t="s">
        <v>401</v>
      </c>
      <c r="J1232" s="84">
        <v>1</v>
      </c>
      <c r="L1232" s="84">
        <v>0</v>
      </c>
      <c r="M1232" s="85">
        <v>43671</v>
      </c>
      <c r="N1232" s="85" t="s">
        <v>265</v>
      </c>
      <c r="O1232" s="86" t="s">
        <v>340</v>
      </c>
      <c r="P1232" s="84" t="s">
        <v>26</v>
      </c>
      <c r="Q1232" s="86" t="s">
        <v>209</v>
      </c>
      <c r="R1232" s="86" t="s">
        <v>3469</v>
      </c>
      <c r="S1232" s="87" t="s">
        <v>2617</v>
      </c>
      <c r="T1232" s="87" t="s">
        <v>3466</v>
      </c>
      <c r="U1232" s="88">
        <v>3202400</v>
      </c>
      <c r="V1232" s="88">
        <v>3458592</v>
      </c>
      <c r="W1232" s="88">
        <v>3133400</v>
      </c>
      <c r="X1232" s="88">
        <v>3384072</v>
      </c>
      <c r="Y1232" s="88">
        <v>69000</v>
      </c>
      <c r="Z1232" s="88">
        <v>74520</v>
      </c>
      <c r="AA1232" s="85">
        <v>43792</v>
      </c>
      <c r="AB1232" s="85">
        <v>43796</v>
      </c>
      <c r="AC1232" s="85">
        <v>43796</v>
      </c>
      <c r="AD1232" s="84">
        <v>0</v>
      </c>
      <c r="AG1232" s="84">
        <v>0</v>
      </c>
      <c r="AJ1232" s="84">
        <v>0</v>
      </c>
      <c r="AM1232" s="84" t="s">
        <v>290</v>
      </c>
      <c r="AN1232" s="84" t="s">
        <v>3470</v>
      </c>
      <c r="AR1232" s="85">
        <v>43684</v>
      </c>
      <c r="AS1232" s="84">
        <v>6001701366</v>
      </c>
      <c r="AT1232" s="85">
        <v>43696</v>
      </c>
      <c r="AU1232" s="84" t="s">
        <v>3471</v>
      </c>
      <c r="AV1232" s="85">
        <v>43798</v>
      </c>
      <c r="AW1232" s="123">
        <v>43799</v>
      </c>
      <c r="AX1232" s="123">
        <v>43819</v>
      </c>
      <c r="AY1232" s="132">
        <v>3074304</v>
      </c>
      <c r="AZ1232" s="132">
        <f t="shared" si="6"/>
        <v>3381734</v>
      </c>
      <c r="BA1232" s="84" t="s">
        <v>477</v>
      </c>
      <c r="BB1232" s="88">
        <v>1386000</v>
      </c>
      <c r="BC1232" s="88">
        <f>ROUNDDOWN(BB1232+(BB1232*0.1),0)</f>
        <v>1524600</v>
      </c>
      <c r="BD1232" s="84" t="s">
        <v>190</v>
      </c>
      <c r="BG1232" s="88">
        <v>0</v>
      </c>
      <c r="BI1232" s="84" t="s">
        <v>276</v>
      </c>
      <c r="BJ1232" s="88">
        <v>44850</v>
      </c>
      <c r="BK1232" s="88">
        <f>ROUNDDOWN(BJ1232+(BJ1232*0.1),0)</f>
        <v>49335</v>
      </c>
      <c r="BL1232" s="84" t="s">
        <v>863</v>
      </c>
      <c r="BS1232" s="88">
        <v>0</v>
      </c>
      <c r="BV1232" s="89">
        <v>3384072</v>
      </c>
      <c r="BW1232" s="89">
        <v>1545318</v>
      </c>
      <c r="BX1232" s="89">
        <v>43671</v>
      </c>
      <c r="BY1232" s="89">
        <v>1838754</v>
      </c>
      <c r="BZ1232" s="112">
        <v>54.335546052211662</v>
      </c>
      <c r="CC1232" s="84">
        <v>2019</v>
      </c>
      <c r="CK1232" s="88">
        <v>0</v>
      </c>
    </row>
    <row r="1233" spans="1:89" x14ac:dyDescent="0.15">
      <c r="A1233" s="84">
        <v>2</v>
      </c>
      <c r="B1233" s="85">
        <v>43696</v>
      </c>
      <c r="C1233" s="85">
        <v>43708</v>
      </c>
      <c r="D1233" s="85">
        <v>43796</v>
      </c>
      <c r="E1233" s="85">
        <v>43705</v>
      </c>
      <c r="F1233" s="85">
        <v>43707</v>
      </c>
      <c r="G1233" s="85">
        <v>43700</v>
      </c>
      <c r="H1233" s="85">
        <v>43703</v>
      </c>
      <c r="I1233" s="84" t="s">
        <v>1191</v>
      </c>
      <c r="J1233" s="84">
        <v>1</v>
      </c>
      <c r="L1233" s="84">
        <v>0</v>
      </c>
      <c r="M1233" s="85">
        <v>43671</v>
      </c>
      <c r="N1233" s="85" t="s">
        <v>265</v>
      </c>
      <c r="O1233" s="86" t="s">
        <v>340</v>
      </c>
      <c r="P1233" s="84" t="s">
        <v>26</v>
      </c>
      <c r="Q1233" s="86" t="s">
        <v>209</v>
      </c>
      <c r="R1233" s="86" t="s">
        <v>3454</v>
      </c>
      <c r="S1233" s="87" t="s">
        <v>558</v>
      </c>
      <c r="T1233" s="87" t="s">
        <v>2864</v>
      </c>
      <c r="U1233" s="88">
        <v>180000</v>
      </c>
      <c r="V1233" s="88">
        <v>194400</v>
      </c>
      <c r="W1233" s="88">
        <v>115000</v>
      </c>
      <c r="X1233" s="88">
        <v>124200</v>
      </c>
      <c r="Y1233" s="88">
        <v>65000</v>
      </c>
      <c r="Z1233" s="88">
        <v>70200</v>
      </c>
      <c r="AA1233" s="85">
        <v>43699</v>
      </c>
      <c r="AB1233" s="85">
        <v>43700</v>
      </c>
      <c r="AC1233" s="85">
        <v>43700</v>
      </c>
      <c r="AD1233" s="84">
        <v>0</v>
      </c>
      <c r="AG1233" s="84">
        <v>0</v>
      </c>
      <c r="AJ1233" s="84">
        <v>0</v>
      </c>
      <c r="AN1233" s="84" t="s">
        <v>338</v>
      </c>
      <c r="AR1233" s="85">
        <v>43679</v>
      </c>
      <c r="AS1233" s="84">
        <v>6001699514</v>
      </c>
      <c r="AT1233" s="85">
        <v>43679</v>
      </c>
      <c r="AU1233" s="84" t="s">
        <v>3349</v>
      </c>
      <c r="AV1233" s="85">
        <v>43708</v>
      </c>
      <c r="AW1233" s="123">
        <v>43708</v>
      </c>
      <c r="AX1233" s="123">
        <v>43728</v>
      </c>
      <c r="AY1233" s="132">
        <v>172800</v>
      </c>
      <c r="AZ1233" s="132">
        <f>ROUNDDOWN(AY1233+(AY1233*MASTER!$A$2/100),0)</f>
        <v>186624</v>
      </c>
      <c r="BA1233" s="84" t="s">
        <v>287</v>
      </c>
      <c r="BB1233" s="88">
        <v>60000</v>
      </c>
      <c r="BC1233" s="88">
        <v>64800</v>
      </c>
      <c r="BD1233" s="84" t="s">
        <v>3431</v>
      </c>
      <c r="BG1233" s="88">
        <v>0</v>
      </c>
      <c r="BI1233" s="84" t="s">
        <v>434</v>
      </c>
      <c r="BJ1233" s="88">
        <v>42250</v>
      </c>
      <c r="BK1233" s="88">
        <v>45630</v>
      </c>
      <c r="BL1233" s="84" t="s">
        <v>3431</v>
      </c>
      <c r="BS1233" s="88">
        <v>0</v>
      </c>
      <c r="BV1233" s="89">
        <v>124200</v>
      </c>
      <c r="BW1233" s="89">
        <v>110430</v>
      </c>
      <c r="BX1233" s="89">
        <v>43671</v>
      </c>
      <c r="BY1233" s="89">
        <v>13770</v>
      </c>
      <c r="BZ1233" s="112">
        <v>11.086956521739131</v>
      </c>
      <c r="CK1233" s="88">
        <v>0</v>
      </c>
    </row>
    <row r="1234" spans="1:89" x14ac:dyDescent="0.15">
      <c r="A1234" s="84">
        <v>2</v>
      </c>
      <c r="B1234" s="85">
        <v>43696</v>
      </c>
      <c r="C1234" s="85">
        <v>43708</v>
      </c>
      <c r="D1234" s="85">
        <v>43796</v>
      </c>
      <c r="E1234" s="85">
        <v>43705</v>
      </c>
      <c r="F1234" s="85">
        <v>43707</v>
      </c>
      <c r="G1234" s="85">
        <v>43700</v>
      </c>
      <c r="H1234" s="85">
        <v>43703</v>
      </c>
      <c r="I1234" s="84" t="s">
        <v>1191</v>
      </c>
      <c r="J1234" s="84">
        <v>1</v>
      </c>
      <c r="L1234" s="84">
        <v>0</v>
      </c>
      <c r="M1234" s="85">
        <v>43671</v>
      </c>
      <c r="N1234" s="85" t="s">
        <v>265</v>
      </c>
      <c r="O1234" s="86" t="s">
        <v>340</v>
      </c>
      <c r="P1234" s="84" t="s">
        <v>26</v>
      </c>
      <c r="Q1234" s="86" t="s">
        <v>209</v>
      </c>
      <c r="R1234" s="86" t="s">
        <v>3350</v>
      </c>
      <c r="S1234" s="87" t="s">
        <v>558</v>
      </c>
      <c r="T1234" s="87" t="s">
        <v>2876</v>
      </c>
      <c r="U1234" s="88">
        <v>95000</v>
      </c>
      <c r="V1234" s="88">
        <v>102600</v>
      </c>
      <c r="W1234" s="88">
        <v>80000</v>
      </c>
      <c r="X1234" s="88">
        <v>86400</v>
      </c>
      <c r="Y1234" s="88">
        <v>15000</v>
      </c>
      <c r="Z1234" s="88">
        <v>16200</v>
      </c>
      <c r="AA1234" s="85">
        <v>43699</v>
      </c>
      <c r="AB1234" s="85">
        <v>43700</v>
      </c>
      <c r="AC1234" s="85">
        <v>43700</v>
      </c>
      <c r="AD1234" s="84">
        <v>0</v>
      </c>
      <c r="AG1234" s="84">
        <v>0</v>
      </c>
      <c r="AJ1234" s="84">
        <v>0</v>
      </c>
      <c r="AN1234" s="84" t="s">
        <v>338</v>
      </c>
      <c r="AR1234" s="85">
        <v>43679</v>
      </c>
      <c r="AS1234" s="84">
        <v>6001699514</v>
      </c>
      <c r="AT1234" s="85">
        <v>43679</v>
      </c>
      <c r="AU1234" s="84" t="s">
        <v>3349</v>
      </c>
      <c r="AV1234" s="85">
        <v>43708</v>
      </c>
      <c r="AW1234" s="123">
        <v>43708</v>
      </c>
      <c r="AX1234" s="123">
        <v>43728</v>
      </c>
      <c r="AY1234" s="132">
        <v>91200</v>
      </c>
      <c r="AZ1234" s="132">
        <f>ROUNDDOWN(AY1234+(AY1234*MASTER!$A$2/100),0)</f>
        <v>98496</v>
      </c>
      <c r="BA1234" s="84" t="s">
        <v>778</v>
      </c>
      <c r="BC1234" s="88">
        <v>0</v>
      </c>
      <c r="BG1234" s="88">
        <v>0</v>
      </c>
      <c r="BI1234" s="84" t="s">
        <v>434</v>
      </c>
      <c r="BJ1234" s="88">
        <v>9750</v>
      </c>
      <c r="BK1234" s="88">
        <v>10530</v>
      </c>
      <c r="BL1234" s="84" t="s">
        <v>3431</v>
      </c>
      <c r="BS1234" s="88">
        <v>0</v>
      </c>
      <c r="BV1234" s="89">
        <v>86400</v>
      </c>
      <c r="BW1234" s="89">
        <v>10530</v>
      </c>
      <c r="BX1234" s="89">
        <v>43671</v>
      </c>
      <c r="BY1234" s="89">
        <v>75870</v>
      </c>
      <c r="BZ1234" s="112">
        <v>87.8125</v>
      </c>
      <c r="CK1234" s="88">
        <v>0</v>
      </c>
    </row>
    <row r="1235" spans="1:89" x14ac:dyDescent="0.15">
      <c r="A1235" s="84">
        <v>2</v>
      </c>
      <c r="B1235" s="85">
        <v>43697</v>
      </c>
      <c r="C1235" s="85">
        <v>43708</v>
      </c>
      <c r="D1235" s="85">
        <v>43745</v>
      </c>
      <c r="E1235" s="85">
        <v>43706</v>
      </c>
      <c r="F1235" s="85">
        <v>43711</v>
      </c>
      <c r="G1235" s="85">
        <v>43704</v>
      </c>
      <c r="H1235" s="85">
        <v>43707</v>
      </c>
      <c r="I1235" s="84" t="s">
        <v>401</v>
      </c>
      <c r="J1235" s="84">
        <v>1</v>
      </c>
      <c r="L1235" s="84">
        <v>0</v>
      </c>
      <c r="M1235" s="85">
        <v>43671</v>
      </c>
      <c r="N1235" s="85" t="s">
        <v>265</v>
      </c>
      <c r="O1235" s="86" t="s">
        <v>340</v>
      </c>
      <c r="P1235" s="84" t="s">
        <v>26</v>
      </c>
      <c r="Q1235" s="86" t="s">
        <v>209</v>
      </c>
      <c r="R1235" s="86" t="s">
        <v>3480</v>
      </c>
      <c r="S1235" s="87" t="s">
        <v>990</v>
      </c>
      <c r="T1235" s="87" t="s">
        <v>2864</v>
      </c>
      <c r="U1235" s="88">
        <v>180000</v>
      </c>
      <c r="V1235" s="88">
        <v>194400</v>
      </c>
      <c r="W1235" s="88">
        <v>115000</v>
      </c>
      <c r="X1235" s="88">
        <v>124200</v>
      </c>
      <c r="Y1235" s="88">
        <v>65000</v>
      </c>
      <c r="Z1235" s="88">
        <v>70200</v>
      </c>
      <c r="AA1235" s="85">
        <v>43703</v>
      </c>
      <c r="AB1235" s="85">
        <v>43704</v>
      </c>
      <c r="AC1235" s="85">
        <v>43704</v>
      </c>
      <c r="AD1235" s="84">
        <v>0</v>
      </c>
      <c r="AG1235" s="84">
        <v>0</v>
      </c>
      <c r="AJ1235" s="84">
        <v>0</v>
      </c>
      <c r="AN1235" s="84" t="s">
        <v>338</v>
      </c>
      <c r="AR1235" s="85">
        <v>43679</v>
      </c>
      <c r="AS1235" s="84">
        <v>6001699514</v>
      </c>
      <c r="AT1235" s="85">
        <v>43679</v>
      </c>
      <c r="AU1235" s="84" t="s">
        <v>3349</v>
      </c>
      <c r="AV1235" s="85">
        <v>43708</v>
      </c>
      <c r="AW1235" s="123">
        <v>43708</v>
      </c>
      <c r="AX1235" s="123">
        <v>43728</v>
      </c>
      <c r="AY1235" s="132">
        <v>172800</v>
      </c>
      <c r="AZ1235" s="132">
        <f>ROUNDDOWN(AY1235+(AY1235*MASTER!$A$2/100),0)</f>
        <v>186624</v>
      </c>
      <c r="BA1235" s="84" t="s">
        <v>543</v>
      </c>
      <c r="BB1235" s="88">
        <v>65000</v>
      </c>
      <c r="BC1235" s="88">
        <v>70200</v>
      </c>
      <c r="BD1235" s="84" t="s">
        <v>3431</v>
      </c>
      <c r="BG1235" s="88">
        <v>0</v>
      </c>
      <c r="BI1235" s="84" t="s">
        <v>434</v>
      </c>
      <c r="BJ1235" s="88">
        <v>42250</v>
      </c>
      <c r="BK1235" s="88">
        <v>45630</v>
      </c>
      <c r="BL1235" s="84" t="s">
        <v>3431</v>
      </c>
      <c r="BS1235" s="88">
        <v>0</v>
      </c>
      <c r="BV1235" s="89">
        <v>124200</v>
      </c>
      <c r="BW1235" s="89">
        <v>115830</v>
      </c>
      <c r="BX1235" s="89">
        <v>43671</v>
      </c>
      <c r="BY1235" s="89">
        <v>8370</v>
      </c>
      <c r="BZ1235" s="112">
        <v>6.7391304347826084</v>
      </c>
      <c r="CK1235" s="88">
        <v>0</v>
      </c>
    </row>
    <row r="1236" spans="1:89" x14ac:dyDescent="0.15">
      <c r="A1236" s="84">
        <v>2</v>
      </c>
      <c r="B1236" s="85">
        <v>43697</v>
      </c>
      <c r="C1236" s="85">
        <v>43708</v>
      </c>
      <c r="E1236" s="85">
        <v>43706</v>
      </c>
      <c r="F1236" s="85">
        <v>43711</v>
      </c>
      <c r="G1236" s="85">
        <v>43704</v>
      </c>
      <c r="H1236" s="85">
        <v>43707</v>
      </c>
      <c r="I1236" s="84" t="s">
        <v>401</v>
      </c>
      <c r="J1236" s="84">
        <v>1</v>
      </c>
      <c r="L1236" s="84">
        <v>0</v>
      </c>
      <c r="M1236" s="85">
        <v>43671</v>
      </c>
      <c r="N1236" s="85" t="s">
        <v>265</v>
      </c>
      <c r="O1236" s="86" t="s">
        <v>340</v>
      </c>
      <c r="P1236" s="84" t="s">
        <v>26</v>
      </c>
      <c r="Q1236" s="86" t="s">
        <v>209</v>
      </c>
      <c r="R1236" s="86" t="s">
        <v>3479</v>
      </c>
      <c r="S1236" s="87" t="s">
        <v>990</v>
      </c>
      <c r="T1236" s="87" t="s">
        <v>2876</v>
      </c>
      <c r="U1236" s="88">
        <v>95000</v>
      </c>
      <c r="V1236" s="88">
        <v>102600</v>
      </c>
      <c r="W1236" s="88">
        <v>80000</v>
      </c>
      <c r="X1236" s="88">
        <v>86400</v>
      </c>
      <c r="Y1236" s="88">
        <v>15000</v>
      </c>
      <c r="Z1236" s="88">
        <v>16200</v>
      </c>
      <c r="AA1236" s="85">
        <v>43703</v>
      </c>
      <c r="AB1236" s="85">
        <v>43704</v>
      </c>
      <c r="AC1236" s="85">
        <v>43704</v>
      </c>
      <c r="AD1236" s="84">
        <v>0</v>
      </c>
      <c r="AG1236" s="84">
        <v>0</v>
      </c>
      <c r="AJ1236" s="84">
        <v>0</v>
      </c>
      <c r="AN1236" s="84" t="s">
        <v>338</v>
      </c>
      <c r="AR1236" s="85">
        <v>43679</v>
      </c>
      <c r="AS1236" s="84">
        <v>6001699514</v>
      </c>
      <c r="AT1236" s="85">
        <v>43679</v>
      </c>
      <c r="AU1236" s="84" t="s">
        <v>3349</v>
      </c>
      <c r="AV1236" s="85">
        <v>43708</v>
      </c>
      <c r="AW1236" s="123">
        <v>43708</v>
      </c>
      <c r="AX1236" s="123">
        <v>43728</v>
      </c>
      <c r="AY1236" s="132">
        <v>91200</v>
      </c>
      <c r="AZ1236" s="132">
        <f>ROUNDDOWN(AY1236+(AY1236*MASTER!$A$2/100),0)</f>
        <v>98496</v>
      </c>
      <c r="BA1236" s="84" t="s">
        <v>778</v>
      </c>
      <c r="BC1236" s="88">
        <v>0</v>
      </c>
      <c r="BG1236" s="88">
        <v>0</v>
      </c>
      <c r="BI1236" s="84" t="s">
        <v>276</v>
      </c>
      <c r="BJ1236" s="88">
        <v>9750</v>
      </c>
      <c r="BK1236" s="88">
        <v>10530</v>
      </c>
      <c r="BL1236" s="84" t="s">
        <v>3515</v>
      </c>
      <c r="BS1236" s="88">
        <v>0</v>
      </c>
      <c r="BV1236" s="89">
        <v>86400</v>
      </c>
      <c r="BW1236" s="89">
        <v>10530</v>
      </c>
      <c r="BX1236" s="89">
        <v>43671</v>
      </c>
      <c r="BY1236" s="89">
        <v>75870</v>
      </c>
      <c r="BZ1236" s="112">
        <v>87.8125</v>
      </c>
      <c r="CK1236" s="88">
        <v>0</v>
      </c>
    </row>
    <row r="1237" spans="1:89" x14ac:dyDescent="0.15">
      <c r="A1237" s="84">
        <v>2</v>
      </c>
      <c r="B1237" s="85">
        <v>43697</v>
      </c>
      <c r="C1237" s="85">
        <v>43708</v>
      </c>
      <c r="D1237" s="85">
        <v>43745</v>
      </c>
      <c r="E1237" s="85">
        <v>43707</v>
      </c>
      <c r="F1237" s="85">
        <v>43713</v>
      </c>
      <c r="G1237" s="85">
        <v>43706</v>
      </c>
      <c r="H1237" s="85">
        <v>43709</v>
      </c>
      <c r="I1237" s="84" t="s">
        <v>401</v>
      </c>
      <c r="J1237" s="84">
        <v>1</v>
      </c>
      <c r="L1237" s="84">
        <v>0</v>
      </c>
      <c r="M1237" s="85">
        <v>43671</v>
      </c>
      <c r="N1237" s="85" t="s">
        <v>265</v>
      </c>
      <c r="O1237" s="86" t="s">
        <v>340</v>
      </c>
      <c r="P1237" s="84" t="s">
        <v>26</v>
      </c>
      <c r="Q1237" s="86" t="s">
        <v>209</v>
      </c>
      <c r="R1237" s="86" t="s">
        <v>3478</v>
      </c>
      <c r="S1237" s="87" t="s">
        <v>3352</v>
      </c>
      <c r="T1237" s="87" t="s">
        <v>2864</v>
      </c>
      <c r="U1237" s="88">
        <v>180000</v>
      </c>
      <c r="V1237" s="88">
        <v>194400</v>
      </c>
      <c r="W1237" s="88">
        <v>115000</v>
      </c>
      <c r="X1237" s="88">
        <v>124200</v>
      </c>
      <c r="Y1237" s="88">
        <v>65000</v>
      </c>
      <c r="Z1237" s="88">
        <v>70200</v>
      </c>
      <c r="AA1237" s="85">
        <v>43705</v>
      </c>
      <c r="AB1237" s="85">
        <v>43706</v>
      </c>
      <c r="AC1237" s="85">
        <v>43706</v>
      </c>
      <c r="AD1237" s="84">
        <v>0</v>
      </c>
      <c r="AG1237" s="84">
        <v>0</v>
      </c>
      <c r="AJ1237" s="84">
        <v>0</v>
      </c>
      <c r="AN1237" s="84" t="s">
        <v>338</v>
      </c>
      <c r="AR1237" s="85">
        <v>43679</v>
      </c>
      <c r="AS1237" s="84">
        <v>6001699514</v>
      </c>
      <c r="AT1237" s="85">
        <v>43679</v>
      </c>
      <c r="AU1237" s="84" t="s">
        <v>3349</v>
      </c>
      <c r="AV1237" s="85">
        <v>43708</v>
      </c>
      <c r="AW1237" s="123">
        <v>43708</v>
      </c>
      <c r="AX1237" s="123">
        <v>43728</v>
      </c>
      <c r="AY1237" s="132">
        <v>172800</v>
      </c>
      <c r="AZ1237" s="132">
        <f>ROUNDDOWN(AY1237+(AY1237*MASTER!$A$2/100),0)</f>
        <v>186624</v>
      </c>
      <c r="BA1237" s="84" t="s">
        <v>543</v>
      </c>
      <c r="BB1237" s="88">
        <v>57000</v>
      </c>
      <c r="BC1237" s="88">
        <v>61560</v>
      </c>
      <c r="BD1237" s="84" t="s">
        <v>3431</v>
      </c>
      <c r="BG1237" s="88">
        <v>0</v>
      </c>
      <c r="BI1237" s="84" t="s">
        <v>434</v>
      </c>
      <c r="BJ1237" s="88">
        <v>42250</v>
      </c>
      <c r="BK1237" s="88">
        <v>45630</v>
      </c>
      <c r="BL1237" s="84" t="s">
        <v>3431</v>
      </c>
      <c r="BS1237" s="88">
        <v>0</v>
      </c>
      <c r="BV1237" s="89">
        <v>124200</v>
      </c>
      <c r="BW1237" s="89">
        <v>107190</v>
      </c>
      <c r="BX1237" s="89">
        <v>43671</v>
      </c>
      <c r="BY1237" s="89">
        <v>17010</v>
      </c>
      <c r="BZ1237" s="112">
        <v>13.695652173913043</v>
      </c>
      <c r="CK1237" s="88">
        <v>0</v>
      </c>
    </row>
    <row r="1238" spans="1:89" x14ac:dyDescent="0.15">
      <c r="A1238" s="84">
        <v>2</v>
      </c>
      <c r="B1238" s="85">
        <v>43697</v>
      </c>
      <c r="C1238" s="85">
        <v>43708</v>
      </c>
      <c r="D1238" s="85">
        <v>43745</v>
      </c>
      <c r="E1238" s="85">
        <v>43707</v>
      </c>
      <c r="F1238" s="85">
        <v>43713</v>
      </c>
      <c r="G1238" s="85">
        <v>43706</v>
      </c>
      <c r="H1238" s="85">
        <v>43709</v>
      </c>
      <c r="I1238" s="84" t="s">
        <v>401</v>
      </c>
      <c r="J1238" s="84">
        <v>1</v>
      </c>
      <c r="L1238" s="84">
        <v>0</v>
      </c>
      <c r="M1238" s="85">
        <v>43671</v>
      </c>
      <c r="N1238" s="85" t="s">
        <v>265</v>
      </c>
      <c r="O1238" s="86" t="s">
        <v>340</v>
      </c>
      <c r="P1238" s="84" t="s">
        <v>26</v>
      </c>
      <c r="Q1238" s="86" t="s">
        <v>209</v>
      </c>
      <c r="R1238" s="86" t="s">
        <v>3351</v>
      </c>
      <c r="S1238" s="87" t="s">
        <v>3352</v>
      </c>
      <c r="T1238" s="87" t="s">
        <v>2876</v>
      </c>
      <c r="U1238" s="88">
        <v>95000</v>
      </c>
      <c r="V1238" s="88">
        <v>102600</v>
      </c>
      <c r="W1238" s="88">
        <v>80000</v>
      </c>
      <c r="X1238" s="88">
        <v>86400</v>
      </c>
      <c r="Y1238" s="88">
        <v>15000</v>
      </c>
      <c r="Z1238" s="88">
        <v>16200</v>
      </c>
      <c r="AA1238" s="85">
        <v>43705</v>
      </c>
      <c r="AB1238" s="85">
        <v>43706</v>
      </c>
      <c r="AC1238" s="85">
        <v>43706</v>
      </c>
      <c r="AD1238" s="84">
        <v>0</v>
      </c>
      <c r="AG1238" s="84">
        <v>0</v>
      </c>
      <c r="AJ1238" s="84">
        <v>0</v>
      </c>
      <c r="AN1238" s="84" t="s">
        <v>338</v>
      </c>
      <c r="AR1238" s="85">
        <v>43679</v>
      </c>
      <c r="AS1238" s="84">
        <v>6001699514</v>
      </c>
      <c r="AT1238" s="85">
        <v>43679</v>
      </c>
      <c r="AU1238" s="84" t="s">
        <v>3349</v>
      </c>
      <c r="AV1238" s="85">
        <v>43708</v>
      </c>
      <c r="AW1238" s="123">
        <v>43708</v>
      </c>
      <c r="AX1238" s="123">
        <v>43728</v>
      </c>
      <c r="AY1238" s="132">
        <v>91200</v>
      </c>
      <c r="AZ1238" s="132">
        <f>ROUNDDOWN(AY1238+(AY1238*MASTER!$A$2/100),0)</f>
        <v>98496</v>
      </c>
      <c r="BA1238" s="84" t="s">
        <v>778</v>
      </c>
      <c r="BC1238" s="88">
        <v>0</v>
      </c>
      <c r="BG1238" s="88">
        <v>0</v>
      </c>
      <c r="BI1238" s="84" t="s">
        <v>434</v>
      </c>
      <c r="BJ1238" s="88">
        <v>9750</v>
      </c>
      <c r="BK1238" s="88">
        <v>10530</v>
      </c>
      <c r="BL1238" s="84" t="s">
        <v>3431</v>
      </c>
      <c r="BS1238" s="88">
        <v>0</v>
      </c>
      <c r="BV1238" s="89">
        <v>86400</v>
      </c>
      <c r="BW1238" s="89">
        <v>10530</v>
      </c>
      <c r="BX1238" s="89">
        <v>43671</v>
      </c>
      <c r="BY1238" s="89">
        <v>75870</v>
      </c>
      <c r="BZ1238" s="112">
        <v>87.8125</v>
      </c>
      <c r="CK1238" s="88">
        <v>0</v>
      </c>
    </row>
    <row r="1239" spans="1:89" x14ac:dyDescent="0.15">
      <c r="A1239" s="84">
        <v>2</v>
      </c>
      <c r="B1239" s="85">
        <v>43696</v>
      </c>
      <c r="C1239" s="85">
        <v>43708</v>
      </c>
      <c r="D1239" s="85">
        <v>43748</v>
      </c>
      <c r="E1239" s="85">
        <v>43707</v>
      </c>
      <c r="F1239" s="85">
        <v>43712</v>
      </c>
      <c r="G1239" s="85">
        <v>43706</v>
      </c>
      <c r="H1239" s="85">
        <v>43708</v>
      </c>
      <c r="I1239" s="84" t="s">
        <v>401</v>
      </c>
      <c r="J1239" s="84">
        <v>1</v>
      </c>
      <c r="L1239" s="84">
        <v>0</v>
      </c>
      <c r="M1239" s="85">
        <v>43671</v>
      </c>
      <c r="N1239" s="85" t="s">
        <v>265</v>
      </c>
      <c r="O1239" s="86" t="s">
        <v>340</v>
      </c>
      <c r="P1239" s="84" t="s">
        <v>26</v>
      </c>
      <c r="Q1239" s="86" t="s">
        <v>209</v>
      </c>
      <c r="R1239" s="86" t="s">
        <v>3439</v>
      </c>
      <c r="S1239" s="87" t="s">
        <v>1230</v>
      </c>
      <c r="T1239" s="87" t="s">
        <v>2864</v>
      </c>
      <c r="U1239" s="88">
        <v>180000</v>
      </c>
      <c r="V1239" s="88">
        <v>194400</v>
      </c>
      <c r="W1239" s="88">
        <v>115000</v>
      </c>
      <c r="X1239" s="88">
        <v>124200</v>
      </c>
      <c r="Y1239" s="88">
        <v>65000</v>
      </c>
      <c r="Z1239" s="88">
        <v>70200</v>
      </c>
      <c r="AA1239" s="85">
        <v>43704</v>
      </c>
      <c r="AB1239" s="85">
        <v>43705</v>
      </c>
      <c r="AC1239" s="85">
        <v>43705</v>
      </c>
      <c r="AD1239" s="84">
        <v>0</v>
      </c>
      <c r="AG1239" s="84">
        <v>0</v>
      </c>
      <c r="AJ1239" s="84">
        <v>0</v>
      </c>
      <c r="AN1239" s="84" t="s">
        <v>338</v>
      </c>
      <c r="AR1239" s="85">
        <v>43679</v>
      </c>
      <c r="AS1239" s="84">
        <v>6001699514</v>
      </c>
      <c r="AT1239" s="85">
        <v>43679</v>
      </c>
      <c r="AU1239" s="84" t="s">
        <v>3349</v>
      </c>
      <c r="AV1239" s="85">
        <v>43708</v>
      </c>
      <c r="AW1239" s="123">
        <v>43708</v>
      </c>
      <c r="AX1239" s="123">
        <v>43728</v>
      </c>
      <c r="AY1239" s="132">
        <v>172800</v>
      </c>
      <c r="AZ1239" s="132">
        <f>ROUNDDOWN(AY1239+(AY1239*MASTER!$A$2/100),0)</f>
        <v>186624</v>
      </c>
      <c r="BA1239" s="84" t="s">
        <v>286</v>
      </c>
      <c r="BB1239" s="88">
        <v>50000</v>
      </c>
      <c r="BC1239" s="88">
        <v>54000</v>
      </c>
      <c r="BD1239" s="84" t="s">
        <v>3431</v>
      </c>
      <c r="BG1239" s="88">
        <v>0</v>
      </c>
      <c r="BI1239" s="84" t="s">
        <v>434</v>
      </c>
      <c r="BJ1239" s="88">
        <v>42250</v>
      </c>
      <c r="BK1239" s="88">
        <v>45630</v>
      </c>
      <c r="BL1239" s="84" t="s">
        <v>3431</v>
      </c>
      <c r="BS1239" s="88">
        <v>0</v>
      </c>
      <c r="BV1239" s="89">
        <v>124200</v>
      </c>
      <c r="BW1239" s="89">
        <v>99630</v>
      </c>
      <c r="BX1239" s="89">
        <v>43671</v>
      </c>
      <c r="BY1239" s="89">
        <v>24570</v>
      </c>
      <c r="BZ1239" s="112">
        <v>19.782608695652172</v>
      </c>
      <c r="CK1239" s="88">
        <v>0</v>
      </c>
    </row>
    <row r="1240" spans="1:89" x14ac:dyDescent="0.15">
      <c r="A1240" s="84">
        <v>1</v>
      </c>
      <c r="B1240" s="85">
        <v>43678</v>
      </c>
      <c r="C1240" s="85">
        <v>43679</v>
      </c>
      <c r="F1240" s="85" t="s">
        <v>338</v>
      </c>
      <c r="G1240" s="85">
        <v>43676</v>
      </c>
      <c r="H1240" s="85" t="s">
        <v>338</v>
      </c>
      <c r="J1240" s="84">
        <v>2</v>
      </c>
      <c r="L1240" s="84">
        <v>0</v>
      </c>
      <c r="M1240" s="85">
        <v>43671</v>
      </c>
      <c r="N1240" s="85" t="s">
        <v>265</v>
      </c>
      <c r="O1240" s="86" t="s">
        <v>340</v>
      </c>
      <c r="P1240" s="84" t="s">
        <v>6</v>
      </c>
      <c r="Q1240" s="86" t="s">
        <v>209</v>
      </c>
      <c r="R1240" s="86" t="s">
        <v>3353</v>
      </c>
      <c r="S1240" s="87" t="s">
        <v>1053</v>
      </c>
      <c r="T1240" s="87" t="s">
        <v>342</v>
      </c>
      <c r="U1240" s="88">
        <v>35000</v>
      </c>
      <c r="V1240" s="88">
        <v>37800</v>
      </c>
      <c r="W1240" s="88">
        <v>35000</v>
      </c>
      <c r="X1240" s="88">
        <v>37800</v>
      </c>
      <c r="Z1240" s="88">
        <v>0</v>
      </c>
      <c r="AA1240" s="85">
        <v>43675</v>
      </c>
      <c r="AD1240" s="84">
        <v>0</v>
      </c>
      <c r="AG1240" s="84">
        <v>0</v>
      </c>
      <c r="AJ1240" s="84">
        <v>0</v>
      </c>
      <c r="AN1240" s="84" t="s">
        <v>338</v>
      </c>
      <c r="AR1240" s="85">
        <v>43676</v>
      </c>
      <c r="AS1240" s="84">
        <v>6001698276</v>
      </c>
      <c r="AT1240" s="85">
        <v>43677</v>
      </c>
      <c r="AU1240" s="84" t="s">
        <v>3144</v>
      </c>
      <c r="AV1240" s="85">
        <v>43679</v>
      </c>
      <c r="AW1240" s="123">
        <v>43708</v>
      </c>
      <c r="AX1240" s="123">
        <v>43728</v>
      </c>
      <c r="AY1240" s="132">
        <v>33600</v>
      </c>
      <c r="AZ1240" s="132">
        <f>ROUNDDOWN(AY1240+(AY1240*MASTER!$A$2/100),0)</f>
        <v>36288</v>
      </c>
      <c r="BC1240" s="88">
        <v>0</v>
      </c>
      <c r="BG1240" s="88">
        <v>0</v>
      </c>
      <c r="BK1240" s="88">
        <v>0</v>
      </c>
      <c r="BS1240" s="88">
        <v>0</v>
      </c>
      <c r="BV1240" s="89">
        <v>37800</v>
      </c>
      <c r="BW1240" s="89">
        <v>0</v>
      </c>
      <c r="BX1240" s="89">
        <v>43671</v>
      </c>
      <c r="BY1240" s="89">
        <v>37800</v>
      </c>
      <c r="BZ1240" s="112">
        <v>100</v>
      </c>
      <c r="CK1240" s="88">
        <v>0</v>
      </c>
    </row>
    <row r="1241" spans="1:89" x14ac:dyDescent="0.15">
      <c r="A1241" s="84">
        <v>2</v>
      </c>
      <c r="B1241" s="85">
        <v>43685</v>
      </c>
      <c r="C1241" s="85">
        <v>43686</v>
      </c>
      <c r="D1241" s="85">
        <v>43676</v>
      </c>
      <c r="E1241" s="85">
        <v>43676</v>
      </c>
      <c r="F1241" s="85" t="s">
        <v>338</v>
      </c>
      <c r="G1241" s="85">
        <v>43676</v>
      </c>
      <c r="H1241" s="85" t="s">
        <v>338</v>
      </c>
      <c r="I1241" s="84" t="s">
        <v>380</v>
      </c>
      <c r="J1241" s="84">
        <v>2</v>
      </c>
      <c r="L1241" s="84">
        <v>0</v>
      </c>
      <c r="M1241" s="85">
        <v>43675</v>
      </c>
      <c r="N1241" s="85" t="s">
        <v>265</v>
      </c>
      <c r="O1241" s="86" t="s">
        <v>340</v>
      </c>
      <c r="P1241" s="84" t="s">
        <v>6</v>
      </c>
      <c r="Q1241" s="86" t="s">
        <v>209</v>
      </c>
      <c r="R1241" s="86" t="s">
        <v>3354</v>
      </c>
      <c r="S1241" s="87" t="s">
        <v>2112</v>
      </c>
      <c r="T1241" s="87" t="s">
        <v>342</v>
      </c>
      <c r="U1241" s="88">
        <v>35000</v>
      </c>
      <c r="V1241" s="88">
        <v>37800</v>
      </c>
      <c r="W1241" s="88">
        <v>35000</v>
      </c>
      <c r="X1241" s="88">
        <v>37800</v>
      </c>
      <c r="Z1241" s="88">
        <v>0</v>
      </c>
      <c r="AA1241" s="85">
        <v>43675</v>
      </c>
      <c r="AB1241" s="85">
        <v>43675</v>
      </c>
      <c r="AD1241" s="84">
        <v>0</v>
      </c>
      <c r="AG1241" s="84">
        <v>0</v>
      </c>
      <c r="AJ1241" s="84">
        <v>0</v>
      </c>
      <c r="AR1241" s="85">
        <v>43684</v>
      </c>
      <c r="AS1241" s="84">
        <v>6001701372</v>
      </c>
      <c r="AT1241" s="85">
        <v>43684</v>
      </c>
      <c r="AU1241" s="84" t="s">
        <v>3423</v>
      </c>
      <c r="AV1241" s="85">
        <v>43686</v>
      </c>
      <c r="AW1241" s="123">
        <v>43708</v>
      </c>
      <c r="AX1241" s="123">
        <v>43728</v>
      </c>
      <c r="AY1241" s="132">
        <v>33600</v>
      </c>
      <c r="AZ1241" s="132">
        <f>ROUNDDOWN(AY1241+(AY1241*MASTER!$A$2/100),0)</f>
        <v>36288</v>
      </c>
      <c r="BA1241" s="84" t="s">
        <v>286</v>
      </c>
      <c r="BB1241" s="88">
        <v>22000</v>
      </c>
      <c r="BC1241" s="88">
        <v>23760</v>
      </c>
      <c r="BD1241" s="84" t="s">
        <v>2849</v>
      </c>
      <c r="BG1241" s="88">
        <v>0</v>
      </c>
      <c r="BK1241" s="88">
        <v>0</v>
      </c>
      <c r="BS1241" s="88">
        <v>0</v>
      </c>
      <c r="BV1241" s="89">
        <v>37800</v>
      </c>
      <c r="BW1241" s="89">
        <v>23760</v>
      </c>
      <c r="BX1241" s="89">
        <v>43675</v>
      </c>
      <c r="BY1241" s="89">
        <v>14040</v>
      </c>
      <c r="BZ1241" s="112">
        <v>37.142857142857146</v>
      </c>
    </row>
    <row r="1242" spans="1:89" x14ac:dyDescent="0.15">
      <c r="A1242" s="84">
        <v>2</v>
      </c>
      <c r="C1242" s="85" t="s">
        <v>338</v>
      </c>
      <c r="F1242" s="85" t="s">
        <v>338</v>
      </c>
      <c r="H1242" s="85" t="s">
        <v>338</v>
      </c>
      <c r="J1242" s="84">
        <v>4</v>
      </c>
      <c r="L1242" s="84">
        <v>0</v>
      </c>
      <c r="M1242" s="85">
        <v>43675</v>
      </c>
      <c r="N1242" s="85" t="s">
        <v>265</v>
      </c>
      <c r="O1242" s="86" t="s">
        <v>340</v>
      </c>
      <c r="P1242" s="84" t="s">
        <v>272</v>
      </c>
      <c r="Q1242" s="86" t="s">
        <v>209</v>
      </c>
      <c r="R1242" s="86" t="s">
        <v>3666</v>
      </c>
      <c r="S1242" s="87" t="s">
        <v>351</v>
      </c>
      <c r="T1242" s="87" t="s">
        <v>3667</v>
      </c>
      <c r="U1242" s="88">
        <v>0</v>
      </c>
      <c r="V1242" s="88">
        <v>0</v>
      </c>
      <c r="W1242" s="88">
        <v>0</v>
      </c>
      <c r="X1242" s="88">
        <v>0</v>
      </c>
      <c r="Y1242" s="88">
        <v>0</v>
      </c>
      <c r="Z1242" s="88">
        <v>0</v>
      </c>
      <c r="AD1242" s="84">
        <v>0</v>
      </c>
      <c r="AG1242" s="84">
        <v>0</v>
      </c>
      <c r="AJ1242" s="84">
        <v>0</v>
      </c>
      <c r="AN1242" s="84" t="s">
        <v>338</v>
      </c>
      <c r="AY1242" s="132">
        <v>0</v>
      </c>
      <c r="AZ1242" s="132">
        <f>ROUNDDOWN(AY1242+(AY1242*MASTER!$A$2/100),0)</f>
        <v>0</v>
      </c>
      <c r="BA1242" s="158" t="s">
        <v>275</v>
      </c>
      <c r="BB1242" s="159">
        <v>11700</v>
      </c>
      <c r="BC1242" s="159">
        <v>12636</v>
      </c>
      <c r="BG1242" s="88">
        <v>0</v>
      </c>
      <c r="BK1242" s="88">
        <v>0</v>
      </c>
      <c r="BS1242" s="88">
        <v>0</v>
      </c>
      <c r="BV1242" s="89">
        <v>0</v>
      </c>
      <c r="BW1242" s="89">
        <v>12636</v>
      </c>
      <c r="BX1242" s="89">
        <v>43675</v>
      </c>
      <c r="BY1242" s="89">
        <v>-12636</v>
      </c>
      <c r="BZ1242" s="112" t="s">
        <v>338</v>
      </c>
    </row>
    <row r="1243" spans="1:89" x14ac:dyDescent="0.15">
      <c r="A1243" s="84">
        <v>2</v>
      </c>
      <c r="B1243" s="85">
        <v>43696</v>
      </c>
      <c r="C1243" s="85">
        <v>43701</v>
      </c>
      <c r="D1243" s="85" t="s">
        <v>374</v>
      </c>
      <c r="E1243" s="85">
        <v>43741</v>
      </c>
      <c r="F1243" s="85">
        <v>43707</v>
      </c>
      <c r="G1243" s="85">
        <v>43703</v>
      </c>
      <c r="H1243" s="85">
        <v>43703</v>
      </c>
      <c r="I1243" s="84" t="s">
        <v>1191</v>
      </c>
      <c r="J1243" s="84">
        <v>1</v>
      </c>
      <c r="L1243" s="84">
        <v>0</v>
      </c>
      <c r="M1243" s="85">
        <v>43675</v>
      </c>
      <c r="N1243" s="85" t="s">
        <v>265</v>
      </c>
      <c r="O1243" s="86" t="s">
        <v>340</v>
      </c>
      <c r="P1243" s="84" t="s">
        <v>26</v>
      </c>
      <c r="Q1243" s="86" t="s">
        <v>209</v>
      </c>
      <c r="R1243" s="86" t="s">
        <v>3449</v>
      </c>
      <c r="S1243" s="87" t="s">
        <v>1307</v>
      </c>
      <c r="T1243" s="87" t="s">
        <v>794</v>
      </c>
      <c r="U1243" s="88">
        <v>23900</v>
      </c>
      <c r="V1243" s="88">
        <v>25812</v>
      </c>
      <c r="W1243" s="88">
        <v>14700</v>
      </c>
      <c r="X1243" s="88">
        <v>15876</v>
      </c>
      <c r="Y1243" s="88">
        <v>9200</v>
      </c>
      <c r="Z1243" s="88">
        <v>9936</v>
      </c>
      <c r="AA1243" s="85">
        <v>43699</v>
      </c>
      <c r="AB1243" s="85">
        <v>43700</v>
      </c>
      <c r="AC1243" s="85">
        <v>43700</v>
      </c>
      <c r="AD1243" s="84">
        <v>0</v>
      </c>
      <c r="AG1243" s="84">
        <v>0</v>
      </c>
      <c r="AJ1243" s="84">
        <v>0</v>
      </c>
      <c r="AM1243" s="84" t="s">
        <v>290</v>
      </c>
      <c r="AN1243" s="84" t="s">
        <v>3450</v>
      </c>
      <c r="AR1243" s="85">
        <v>43686</v>
      </c>
      <c r="AS1243" s="84">
        <v>6001702347</v>
      </c>
      <c r="AT1243" s="85">
        <v>43686</v>
      </c>
      <c r="AU1243" s="84" t="s">
        <v>3438</v>
      </c>
      <c r="AV1243" s="85">
        <v>43701</v>
      </c>
      <c r="AW1243" s="123">
        <v>43708</v>
      </c>
      <c r="AX1243" s="123">
        <v>43728</v>
      </c>
      <c r="AY1243" s="132">
        <v>22944</v>
      </c>
      <c r="AZ1243" s="132">
        <v>24780</v>
      </c>
      <c r="BA1243" s="84" t="s">
        <v>778</v>
      </c>
      <c r="BC1243" s="88">
        <v>0</v>
      </c>
      <c r="BG1243" s="88">
        <v>0</v>
      </c>
      <c r="BI1243" s="84" t="s">
        <v>434</v>
      </c>
      <c r="BJ1243" s="88">
        <v>5980</v>
      </c>
      <c r="BK1243" s="88">
        <v>6458.4</v>
      </c>
      <c r="BL1243" s="84" t="s">
        <v>3431</v>
      </c>
      <c r="BS1243" s="88">
        <v>0</v>
      </c>
      <c r="BV1243" s="89">
        <v>15876</v>
      </c>
      <c r="BW1243" s="89">
        <v>6458.4</v>
      </c>
      <c r="BX1243" s="89">
        <v>43675</v>
      </c>
      <c r="BY1243" s="89">
        <v>9417.6</v>
      </c>
      <c r="BZ1243" s="112">
        <v>59.319727891156461</v>
      </c>
      <c r="CK1243" s="88">
        <v>0</v>
      </c>
    </row>
    <row r="1244" spans="1:89" x14ac:dyDescent="0.15">
      <c r="A1244" s="84">
        <v>2</v>
      </c>
      <c r="B1244" s="85">
        <v>43718</v>
      </c>
      <c r="C1244" s="85">
        <v>43735</v>
      </c>
      <c r="D1244" s="85">
        <v>43748</v>
      </c>
      <c r="E1244" s="85">
        <v>43734</v>
      </c>
      <c r="F1244" s="85">
        <v>43740</v>
      </c>
      <c r="G1244" s="85">
        <v>43733</v>
      </c>
      <c r="H1244" s="85">
        <v>43736</v>
      </c>
      <c r="I1244" s="84" t="s">
        <v>401</v>
      </c>
      <c r="J1244" s="84">
        <v>1</v>
      </c>
      <c r="L1244" s="84">
        <v>0</v>
      </c>
      <c r="M1244" s="85">
        <v>43676</v>
      </c>
      <c r="N1244" s="85" t="s">
        <v>265</v>
      </c>
      <c r="O1244" s="86" t="s">
        <v>340</v>
      </c>
      <c r="P1244" s="84" t="s">
        <v>26</v>
      </c>
      <c r="Q1244" s="86" t="s">
        <v>209</v>
      </c>
      <c r="R1244" s="86" t="s">
        <v>3401</v>
      </c>
      <c r="S1244" s="87" t="s">
        <v>589</v>
      </c>
      <c r="T1244" s="87" t="s">
        <v>889</v>
      </c>
      <c r="U1244" s="88">
        <v>90500</v>
      </c>
      <c r="V1244" s="88">
        <v>97740</v>
      </c>
      <c r="W1244" s="88">
        <v>74500</v>
      </c>
      <c r="X1244" s="88">
        <v>80460</v>
      </c>
      <c r="Y1244" s="88">
        <v>16000</v>
      </c>
      <c r="Z1244" s="88">
        <v>17280</v>
      </c>
      <c r="AA1244" s="85">
        <v>43732</v>
      </c>
      <c r="AB1244" s="85">
        <v>43733</v>
      </c>
      <c r="AC1244" s="85">
        <v>43733</v>
      </c>
      <c r="AD1244" s="84">
        <v>0</v>
      </c>
      <c r="AG1244" s="84">
        <v>0</v>
      </c>
      <c r="AJ1244" s="84">
        <v>0</v>
      </c>
      <c r="AN1244" s="84" t="s">
        <v>338</v>
      </c>
      <c r="AR1244" s="85">
        <v>43683</v>
      </c>
      <c r="AS1244" s="84">
        <v>6001700894</v>
      </c>
      <c r="AT1244" s="85">
        <v>43683</v>
      </c>
      <c r="AU1244" s="84" t="s">
        <v>3413</v>
      </c>
      <c r="AV1244" s="85">
        <v>43735</v>
      </c>
      <c r="AW1244" s="123">
        <v>43738</v>
      </c>
      <c r="AX1244" s="123">
        <v>43758</v>
      </c>
      <c r="AY1244" s="132">
        <v>86880</v>
      </c>
      <c r="AZ1244" s="132">
        <f>ROUNDDOWN(AY1244+(AY1244*MASTER!$A$2/100),0)</f>
        <v>93830</v>
      </c>
      <c r="BA1244" s="84" t="s">
        <v>286</v>
      </c>
      <c r="BB1244" s="88">
        <v>30000</v>
      </c>
      <c r="BC1244" s="88">
        <v>32400</v>
      </c>
      <c r="BD1244" s="84" t="s">
        <v>3431</v>
      </c>
      <c r="BG1244" s="88">
        <v>0</v>
      </c>
      <c r="BI1244" s="84" t="s">
        <v>434</v>
      </c>
      <c r="BJ1244" s="88">
        <v>10400</v>
      </c>
      <c r="BK1244" s="88">
        <v>11232</v>
      </c>
      <c r="BL1244" s="84" t="s">
        <v>3431</v>
      </c>
      <c r="BS1244" s="88">
        <v>0</v>
      </c>
      <c r="BV1244" s="89">
        <v>80460</v>
      </c>
      <c r="BW1244" s="89">
        <v>43632</v>
      </c>
      <c r="BX1244" s="89">
        <v>43676</v>
      </c>
      <c r="BY1244" s="89">
        <v>36828</v>
      </c>
      <c r="BZ1244" s="112">
        <v>45.771812080536911</v>
      </c>
      <c r="CK1244" s="88">
        <v>0</v>
      </c>
    </row>
    <row r="1245" spans="1:89" s="151" customFormat="1" x14ac:dyDescent="0.15">
      <c r="A1245" s="141">
        <v>3</v>
      </c>
      <c r="B1245" s="142"/>
      <c r="C1245" s="142" t="s">
        <v>338</v>
      </c>
      <c r="D1245" s="142"/>
      <c r="E1245" s="142"/>
      <c r="F1245" s="142" t="s">
        <v>338</v>
      </c>
      <c r="G1245" s="142"/>
      <c r="H1245" s="142" t="s">
        <v>338</v>
      </c>
      <c r="I1245" s="141"/>
      <c r="J1245" s="141">
        <v>2</v>
      </c>
      <c r="K1245" s="142"/>
      <c r="L1245" s="141">
        <v>0</v>
      </c>
      <c r="M1245" s="142">
        <v>43676</v>
      </c>
      <c r="N1245" s="142" t="s">
        <v>265</v>
      </c>
      <c r="O1245" s="143" t="s">
        <v>340</v>
      </c>
      <c r="P1245" s="141" t="s">
        <v>6</v>
      </c>
      <c r="Q1245" s="143" t="s">
        <v>209</v>
      </c>
      <c r="R1245" s="143" t="s">
        <v>3726</v>
      </c>
      <c r="S1245" s="144" t="s">
        <v>1779</v>
      </c>
      <c r="T1245" s="144" t="s">
        <v>3727</v>
      </c>
      <c r="U1245" s="145">
        <v>35000</v>
      </c>
      <c r="V1245" s="145">
        <v>37800</v>
      </c>
      <c r="W1245" s="145">
        <v>35000</v>
      </c>
      <c r="X1245" s="145">
        <v>37800</v>
      </c>
      <c r="Y1245" s="145"/>
      <c r="Z1245" s="145">
        <v>0</v>
      </c>
      <c r="AA1245" s="142"/>
      <c r="AB1245" s="142"/>
      <c r="AC1245" s="142"/>
      <c r="AD1245" s="141">
        <v>0</v>
      </c>
      <c r="AE1245" s="141"/>
      <c r="AF1245" s="141"/>
      <c r="AG1245" s="141">
        <v>0</v>
      </c>
      <c r="AH1245" s="141"/>
      <c r="AI1245" s="141"/>
      <c r="AJ1245" s="141">
        <v>0</v>
      </c>
      <c r="AK1245" s="141"/>
      <c r="AL1245" s="141"/>
      <c r="AM1245" s="141"/>
      <c r="AN1245" s="141" t="s">
        <v>338</v>
      </c>
      <c r="AO1245" s="142"/>
      <c r="AP1245" s="141"/>
      <c r="AQ1245" s="141"/>
      <c r="AR1245" s="142"/>
      <c r="AS1245" s="141"/>
      <c r="AT1245" s="142"/>
      <c r="AU1245" s="141"/>
      <c r="AV1245" s="142"/>
      <c r="AW1245" s="146"/>
      <c r="AX1245" s="146"/>
      <c r="AY1245" s="147">
        <v>33600</v>
      </c>
      <c r="AZ1245" s="147">
        <f>ROUNDDOWN(AY1245+(AY1245*MASTER!$A$2/100),0)</f>
        <v>36288</v>
      </c>
      <c r="BA1245" s="141"/>
      <c r="BB1245" s="145"/>
      <c r="BC1245" s="145">
        <v>0</v>
      </c>
      <c r="BD1245" s="141"/>
      <c r="BE1245" s="141"/>
      <c r="BF1245" s="145"/>
      <c r="BG1245" s="145">
        <v>0</v>
      </c>
      <c r="BH1245" s="141"/>
      <c r="BI1245" s="141"/>
      <c r="BJ1245" s="145"/>
      <c r="BK1245" s="145">
        <v>0</v>
      </c>
      <c r="BL1245" s="141"/>
      <c r="BM1245" s="145"/>
      <c r="BN1245" s="145"/>
      <c r="BO1245" s="145"/>
      <c r="BP1245" s="145"/>
      <c r="BQ1245" s="145"/>
      <c r="BR1245" s="145"/>
      <c r="BS1245" s="145">
        <v>0</v>
      </c>
      <c r="BT1245" s="148"/>
      <c r="BU1245" s="148"/>
      <c r="BV1245" s="149">
        <v>37800</v>
      </c>
      <c r="BW1245" s="149">
        <v>0</v>
      </c>
      <c r="BX1245" s="149">
        <v>43676</v>
      </c>
      <c r="BY1245" s="149">
        <v>37800</v>
      </c>
      <c r="BZ1245" s="150">
        <v>100</v>
      </c>
      <c r="CA1245" s="141"/>
      <c r="CB1245" s="141"/>
      <c r="CC1245" s="141"/>
      <c r="CD1245" s="144" t="s">
        <v>3728</v>
      </c>
      <c r="CE1245" s="142"/>
      <c r="CF1245" s="142"/>
      <c r="CG1245" s="142"/>
      <c r="CH1245" s="142"/>
      <c r="CI1245" s="142"/>
      <c r="CJ1245" s="142"/>
      <c r="CK1245" s="145">
        <v>0</v>
      </c>
    </row>
    <row r="1246" spans="1:89" x14ac:dyDescent="0.15">
      <c r="A1246" s="84">
        <v>2</v>
      </c>
      <c r="B1246" s="85">
        <v>43685</v>
      </c>
      <c r="C1246" s="85">
        <v>43686</v>
      </c>
      <c r="D1246" s="85">
        <v>43678</v>
      </c>
      <c r="E1246" s="85">
        <v>43678</v>
      </c>
      <c r="F1246" s="85" t="s">
        <v>338</v>
      </c>
      <c r="G1246" s="85">
        <v>43678</v>
      </c>
      <c r="H1246" s="85" t="s">
        <v>338</v>
      </c>
      <c r="I1246" s="84" t="s">
        <v>380</v>
      </c>
      <c r="J1246" s="84">
        <v>2</v>
      </c>
      <c r="L1246" s="84">
        <v>0</v>
      </c>
      <c r="M1246" s="85">
        <v>43676</v>
      </c>
      <c r="N1246" s="85" t="s">
        <v>265</v>
      </c>
      <c r="O1246" s="86" t="s">
        <v>340</v>
      </c>
      <c r="P1246" s="84" t="s">
        <v>6</v>
      </c>
      <c r="Q1246" s="86" t="s">
        <v>209</v>
      </c>
      <c r="R1246" s="86" t="s">
        <v>3355</v>
      </c>
      <c r="S1246" s="87" t="s">
        <v>1024</v>
      </c>
      <c r="T1246" s="87" t="s">
        <v>342</v>
      </c>
      <c r="U1246" s="88">
        <v>35000</v>
      </c>
      <c r="V1246" s="88">
        <v>37800</v>
      </c>
      <c r="W1246" s="88">
        <v>35000</v>
      </c>
      <c r="X1246" s="88">
        <v>37800</v>
      </c>
      <c r="Z1246" s="88">
        <v>0</v>
      </c>
      <c r="AA1246" s="85">
        <v>43676</v>
      </c>
      <c r="AB1246" s="85">
        <v>43676</v>
      </c>
      <c r="AD1246" s="84">
        <v>0</v>
      </c>
      <c r="AG1246" s="84">
        <v>0</v>
      </c>
      <c r="AJ1246" s="84">
        <v>0</v>
      </c>
      <c r="AN1246" s="84" t="s">
        <v>338</v>
      </c>
      <c r="AR1246" s="85">
        <v>43684</v>
      </c>
      <c r="AS1246" s="84">
        <v>6001701372</v>
      </c>
      <c r="AT1246" s="85">
        <v>43684</v>
      </c>
      <c r="AU1246" s="84" t="s">
        <v>3423</v>
      </c>
      <c r="AV1246" s="85">
        <v>43686</v>
      </c>
      <c r="AW1246" s="123">
        <v>43708</v>
      </c>
      <c r="AX1246" s="123">
        <v>43728</v>
      </c>
      <c r="AY1246" s="132">
        <v>33600</v>
      </c>
      <c r="AZ1246" s="132">
        <f>ROUNDDOWN(AY1246+(AY1246*MASTER!$A$2/100),0)</f>
        <v>36288</v>
      </c>
      <c r="BA1246" s="84" t="s">
        <v>287</v>
      </c>
      <c r="BB1246" s="88">
        <v>21000</v>
      </c>
      <c r="BC1246" s="88">
        <v>22680</v>
      </c>
      <c r="BD1246" s="84" t="s">
        <v>2849</v>
      </c>
      <c r="BG1246" s="88">
        <v>0</v>
      </c>
      <c r="BK1246" s="88">
        <v>0</v>
      </c>
      <c r="BS1246" s="88">
        <v>0</v>
      </c>
      <c r="BV1246" s="89">
        <v>37800</v>
      </c>
      <c r="BW1246" s="89">
        <v>22680</v>
      </c>
      <c r="BX1246" s="89">
        <v>43676</v>
      </c>
      <c r="BY1246" s="89">
        <v>15120</v>
      </c>
      <c r="BZ1246" s="112">
        <v>40</v>
      </c>
      <c r="CK1246" s="88">
        <v>0</v>
      </c>
    </row>
    <row r="1247" spans="1:89" s="151" customFormat="1" x14ac:dyDescent="0.15">
      <c r="A1247" s="141">
        <v>3</v>
      </c>
      <c r="B1247" s="142"/>
      <c r="C1247" s="142" t="s">
        <v>338</v>
      </c>
      <c r="D1247" s="142"/>
      <c r="E1247" s="142"/>
      <c r="F1247" s="142" t="s">
        <v>338</v>
      </c>
      <c r="G1247" s="142"/>
      <c r="H1247" s="142" t="s">
        <v>338</v>
      </c>
      <c r="I1247" s="141"/>
      <c r="J1247" s="141">
        <v>2</v>
      </c>
      <c r="K1247" s="142"/>
      <c r="L1247" s="141">
        <v>0</v>
      </c>
      <c r="M1247" s="142">
        <v>43676</v>
      </c>
      <c r="N1247" s="142" t="s">
        <v>265</v>
      </c>
      <c r="O1247" s="143" t="s">
        <v>340</v>
      </c>
      <c r="P1247" s="141" t="s">
        <v>6</v>
      </c>
      <c r="Q1247" s="143" t="s">
        <v>209</v>
      </c>
      <c r="R1247" s="143" t="s">
        <v>3424</v>
      </c>
      <c r="S1247" s="144" t="s">
        <v>1151</v>
      </c>
      <c r="T1247" s="144" t="s">
        <v>342</v>
      </c>
      <c r="U1247" s="145">
        <v>35000</v>
      </c>
      <c r="V1247" s="145">
        <v>37800</v>
      </c>
      <c r="W1247" s="145">
        <v>35000</v>
      </c>
      <c r="X1247" s="145">
        <v>37800</v>
      </c>
      <c r="Y1247" s="145"/>
      <c r="Z1247" s="145">
        <v>0</v>
      </c>
      <c r="AA1247" s="142"/>
      <c r="AB1247" s="142"/>
      <c r="AC1247" s="142"/>
      <c r="AD1247" s="141">
        <v>0</v>
      </c>
      <c r="AE1247" s="141"/>
      <c r="AF1247" s="141"/>
      <c r="AG1247" s="141">
        <v>0</v>
      </c>
      <c r="AH1247" s="141"/>
      <c r="AI1247" s="141"/>
      <c r="AJ1247" s="141">
        <v>0</v>
      </c>
      <c r="AK1247" s="141"/>
      <c r="AL1247" s="141"/>
      <c r="AM1247" s="141"/>
      <c r="AN1247" s="141"/>
      <c r="AO1247" s="142"/>
      <c r="AP1247" s="141"/>
      <c r="AQ1247" s="141"/>
      <c r="AR1247" s="142"/>
      <c r="AS1247" s="141"/>
      <c r="AT1247" s="142"/>
      <c r="AU1247" s="141"/>
      <c r="AV1247" s="142"/>
      <c r="AW1247" s="146"/>
      <c r="AX1247" s="146"/>
      <c r="AY1247" s="147">
        <v>0</v>
      </c>
      <c r="AZ1247" s="147">
        <f>ROUNDDOWN(AY1247+(AY1247*MASTER!$A$2/100),0)</f>
        <v>0</v>
      </c>
      <c r="BA1247" s="141"/>
      <c r="BB1247" s="145"/>
      <c r="BC1247" s="145">
        <v>0</v>
      </c>
      <c r="BD1247" s="141"/>
      <c r="BE1247" s="141"/>
      <c r="BF1247" s="145"/>
      <c r="BG1247" s="145">
        <v>0</v>
      </c>
      <c r="BH1247" s="141"/>
      <c r="BI1247" s="141"/>
      <c r="BJ1247" s="145"/>
      <c r="BK1247" s="145">
        <v>0</v>
      </c>
      <c r="BL1247" s="141"/>
      <c r="BM1247" s="145"/>
      <c r="BN1247" s="145"/>
      <c r="BO1247" s="145"/>
      <c r="BP1247" s="145"/>
      <c r="BQ1247" s="145"/>
      <c r="BR1247" s="145"/>
      <c r="BS1247" s="145">
        <v>0</v>
      </c>
      <c r="BT1247" s="148"/>
      <c r="BU1247" s="148"/>
      <c r="BV1247" s="149">
        <v>37800</v>
      </c>
      <c r="BW1247" s="149">
        <v>0</v>
      </c>
      <c r="BX1247" s="149">
        <v>43676</v>
      </c>
      <c r="BY1247" s="149">
        <v>37800</v>
      </c>
      <c r="BZ1247" s="150">
        <v>100</v>
      </c>
      <c r="CA1247" s="141"/>
      <c r="CB1247" s="141"/>
      <c r="CC1247" s="141"/>
      <c r="CD1247" s="144" t="s">
        <v>3425</v>
      </c>
      <c r="CE1247" s="142"/>
      <c r="CF1247" s="142"/>
      <c r="CG1247" s="142"/>
      <c r="CH1247" s="142"/>
      <c r="CI1247" s="142"/>
      <c r="CJ1247" s="142"/>
      <c r="CK1247" s="145"/>
    </row>
    <row r="1248" spans="1:89" x14ac:dyDescent="0.15">
      <c r="A1248" s="84">
        <v>2</v>
      </c>
      <c r="B1248" s="85">
        <v>43696</v>
      </c>
      <c r="C1248" s="85">
        <v>43698</v>
      </c>
      <c r="D1248" s="85">
        <v>43706</v>
      </c>
      <c r="E1248" s="85">
        <v>43741</v>
      </c>
      <c r="F1248" s="85">
        <v>43705</v>
      </c>
      <c r="G1248" s="85">
        <v>43699</v>
      </c>
      <c r="H1248" s="85">
        <v>43701</v>
      </c>
      <c r="I1248" s="84" t="s">
        <v>1191</v>
      </c>
      <c r="J1248" s="84">
        <v>1</v>
      </c>
      <c r="L1248" s="84">
        <v>0</v>
      </c>
      <c r="M1248" s="85">
        <v>43677</v>
      </c>
      <c r="N1248" s="85" t="s">
        <v>265</v>
      </c>
      <c r="O1248" s="86" t="s">
        <v>340</v>
      </c>
      <c r="P1248" s="84" t="s">
        <v>26</v>
      </c>
      <c r="Q1248" s="86" t="s">
        <v>209</v>
      </c>
      <c r="R1248" s="86" t="s">
        <v>3451</v>
      </c>
      <c r="S1248" s="87" t="s">
        <v>1071</v>
      </c>
      <c r="T1248" s="87" t="s">
        <v>3452</v>
      </c>
      <c r="U1248" s="88">
        <v>59000</v>
      </c>
      <c r="V1248" s="88">
        <v>63720</v>
      </c>
      <c r="W1248" s="88">
        <v>47000</v>
      </c>
      <c r="X1248" s="88">
        <v>50760</v>
      </c>
      <c r="Y1248" s="88">
        <v>12000</v>
      </c>
      <c r="Z1248" s="88">
        <v>12960</v>
      </c>
      <c r="AA1248" s="85">
        <v>43696</v>
      </c>
      <c r="AB1248" s="85">
        <v>43698</v>
      </c>
      <c r="AC1248" s="85">
        <v>43698</v>
      </c>
      <c r="AD1248" s="84">
        <v>0</v>
      </c>
      <c r="AG1248" s="84">
        <v>0</v>
      </c>
      <c r="AJ1248" s="84">
        <v>0</v>
      </c>
      <c r="AM1248" s="84" t="s">
        <v>290</v>
      </c>
      <c r="AN1248" s="84" t="s">
        <v>3453</v>
      </c>
      <c r="AR1248" s="85">
        <v>43686</v>
      </c>
      <c r="AS1248" s="84">
        <v>6001702347</v>
      </c>
      <c r="AT1248" s="85">
        <v>43686</v>
      </c>
      <c r="AU1248" s="84" t="s">
        <v>3438</v>
      </c>
      <c r="AV1248" s="85">
        <v>43698</v>
      </c>
      <c r="AW1248" s="123">
        <v>43708</v>
      </c>
      <c r="AX1248" s="123">
        <v>43728</v>
      </c>
      <c r="AY1248" s="132">
        <v>56640</v>
      </c>
      <c r="AZ1248" s="132">
        <f>ROUNDDOWN(AY1248+(AY1248*MASTER!$A$2/100),0)</f>
        <v>61171</v>
      </c>
      <c r="BA1248" s="84" t="s">
        <v>287</v>
      </c>
      <c r="BB1248" s="88">
        <v>24000</v>
      </c>
      <c r="BC1248" s="88">
        <v>25920</v>
      </c>
      <c r="BD1248" s="84" t="s">
        <v>2849</v>
      </c>
      <c r="BG1248" s="88">
        <v>0</v>
      </c>
      <c r="BI1248" s="84" t="s">
        <v>434</v>
      </c>
      <c r="BJ1248" s="88">
        <v>7800</v>
      </c>
      <c r="BK1248" s="88">
        <v>8424</v>
      </c>
      <c r="BL1248" s="84" t="s">
        <v>3431</v>
      </c>
      <c r="BS1248" s="88">
        <v>0</v>
      </c>
      <c r="BV1248" s="89">
        <v>50760</v>
      </c>
      <c r="BW1248" s="89">
        <v>34344</v>
      </c>
      <c r="BX1248" s="89">
        <v>43677</v>
      </c>
      <c r="BY1248" s="89">
        <v>16416</v>
      </c>
      <c r="BZ1248" s="112">
        <v>32.340425531914896</v>
      </c>
      <c r="CK1248" s="88">
        <v>0</v>
      </c>
    </row>
    <row r="1249" spans="1:89" x14ac:dyDescent="0.15">
      <c r="A1249" s="84">
        <v>2</v>
      </c>
      <c r="B1249" s="85">
        <v>43707</v>
      </c>
      <c r="C1249" s="85">
        <v>43715</v>
      </c>
      <c r="D1249" s="85">
        <v>43796</v>
      </c>
      <c r="E1249" s="85">
        <v>43741</v>
      </c>
      <c r="F1249" s="85">
        <v>43722</v>
      </c>
      <c r="G1249" s="85">
        <v>43717</v>
      </c>
      <c r="H1249" s="85">
        <v>43718</v>
      </c>
      <c r="I1249" s="84" t="s">
        <v>1191</v>
      </c>
      <c r="J1249" s="84">
        <v>1</v>
      </c>
      <c r="K1249" s="85">
        <v>43704</v>
      </c>
      <c r="L1249" s="84" t="s">
        <v>818</v>
      </c>
      <c r="M1249" s="85">
        <v>43677</v>
      </c>
      <c r="N1249" s="85" t="s">
        <v>265</v>
      </c>
      <c r="O1249" s="86" t="s">
        <v>340</v>
      </c>
      <c r="P1249" s="84" t="s">
        <v>26</v>
      </c>
      <c r="Q1249" s="86" t="s">
        <v>209</v>
      </c>
      <c r="R1249" s="86" t="s">
        <v>3531</v>
      </c>
      <c r="S1249" s="87" t="s">
        <v>928</v>
      </c>
      <c r="T1249" s="87" t="s">
        <v>1241</v>
      </c>
      <c r="U1249" s="88">
        <v>56000</v>
      </c>
      <c r="V1249" s="88">
        <v>60480</v>
      </c>
      <c r="W1249" s="88">
        <v>47000</v>
      </c>
      <c r="X1249" s="88">
        <v>50760</v>
      </c>
      <c r="Y1249" s="88">
        <v>9000</v>
      </c>
      <c r="Z1249" s="88">
        <v>9720</v>
      </c>
      <c r="AA1249" s="85">
        <v>43714</v>
      </c>
      <c r="AB1249" s="85">
        <v>43715</v>
      </c>
      <c r="AC1249" s="85">
        <v>43715</v>
      </c>
      <c r="AD1249" s="84">
        <v>0</v>
      </c>
      <c r="AG1249" s="84">
        <v>0</v>
      </c>
      <c r="AJ1249" s="84">
        <v>0</v>
      </c>
      <c r="AM1249" s="84" t="s">
        <v>290</v>
      </c>
      <c r="AN1249" s="84" t="s">
        <v>3532</v>
      </c>
      <c r="AR1249" s="85">
        <v>43706</v>
      </c>
      <c r="AS1249" s="84">
        <v>6001706922</v>
      </c>
      <c r="AT1249" s="85">
        <v>43706</v>
      </c>
      <c r="AU1249" s="84" t="s">
        <v>3584</v>
      </c>
      <c r="AV1249" s="85">
        <v>43715</v>
      </c>
      <c r="AW1249" s="123">
        <v>43738</v>
      </c>
      <c r="AX1249" s="123">
        <v>43758</v>
      </c>
      <c r="AY1249" s="132">
        <v>53760</v>
      </c>
      <c r="AZ1249" s="132">
        <v>58061</v>
      </c>
      <c r="BA1249" s="84" t="s">
        <v>287</v>
      </c>
      <c r="BB1249" s="88">
        <v>39000</v>
      </c>
      <c r="BC1249" s="88">
        <v>42120</v>
      </c>
      <c r="BD1249" s="84" t="s">
        <v>3431</v>
      </c>
      <c r="BG1249" s="88">
        <v>0</v>
      </c>
      <c r="BI1249" s="84" t="s">
        <v>434</v>
      </c>
      <c r="BJ1249" s="88">
        <v>5850</v>
      </c>
      <c r="BK1249" s="88">
        <v>6318</v>
      </c>
      <c r="BL1249" s="84" t="s">
        <v>3431</v>
      </c>
      <c r="BS1249" s="88">
        <v>0</v>
      </c>
      <c r="BV1249" s="89">
        <v>50760</v>
      </c>
      <c r="BW1249" s="89">
        <v>48438</v>
      </c>
      <c r="BX1249" s="89">
        <v>0</v>
      </c>
      <c r="BY1249" s="89">
        <v>43704</v>
      </c>
      <c r="BZ1249" s="112">
        <v>4.5744680851063828</v>
      </c>
      <c r="CD1249" s="87" t="s">
        <v>3583</v>
      </c>
      <c r="CK1249" s="88">
        <v>0</v>
      </c>
    </row>
    <row r="1250" spans="1:89" s="151" customFormat="1" x14ac:dyDescent="0.15">
      <c r="A1250" s="141">
        <v>3</v>
      </c>
      <c r="B1250" s="142"/>
      <c r="C1250" s="142" t="s">
        <v>338</v>
      </c>
      <c r="D1250" s="142"/>
      <c r="E1250" s="142"/>
      <c r="F1250" s="142" t="s">
        <v>338</v>
      </c>
      <c r="G1250" s="142">
        <v>43684</v>
      </c>
      <c r="H1250" s="142" t="s">
        <v>338</v>
      </c>
      <c r="I1250" s="141" t="s">
        <v>1191</v>
      </c>
      <c r="J1250" s="141">
        <v>3</v>
      </c>
      <c r="K1250" s="142"/>
      <c r="L1250" s="141">
        <v>0</v>
      </c>
      <c r="M1250" s="142">
        <v>43677</v>
      </c>
      <c r="N1250" s="142" t="s">
        <v>265</v>
      </c>
      <c r="O1250" s="143" t="s">
        <v>340</v>
      </c>
      <c r="P1250" s="141" t="s">
        <v>26</v>
      </c>
      <c r="Q1250" s="143" t="s">
        <v>209</v>
      </c>
      <c r="R1250" s="143" t="s">
        <v>3356</v>
      </c>
      <c r="S1250" s="144" t="s">
        <v>740</v>
      </c>
      <c r="T1250" s="144" t="s">
        <v>2985</v>
      </c>
      <c r="U1250" s="145">
        <v>9000</v>
      </c>
      <c r="V1250" s="145">
        <v>9720</v>
      </c>
      <c r="W1250" s="145">
        <v>0</v>
      </c>
      <c r="X1250" s="145">
        <v>0</v>
      </c>
      <c r="Y1250" s="145">
        <v>9000</v>
      </c>
      <c r="Z1250" s="145">
        <v>9720</v>
      </c>
      <c r="AA1250" s="142">
        <v>43686</v>
      </c>
      <c r="AB1250" s="142">
        <v>43687</v>
      </c>
      <c r="AC1250" s="142"/>
      <c r="AD1250" s="141">
        <v>0</v>
      </c>
      <c r="AE1250" s="141"/>
      <c r="AF1250" s="141"/>
      <c r="AG1250" s="141">
        <v>0</v>
      </c>
      <c r="AH1250" s="141"/>
      <c r="AI1250" s="141"/>
      <c r="AJ1250" s="141">
        <v>0</v>
      </c>
      <c r="AK1250" s="141"/>
      <c r="AL1250" s="141"/>
      <c r="AM1250" s="141" t="s">
        <v>290</v>
      </c>
      <c r="AN1250" s="141" t="s">
        <v>3357</v>
      </c>
      <c r="AO1250" s="142"/>
      <c r="AP1250" s="141"/>
      <c r="AQ1250" s="141"/>
      <c r="AR1250" s="142"/>
      <c r="AS1250" s="141"/>
      <c r="AT1250" s="142"/>
      <c r="AU1250" s="141"/>
      <c r="AV1250" s="142"/>
      <c r="AW1250" s="146"/>
      <c r="AX1250" s="146"/>
      <c r="AY1250" s="147">
        <v>8640</v>
      </c>
      <c r="AZ1250" s="147">
        <f>ROUNDDOWN(AY1250+(AY1250*MASTER!$A$2/100),0)</f>
        <v>9331</v>
      </c>
      <c r="BA1250" s="141" t="s">
        <v>778</v>
      </c>
      <c r="BB1250" s="145"/>
      <c r="BC1250" s="145">
        <v>0</v>
      </c>
      <c r="BD1250" s="141"/>
      <c r="BE1250" s="141"/>
      <c r="BF1250" s="145"/>
      <c r="BG1250" s="145">
        <v>0</v>
      </c>
      <c r="BH1250" s="141"/>
      <c r="BI1250" s="141" t="s">
        <v>434</v>
      </c>
      <c r="BJ1250" s="145">
        <v>5850</v>
      </c>
      <c r="BK1250" s="145">
        <v>6318</v>
      </c>
      <c r="BL1250" s="141" t="s">
        <v>2849</v>
      </c>
      <c r="BM1250" s="145"/>
      <c r="BN1250" s="145"/>
      <c r="BO1250" s="145"/>
      <c r="BP1250" s="145"/>
      <c r="BQ1250" s="145"/>
      <c r="BR1250" s="145"/>
      <c r="BS1250" s="145">
        <v>0</v>
      </c>
      <c r="BT1250" s="148"/>
      <c r="BU1250" s="148"/>
      <c r="BV1250" s="149">
        <v>0</v>
      </c>
      <c r="BW1250" s="149">
        <v>6318</v>
      </c>
      <c r="BX1250" s="149">
        <v>43677</v>
      </c>
      <c r="BY1250" s="149">
        <v>-6318</v>
      </c>
      <c r="BZ1250" s="150" t="s">
        <v>338</v>
      </c>
      <c r="CA1250" s="141"/>
      <c r="CB1250" s="141"/>
      <c r="CC1250" s="141"/>
      <c r="CD1250" s="144" t="s">
        <v>3871</v>
      </c>
      <c r="CE1250" s="142"/>
      <c r="CF1250" s="142"/>
      <c r="CG1250" s="142"/>
      <c r="CH1250" s="142"/>
      <c r="CI1250" s="142"/>
      <c r="CJ1250" s="142"/>
      <c r="CK1250" s="145"/>
    </row>
    <row r="1251" spans="1:89" ht="10.5" customHeight="1" x14ac:dyDescent="0.15">
      <c r="A1251" s="84">
        <v>2</v>
      </c>
      <c r="B1251" s="85">
        <v>43711</v>
      </c>
      <c r="C1251" s="85">
        <v>43738</v>
      </c>
      <c r="D1251" s="85">
        <v>43745</v>
      </c>
      <c r="E1251" s="85">
        <v>43718</v>
      </c>
      <c r="F1251" s="85">
        <v>43721</v>
      </c>
      <c r="G1251" s="85">
        <v>43714</v>
      </c>
      <c r="H1251" s="85">
        <v>43717</v>
      </c>
      <c r="I1251" s="84" t="s">
        <v>401</v>
      </c>
      <c r="J1251" s="84">
        <v>1</v>
      </c>
      <c r="L1251" s="84">
        <v>0</v>
      </c>
      <c r="M1251" s="85">
        <v>43677</v>
      </c>
      <c r="N1251" s="85" t="s">
        <v>265</v>
      </c>
      <c r="O1251" s="86" t="s">
        <v>340</v>
      </c>
      <c r="P1251" s="84" t="s">
        <v>26</v>
      </c>
      <c r="Q1251" s="86" t="s">
        <v>209</v>
      </c>
      <c r="R1251" s="86" t="s">
        <v>3608</v>
      </c>
      <c r="S1251" s="87" t="s">
        <v>415</v>
      </c>
      <c r="T1251" s="87" t="s">
        <v>2864</v>
      </c>
      <c r="U1251" s="88">
        <v>180000</v>
      </c>
      <c r="V1251" s="88">
        <v>194400</v>
      </c>
      <c r="W1251" s="88">
        <v>115000</v>
      </c>
      <c r="X1251" s="88">
        <v>124200</v>
      </c>
      <c r="Y1251" s="88">
        <v>65000</v>
      </c>
      <c r="Z1251" s="88">
        <v>70200</v>
      </c>
      <c r="AA1251" s="85">
        <v>43713</v>
      </c>
      <c r="AB1251" s="85">
        <v>43714</v>
      </c>
      <c r="AC1251" s="85">
        <v>43714</v>
      </c>
      <c r="AD1251" s="84">
        <v>0</v>
      </c>
      <c r="AG1251" s="84">
        <v>0</v>
      </c>
      <c r="AJ1251" s="84">
        <v>0</v>
      </c>
      <c r="AN1251" s="84" t="s">
        <v>338</v>
      </c>
      <c r="AR1251" s="85">
        <v>43705</v>
      </c>
      <c r="AS1251" s="84">
        <v>6001706491</v>
      </c>
      <c r="AT1251" s="85">
        <v>43705</v>
      </c>
      <c r="AU1251" s="84" t="s">
        <v>3542</v>
      </c>
      <c r="AV1251" s="85">
        <v>43738</v>
      </c>
      <c r="AW1251" s="123">
        <v>43738</v>
      </c>
      <c r="AX1251" s="123">
        <v>43758</v>
      </c>
      <c r="AY1251" s="132">
        <v>172800</v>
      </c>
      <c r="AZ1251" s="132">
        <f>ROUNDDOWN(AY1251+(AY1251*MASTER!$A$2/100),0)</f>
        <v>186624</v>
      </c>
      <c r="BA1251" s="84" t="s">
        <v>543</v>
      </c>
      <c r="BB1251" s="88">
        <v>51000</v>
      </c>
      <c r="BC1251" s="88">
        <v>55080</v>
      </c>
      <c r="BD1251" s="84" t="s">
        <v>3431</v>
      </c>
      <c r="BG1251" s="88">
        <v>0</v>
      </c>
      <c r="BI1251" s="84" t="s">
        <v>434</v>
      </c>
      <c r="BJ1251" s="88">
        <v>42250</v>
      </c>
      <c r="BK1251" s="88">
        <v>45630</v>
      </c>
      <c r="BL1251" s="84" t="s">
        <v>3431</v>
      </c>
      <c r="BS1251" s="88">
        <v>0</v>
      </c>
      <c r="BV1251" s="89">
        <v>124200</v>
      </c>
      <c r="BW1251" s="89">
        <v>100710</v>
      </c>
      <c r="BX1251" s="89">
        <v>43677</v>
      </c>
      <c r="BY1251" s="89">
        <v>23490</v>
      </c>
      <c r="BZ1251" s="112">
        <v>18.913043478260867</v>
      </c>
      <c r="CK1251" s="88">
        <v>0</v>
      </c>
    </row>
    <row r="1252" spans="1:89" x14ac:dyDescent="0.15">
      <c r="A1252" s="84">
        <v>2</v>
      </c>
      <c r="B1252" s="85">
        <v>43718</v>
      </c>
      <c r="C1252" s="85">
        <v>43738</v>
      </c>
      <c r="D1252" s="85">
        <v>43732</v>
      </c>
      <c r="E1252" s="85">
        <v>43733</v>
      </c>
      <c r="F1252" s="85">
        <v>43734</v>
      </c>
      <c r="H1252" s="85">
        <v>43730</v>
      </c>
      <c r="I1252" s="84" t="s">
        <v>401</v>
      </c>
      <c r="J1252" s="84">
        <v>1</v>
      </c>
      <c r="L1252" s="84">
        <v>0</v>
      </c>
      <c r="M1252" s="85">
        <v>43677</v>
      </c>
      <c r="N1252" s="85" t="s">
        <v>265</v>
      </c>
      <c r="O1252" s="86" t="s">
        <v>340</v>
      </c>
      <c r="P1252" s="84" t="s">
        <v>26</v>
      </c>
      <c r="Q1252" s="86" t="s">
        <v>209</v>
      </c>
      <c r="R1252" s="86" t="s">
        <v>3660</v>
      </c>
      <c r="S1252" s="87" t="s">
        <v>1013</v>
      </c>
      <c r="T1252" s="87" t="s">
        <v>2864</v>
      </c>
      <c r="U1252" s="88">
        <v>180000</v>
      </c>
      <c r="V1252" s="88">
        <v>194400</v>
      </c>
      <c r="W1252" s="88">
        <v>115000</v>
      </c>
      <c r="X1252" s="88">
        <v>124200</v>
      </c>
      <c r="Y1252" s="88">
        <v>65000</v>
      </c>
      <c r="Z1252" s="88">
        <v>70200</v>
      </c>
      <c r="AA1252" s="85">
        <v>43726</v>
      </c>
      <c r="AB1252" s="85">
        <v>43727</v>
      </c>
      <c r="AC1252" s="85">
        <v>43727</v>
      </c>
      <c r="AD1252" s="84">
        <v>0</v>
      </c>
      <c r="AG1252" s="84">
        <v>0</v>
      </c>
      <c r="AJ1252" s="84">
        <v>0</v>
      </c>
      <c r="AN1252" s="84" t="s">
        <v>338</v>
      </c>
      <c r="AR1252" s="85">
        <v>43705</v>
      </c>
      <c r="AS1252" s="84">
        <v>6001706491</v>
      </c>
      <c r="AT1252" s="85">
        <v>43705</v>
      </c>
      <c r="AU1252" s="84" t="s">
        <v>3542</v>
      </c>
      <c r="AV1252" s="85">
        <v>43738</v>
      </c>
      <c r="AW1252" s="123">
        <v>43738</v>
      </c>
      <c r="AX1252" s="123">
        <v>43758</v>
      </c>
      <c r="AY1252" s="132">
        <v>172800</v>
      </c>
      <c r="AZ1252" s="132">
        <f>ROUNDDOWN(AY1252+(AY1252*MASTER!$A$2/100),0)</f>
        <v>186624</v>
      </c>
      <c r="BA1252" s="84" t="s">
        <v>778</v>
      </c>
      <c r="BC1252" s="88">
        <v>0</v>
      </c>
      <c r="BG1252" s="88">
        <v>0</v>
      </c>
      <c r="BI1252" s="84" t="s">
        <v>276</v>
      </c>
      <c r="BJ1252" s="88">
        <v>42250</v>
      </c>
      <c r="BK1252" s="88">
        <v>45630</v>
      </c>
      <c r="BL1252" s="84" t="s">
        <v>3515</v>
      </c>
      <c r="BS1252" s="88">
        <v>0</v>
      </c>
      <c r="BV1252" s="89">
        <v>124200</v>
      </c>
      <c r="BW1252" s="89">
        <v>45630</v>
      </c>
      <c r="BX1252" s="89">
        <v>43677</v>
      </c>
      <c r="BY1252" s="89">
        <v>78570</v>
      </c>
      <c r="BZ1252" s="112">
        <v>63.260869565217391</v>
      </c>
      <c r="CK1252" s="88">
        <v>0</v>
      </c>
    </row>
    <row r="1253" spans="1:89" x14ac:dyDescent="0.15">
      <c r="A1253" s="84">
        <v>2</v>
      </c>
      <c r="B1253" s="85">
        <v>43718</v>
      </c>
      <c r="C1253" s="85">
        <v>43738</v>
      </c>
      <c r="D1253" s="85">
        <v>43732</v>
      </c>
      <c r="E1253" s="85">
        <v>43733</v>
      </c>
      <c r="F1253" s="85">
        <v>43734</v>
      </c>
      <c r="G1253" s="85">
        <v>43732</v>
      </c>
      <c r="H1253" s="85">
        <v>43730</v>
      </c>
      <c r="I1253" s="84" t="s">
        <v>401</v>
      </c>
      <c r="J1253" s="84">
        <v>1</v>
      </c>
      <c r="L1253" s="84">
        <v>0</v>
      </c>
      <c r="M1253" s="85">
        <v>43677</v>
      </c>
      <c r="N1253" s="85" t="s">
        <v>265</v>
      </c>
      <c r="O1253" s="86" t="s">
        <v>340</v>
      </c>
      <c r="P1253" s="84" t="s">
        <v>26</v>
      </c>
      <c r="Q1253" s="86" t="s">
        <v>209</v>
      </c>
      <c r="R1253" s="86" t="s">
        <v>3644</v>
      </c>
      <c r="S1253" s="87" t="s">
        <v>1013</v>
      </c>
      <c r="T1253" s="87" t="s">
        <v>2876</v>
      </c>
      <c r="U1253" s="88">
        <v>95000</v>
      </c>
      <c r="V1253" s="88">
        <v>102600</v>
      </c>
      <c r="W1253" s="88">
        <v>80000</v>
      </c>
      <c r="X1253" s="88">
        <v>86400</v>
      </c>
      <c r="Y1253" s="88">
        <v>15000</v>
      </c>
      <c r="Z1253" s="88">
        <v>16200</v>
      </c>
      <c r="AA1253" s="85">
        <v>43726</v>
      </c>
      <c r="AB1253" s="85">
        <v>43727</v>
      </c>
      <c r="AC1253" s="85">
        <v>43727</v>
      </c>
      <c r="AD1253" s="84">
        <v>0</v>
      </c>
      <c r="AG1253" s="84">
        <v>0</v>
      </c>
      <c r="AJ1253" s="84">
        <v>0</v>
      </c>
      <c r="AN1253" s="84" t="s">
        <v>338</v>
      </c>
      <c r="AR1253" s="85">
        <v>43705</v>
      </c>
      <c r="AS1253" s="84">
        <v>6001706491</v>
      </c>
      <c r="AT1253" s="85">
        <v>43705</v>
      </c>
      <c r="AU1253" s="84" t="s">
        <v>3542</v>
      </c>
      <c r="AV1253" s="85">
        <v>43738</v>
      </c>
      <c r="AW1253" s="123">
        <v>43738</v>
      </c>
      <c r="AX1253" s="123">
        <v>43758</v>
      </c>
      <c r="AY1253" s="132">
        <v>91200</v>
      </c>
      <c r="AZ1253" s="132">
        <f>ROUNDDOWN(AY1253+(AY1253*MASTER!$A$2/100),0)</f>
        <v>98496</v>
      </c>
      <c r="BA1253" s="84" t="s">
        <v>778</v>
      </c>
      <c r="BC1253" s="88">
        <v>0</v>
      </c>
      <c r="BG1253" s="88">
        <v>0</v>
      </c>
      <c r="BI1253" s="84" t="s">
        <v>276</v>
      </c>
      <c r="BJ1253" s="88">
        <v>9750</v>
      </c>
      <c r="BK1253" s="88">
        <v>10530</v>
      </c>
      <c r="BL1253" s="84" t="s">
        <v>3515</v>
      </c>
      <c r="BS1253" s="88">
        <v>0</v>
      </c>
      <c r="BV1253" s="89">
        <v>86400</v>
      </c>
      <c r="BW1253" s="89">
        <v>10530</v>
      </c>
      <c r="BX1253" s="89">
        <v>43677</v>
      </c>
      <c r="BY1253" s="89">
        <v>75870</v>
      </c>
      <c r="BZ1253" s="112">
        <v>87.8125</v>
      </c>
      <c r="CK1253" s="88">
        <v>0</v>
      </c>
    </row>
    <row r="1254" spans="1:89" x14ac:dyDescent="0.15">
      <c r="A1254" s="84">
        <v>2</v>
      </c>
      <c r="B1254" s="85">
        <v>43718</v>
      </c>
      <c r="C1254" s="85">
        <v>43738</v>
      </c>
      <c r="D1254" s="85">
        <v>43732</v>
      </c>
      <c r="E1254" s="85">
        <v>43733</v>
      </c>
      <c r="F1254" s="85">
        <v>43735</v>
      </c>
      <c r="G1254" s="85">
        <v>43732</v>
      </c>
      <c r="H1254" s="85">
        <v>43731</v>
      </c>
      <c r="I1254" s="84" t="s">
        <v>401</v>
      </c>
      <c r="J1254" s="84">
        <v>1</v>
      </c>
      <c r="L1254" s="84">
        <v>0</v>
      </c>
      <c r="M1254" s="85">
        <v>43677</v>
      </c>
      <c r="N1254" s="85" t="s">
        <v>265</v>
      </c>
      <c r="O1254" s="86" t="s">
        <v>340</v>
      </c>
      <c r="P1254" s="84" t="s">
        <v>26</v>
      </c>
      <c r="Q1254" s="86" t="s">
        <v>209</v>
      </c>
      <c r="R1254" s="86" t="s">
        <v>3661</v>
      </c>
      <c r="S1254" s="87" t="s">
        <v>808</v>
      </c>
      <c r="T1254" s="87" t="s">
        <v>2864</v>
      </c>
      <c r="U1254" s="88">
        <v>180000</v>
      </c>
      <c r="V1254" s="88">
        <v>194400</v>
      </c>
      <c r="W1254" s="88">
        <v>115000</v>
      </c>
      <c r="X1254" s="88">
        <v>124200</v>
      </c>
      <c r="Y1254" s="88">
        <v>65000</v>
      </c>
      <c r="Z1254" s="88">
        <v>70200</v>
      </c>
      <c r="AA1254" s="85">
        <v>43727</v>
      </c>
      <c r="AB1254" s="85">
        <v>43728</v>
      </c>
      <c r="AC1254" s="85">
        <v>43728</v>
      </c>
      <c r="AD1254" s="84">
        <v>0</v>
      </c>
      <c r="AG1254" s="84">
        <v>0</v>
      </c>
      <c r="AJ1254" s="84">
        <v>0</v>
      </c>
      <c r="AN1254" s="84" t="s">
        <v>338</v>
      </c>
      <c r="AR1254" s="85">
        <v>43705</v>
      </c>
      <c r="AS1254" s="84">
        <v>6001706491</v>
      </c>
      <c r="AT1254" s="85">
        <v>43705</v>
      </c>
      <c r="AU1254" s="84" t="s">
        <v>3542</v>
      </c>
      <c r="AV1254" s="85">
        <v>43738</v>
      </c>
      <c r="AW1254" s="123">
        <v>43738</v>
      </c>
      <c r="AX1254" s="123">
        <v>43758</v>
      </c>
      <c r="AY1254" s="132">
        <v>172800</v>
      </c>
      <c r="AZ1254" s="132">
        <f>ROUNDDOWN(AY1254+(AY1254*MASTER!$A$2/100),0)</f>
        <v>186624</v>
      </c>
      <c r="BA1254" s="84" t="s">
        <v>778</v>
      </c>
      <c r="BC1254" s="88">
        <v>0</v>
      </c>
      <c r="BG1254" s="88">
        <v>0</v>
      </c>
      <c r="BI1254" s="84" t="s">
        <v>276</v>
      </c>
      <c r="BJ1254" s="88">
        <v>42250</v>
      </c>
      <c r="BK1254" s="88">
        <v>45630</v>
      </c>
      <c r="BL1254" s="84" t="s">
        <v>3515</v>
      </c>
      <c r="BS1254" s="88">
        <v>0</v>
      </c>
      <c r="BV1254" s="89">
        <v>124200</v>
      </c>
      <c r="BW1254" s="89">
        <v>45630</v>
      </c>
      <c r="BX1254" s="89">
        <v>43677</v>
      </c>
      <c r="BY1254" s="89">
        <v>78570</v>
      </c>
      <c r="BZ1254" s="112">
        <v>63.260869565217391</v>
      </c>
      <c r="CK1254" s="88">
        <v>0</v>
      </c>
    </row>
    <row r="1255" spans="1:89" x14ac:dyDescent="0.15">
      <c r="A1255" s="84">
        <v>2</v>
      </c>
      <c r="B1255" s="85">
        <v>43718</v>
      </c>
      <c r="C1255" s="85">
        <v>43738</v>
      </c>
      <c r="D1255" s="85">
        <v>43732</v>
      </c>
      <c r="E1255" s="85">
        <v>43733</v>
      </c>
      <c r="F1255" s="85">
        <v>43735</v>
      </c>
      <c r="G1255" s="85">
        <v>43732</v>
      </c>
      <c r="H1255" s="85">
        <v>43731</v>
      </c>
      <c r="I1255" s="84" t="s">
        <v>401</v>
      </c>
      <c r="J1255" s="84">
        <v>1</v>
      </c>
      <c r="L1255" s="84">
        <v>0</v>
      </c>
      <c r="M1255" s="85">
        <v>43677</v>
      </c>
      <c r="N1255" s="85" t="s">
        <v>265</v>
      </c>
      <c r="O1255" s="86" t="s">
        <v>340</v>
      </c>
      <c r="P1255" s="84" t="s">
        <v>26</v>
      </c>
      <c r="Q1255" s="86" t="s">
        <v>209</v>
      </c>
      <c r="R1255" s="86" t="s">
        <v>3662</v>
      </c>
      <c r="S1255" s="87" t="s">
        <v>808</v>
      </c>
      <c r="T1255" s="87" t="s">
        <v>2876</v>
      </c>
      <c r="U1255" s="88">
        <v>95000</v>
      </c>
      <c r="V1255" s="88">
        <v>102600</v>
      </c>
      <c r="W1255" s="88">
        <v>80000</v>
      </c>
      <c r="X1255" s="88">
        <v>86400</v>
      </c>
      <c r="Y1255" s="88">
        <v>15000</v>
      </c>
      <c r="Z1255" s="88">
        <v>16200</v>
      </c>
      <c r="AA1255" s="85">
        <v>43727</v>
      </c>
      <c r="AB1255" s="85">
        <v>43728</v>
      </c>
      <c r="AC1255" s="85">
        <v>43728</v>
      </c>
      <c r="AD1255" s="84">
        <v>0</v>
      </c>
      <c r="AG1255" s="84">
        <v>0</v>
      </c>
      <c r="AJ1255" s="84">
        <v>0</v>
      </c>
      <c r="AN1255" s="84" t="s">
        <v>338</v>
      </c>
      <c r="AR1255" s="85">
        <v>43705</v>
      </c>
      <c r="AS1255" s="84">
        <v>6001706491</v>
      </c>
      <c r="AT1255" s="85">
        <v>43705</v>
      </c>
      <c r="AU1255" s="84" t="s">
        <v>3542</v>
      </c>
      <c r="AV1255" s="85">
        <v>43738</v>
      </c>
      <c r="AW1255" s="123">
        <v>43738</v>
      </c>
      <c r="AX1255" s="123">
        <v>43758</v>
      </c>
      <c r="AY1255" s="132">
        <v>91200</v>
      </c>
      <c r="AZ1255" s="132">
        <f>ROUNDDOWN(AY1255+(AY1255*MASTER!$A$2/100),0)</f>
        <v>98496</v>
      </c>
      <c r="BA1255" s="84" t="s">
        <v>778</v>
      </c>
      <c r="BC1255" s="88">
        <v>0</v>
      </c>
      <c r="BG1255" s="88">
        <v>0</v>
      </c>
      <c r="BI1255" s="84" t="s">
        <v>276</v>
      </c>
      <c r="BJ1255" s="88">
        <v>9750</v>
      </c>
      <c r="BK1255" s="88">
        <v>10530</v>
      </c>
      <c r="BL1255" s="84" t="s">
        <v>3515</v>
      </c>
      <c r="BS1255" s="88">
        <v>0</v>
      </c>
      <c r="BV1255" s="89">
        <v>86400</v>
      </c>
      <c r="BW1255" s="89">
        <v>10530</v>
      </c>
      <c r="BX1255" s="89">
        <v>43677</v>
      </c>
      <c r="BY1255" s="89">
        <v>75870</v>
      </c>
      <c r="BZ1255" s="112">
        <v>87.8125</v>
      </c>
      <c r="CK1255" s="88">
        <v>0</v>
      </c>
    </row>
    <row r="1256" spans="1:89" x14ac:dyDescent="0.15">
      <c r="A1256" s="84">
        <v>2</v>
      </c>
      <c r="B1256" s="85">
        <v>43711</v>
      </c>
      <c r="C1256" s="85">
        <v>43738</v>
      </c>
      <c r="D1256" s="85">
        <v>43718</v>
      </c>
      <c r="E1256" s="85">
        <v>43718</v>
      </c>
      <c r="F1256" s="85">
        <v>43721</v>
      </c>
      <c r="G1256" s="85">
        <v>43718</v>
      </c>
      <c r="H1256" s="85">
        <v>43717</v>
      </c>
      <c r="I1256" s="84" t="s">
        <v>401</v>
      </c>
      <c r="J1256" s="84">
        <v>1</v>
      </c>
      <c r="L1256" s="84">
        <v>0</v>
      </c>
      <c r="M1256" s="85">
        <v>43677</v>
      </c>
      <c r="N1256" s="85" t="s">
        <v>265</v>
      </c>
      <c r="O1256" s="86" t="s">
        <v>340</v>
      </c>
      <c r="P1256" s="84" t="s">
        <v>26</v>
      </c>
      <c r="Q1256" s="86" t="s">
        <v>209</v>
      </c>
      <c r="R1256" s="86" t="s">
        <v>3604</v>
      </c>
      <c r="S1256" s="87" t="s">
        <v>3359</v>
      </c>
      <c r="T1256" s="87" t="s">
        <v>2864</v>
      </c>
      <c r="U1256" s="88">
        <v>180000</v>
      </c>
      <c r="V1256" s="88">
        <v>194400</v>
      </c>
      <c r="W1256" s="88">
        <v>115000</v>
      </c>
      <c r="X1256" s="88">
        <v>124200</v>
      </c>
      <c r="Y1256" s="88">
        <v>65000</v>
      </c>
      <c r="Z1256" s="88">
        <v>70200</v>
      </c>
      <c r="AA1256" s="85">
        <v>43713</v>
      </c>
      <c r="AB1256" s="85">
        <v>43714</v>
      </c>
      <c r="AC1256" s="85">
        <v>43714</v>
      </c>
      <c r="AD1256" s="84">
        <v>0</v>
      </c>
      <c r="AG1256" s="84">
        <v>0</v>
      </c>
      <c r="AJ1256" s="84">
        <v>0</v>
      </c>
      <c r="AN1256" s="84" t="s">
        <v>338</v>
      </c>
      <c r="AR1256" s="85">
        <v>43705</v>
      </c>
      <c r="AS1256" s="84">
        <v>6001706491</v>
      </c>
      <c r="AT1256" s="85">
        <v>43705</v>
      </c>
      <c r="AU1256" s="84" t="s">
        <v>3542</v>
      </c>
      <c r="AV1256" s="85">
        <v>43738</v>
      </c>
      <c r="AW1256" s="123">
        <v>43738</v>
      </c>
      <c r="AX1256" s="123">
        <v>43758</v>
      </c>
      <c r="AY1256" s="132">
        <v>172800</v>
      </c>
      <c r="AZ1256" s="132">
        <f>ROUNDDOWN(AY1256+(AY1256*MASTER!$A$2/100),0)</f>
        <v>186624</v>
      </c>
      <c r="BA1256" s="84" t="s">
        <v>778</v>
      </c>
      <c r="BC1256" s="88">
        <v>0</v>
      </c>
      <c r="BG1256" s="88">
        <v>0</v>
      </c>
      <c r="BI1256" s="84" t="s">
        <v>276</v>
      </c>
      <c r="BJ1256" s="88">
        <v>42250</v>
      </c>
      <c r="BK1256" s="88">
        <v>45630</v>
      </c>
      <c r="BL1256" s="84" t="s">
        <v>3515</v>
      </c>
      <c r="BS1256" s="88">
        <v>0</v>
      </c>
      <c r="BV1256" s="89">
        <v>124200</v>
      </c>
      <c r="BW1256" s="89">
        <v>45630</v>
      </c>
      <c r="BX1256" s="89">
        <v>43677</v>
      </c>
      <c r="BY1256" s="89">
        <v>78570</v>
      </c>
      <c r="BZ1256" s="112">
        <v>63.260869565217391</v>
      </c>
      <c r="CK1256" s="88">
        <v>0</v>
      </c>
    </row>
    <row r="1257" spans="1:89" x14ac:dyDescent="0.15">
      <c r="A1257" s="84">
        <v>2</v>
      </c>
      <c r="B1257" s="85">
        <v>43711</v>
      </c>
      <c r="C1257" s="85">
        <v>43738</v>
      </c>
      <c r="D1257" s="85">
        <v>43718</v>
      </c>
      <c r="E1257" s="85">
        <v>43718</v>
      </c>
      <c r="F1257" s="85">
        <v>43721</v>
      </c>
      <c r="G1257" s="85">
        <v>43718</v>
      </c>
      <c r="H1257" s="85">
        <v>43717</v>
      </c>
      <c r="I1257" s="84" t="s">
        <v>401</v>
      </c>
      <c r="J1257" s="84">
        <v>1</v>
      </c>
      <c r="L1257" s="84">
        <v>0</v>
      </c>
      <c r="M1257" s="85">
        <v>43677</v>
      </c>
      <c r="N1257" s="85" t="s">
        <v>265</v>
      </c>
      <c r="O1257" s="86" t="s">
        <v>340</v>
      </c>
      <c r="P1257" s="84" t="s">
        <v>26</v>
      </c>
      <c r="Q1257" s="86" t="s">
        <v>209</v>
      </c>
      <c r="R1257" s="86" t="s">
        <v>3358</v>
      </c>
      <c r="S1257" s="87" t="s">
        <v>3359</v>
      </c>
      <c r="T1257" s="87" t="s">
        <v>2876</v>
      </c>
      <c r="U1257" s="88">
        <v>95000</v>
      </c>
      <c r="V1257" s="88">
        <v>102600</v>
      </c>
      <c r="W1257" s="88">
        <v>80000</v>
      </c>
      <c r="X1257" s="88">
        <v>86400</v>
      </c>
      <c r="Y1257" s="88">
        <v>15000</v>
      </c>
      <c r="Z1257" s="88">
        <v>16200</v>
      </c>
      <c r="AA1257" s="85">
        <v>43713</v>
      </c>
      <c r="AB1257" s="85">
        <v>43714</v>
      </c>
      <c r="AC1257" s="85">
        <v>43714</v>
      </c>
      <c r="AD1257" s="84">
        <v>0</v>
      </c>
      <c r="AG1257" s="84">
        <v>0</v>
      </c>
      <c r="AJ1257" s="84">
        <v>0</v>
      </c>
      <c r="AN1257" s="84" t="s">
        <v>338</v>
      </c>
      <c r="AR1257" s="85">
        <v>43705</v>
      </c>
      <c r="AS1257" s="84">
        <v>6001706491</v>
      </c>
      <c r="AT1257" s="85">
        <v>43705</v>
      </c>
      <c r="AU1257" s="84" t="s">
        <v>3542</v>
      </c>
      <c r="AV1257" s="85">
        <v>43738</v>
      </c>
      <c r="AW1257" s="123">
        <v>43738</v>
      </c>
      <c r="AX1257" s="123">
        <v>43758</v>
      </c>
      <c r="AY1257" s="132">
        <v>91200</v>
      </c>
      <c r="AZ1257" s="132">
        <f>ROUNDDOWN(AY1257+(AY1257*MASTER!$A$2/100),0)</f>
        <v>98496</v>
      </c>
      <c r="BA1257" s="84" t="s">
        <v>778</v>
      </c>
      <c r="BC1257" s="88">
        <v>0</v>
      </c>
      <c r="BG1257" s="88">
        <v>0</v>
      </c>
      <c r="BI1257" s="84" t="s">
        <v>276</v>
      </c>
      <c r="BJ1257" s="88">
        <v>9750</v>
      </c>
      <c r="BK1257" s="88">
        <v>10530</v>
      </c>
      <c r="BL1257" s="84" t="s">
        <v>3515</v>
      </c>
      <c r="BS1257" s="88">
        <v>0</v>
      </c>
      <c r="BV1257" s="89">
        <v>86400</v>
      </c>
      <c r="BW1257" s="89">
        <v>10530</v>
      </c>
      <c r="BX1257" s="89">
        <v>43677</v>
      </c>
      <c r="BY1257" s="89">
        <v>75870</v>
      </c>
      <c r="BZ1257" s="112">
        <v>87.8125</v>
      </c>
      <c r="CK1257" s="88">
        <v>0</v>
      </c>
    </row>
    <row r="1258" spans="1:89" x14ac:dyDescent="0.15">
      <c r="A1258" s="84">
        <v>2</v>
      </c>
      <c r="B1258" s="85">
        <v>43711</v>
      </c>
      <c r="C1258" s="85">
        <v>43738</v>
      </c>
      <c r="D1258" s="85">
        <v>43718</v>
      </c>
      <c r="E1258" s="85">
        <v>43718</v>
      </c>
      <c r="F1258" s="85">
        <v>43720</v>
      </c>
      <c r="G1258" s="85">
        <v>43718</v>
      </c>
      <c r="H1258" s="85">
        <v>43716</v>
      </c>
      <c r="I1258" s="84" t="s">
        <v>401</v>
      </c>
      <c r="J1258" s="84">
        <v>1</v>
      </c>
      <c r="L1258" s="84">
        <v>0</v>
      </c>
      <c r="M1258" s="85">
        <v>43677</v>
      </c>
      <c r="N1258" s="85" t="s">
        <v>265</v>
      </c>
      <c r="O1258" s="86" t="s">
        <v>340</v>
      </c>
      <c r="P1258" s="84" t="s">
        <v>26</v>
      </c>
      <c r="Q1258" s="86" t="s">
        <v>209</v>
      </c>
      <c r="R1258" s="86" t="s">
        <v>3360</v>
      </c>
      <c r="S1258" s="87" t="s">
        <v>3361</v>
      </c>
      <c r="T1258" s="87" t="s">
        <v>2864</v>
      </c>
      <c r="U1258" s="88">
        <v>180000</v>
      </c>
      <c r="V1258" s="88">
        <v>194400</v>
      </c>
      <c r="W1258" s="88">
        <v>115000</v>
      </c>
      <c r="X1258" s="88">
        <v>124200</v>
      </c>
      <c r="Y1258" s="88">
        <v>65000</v>
      </c>
      <c r="Z1258" s="88">
        <v>70200</v>
      </c>
      <c r="AA1258" s="85">
        <v>43712</v>
      </c>
      <c r="AB1258" s="85">
        <v>43713</v>
      </c>
      <c r="AC1258" s="85">
        <v>43713</v>
      </c>
      <c r="AD1258" s="84">
        <v>0</v>
      </c>
      <c r="AG1258" s="84">
        <v>0</v>
      </c>
      <c r="AJ1258" s="84">
        <v>0</v>
      </c>
      <c r="AN1258" s="84" t="s">
        <v>338</v>
      </c>
      <c r="AR1258" s="85">
        <v>43705</v>
      </c>
      <c r="AS1258" s="84">
        <v>6001706491</v>
      </c>
      <c r="AT1258" s="85">
        <v>43705</v>
      </c>
      <c r="AU1258" s="84" t="s">
        <v>3542</v>
      </c>
      <c r="AV1258" s="85">
        <v>43738</v>
      </c>
      <c r="AW1258" s="123">
        <v>43738</v>
      </c>
      <c r="AX1258" s="123">
        <v>43758</v>
      </c>
      <c r="AY1258" s="132">
        <v>172800</v>
      </c>
      <c r="AZ1258" s="132">
        <f>ROUNDDOWN(AY1258+(AY1258*MASTER!$A$2/100),0)</f>
        <v>186624</v>
      </c>
      <c r="BA1258" s="84" t="s">
        <v>778</v>
      </c>
      <c r="BC1258" s="88">
        <v>0</v>
      </c>
      <c r="BG1258" s="88">
        <v>0</v>
      </c>
      <c r="BI1258" s="84" t="s">
        <v>276</v>
      </c>
      <c r="BJ1258" s="88">
        <v>42250</v>
      </c>
      <c r="BK1258" s="88">
        <v>45630</v>
      </c>
      <c r="BL1258" s="84" t="s">
        <v>3515</v>
      </c>
      <c r="BS1258" s="88">
        <v>0</v>
      </c>
      <c r="BV1258" s="89">
        <v>124200</v>
      </c>
      <c r="BW1258" s="89">
        <v>45630</v>
      </c>
      <c r="BX1258" s="89">
        <v>43677</v>
      </c>
      <c r="BY1258" s="89">
        <v>78570</v>
      </c>
      <c r="BZ1258" s="112">
        <v>63.260869565217391</v>
      </c>
      <c r="CK1258" s="88">
        <v>0</v>
      </c>
    </row>
    <row r="1259" spans="1:89" x14ac:dyDescent="0.15">
      <c r="A1259" s="84">
        <v>2</v>
      </c>
      <c r="B1259" s="85">
        <v>43711</v>
      </c>
      <c r="C1259" s="85">
        <v>43738</v>
      </c>
      <c r="D1259" s="85">
        <v>43718</v>
      </c>
      <c r="E1259" s="85">
        <v>43718</v>
      </c>
      <c r="F1259" s="85">
        <v>43720</v>
      </c>
      <c r="G1259" s="85">
        <v>43718</v>
      </c>
      <c r="H1259" s="85">
        <v>43716</v>
      </c>
      <c r="I1259" s="84" t="s">
        <v>401</v>
      </c>
      <c r="J1259" s="84">
        <v>1</v>
      </c>
      <c r="L1259" s="84">
        <v>0</v>
      </c>
      <c r="M1259" s="85">
        <v>43677</v>
      </c>
      <c r="N1259" s="85" t="s">
        <v>265</v>
      </c>
      <c r="O1259" s="86" t="s">
        <v>340</v>
      </c>
      <c r="P1259" s="84" t="s">
        <v>26</v>
      </c>
      <c r="Q1259" s="86" t="s">
        <v>209</v>
      </c>
      <c r="R1259" s="86" t="s">
        <v>3362</v>
      </c>
      <c r="S1259" s="87" t="s">
        <v>3361</v>
      </c>
      <c r="T1259" s="87" t="s">
        <v>2876</v>
      </c>
      <c r="U1259" s="88">
        <v>95000</v>
      </c>
      <c r="V1259" s="88">
        <v>102600</v>
      </c>
      <c r="W1259" s="88">
        <v>80000</v>
      </c>
      <c r="X1259" s="88">
        <v>86400</v>
      </c>
      <c r="Y1259" s="88">
        <v>15000</v>
      </c>
      <c r="Z1259" s="88">
        <v>16200</v>
      </c>
      <c r="AA1259" s="85">
        <v>43712</v>
      </c>
      <c r="AB1259" s="85">
        <v>43713</v>
      </c>
      <c r="AC1259" s="85">
        <v>43713</v>
      </c>
      <c r="AD1259" s="84">
        <v>0</v>
      </c>
      <c r="AG1259" s="84">
        <v>0</v>
      </c>
      <c r="AJ1259" s="84">
        <v>0</v>
      </c>
      <c r="AN1259" s="84" t="s">
        <v>338</v>
      </c>
      <c r="AR1259" s="85">
        <v>43705</v>
      </c>
      <c r="AS1259" s="84">
        <v>6001706491</v>
      </c>
      <c r="AT1259" s="85">
        <v>43705</v>
      </c>
      <c r="AU1259" s="84" t="s">
        <v>3542</v>
      </c>
      <c r="AV1259" s="85">
        <v>43738</v>
      </c>
      <c r="AW1259" s="123">
        <v>43738</v>
      </c>
      <c r="AX1259" s="123">
        <v>43758</v>
      </c>
      <c r="AY1259" s="132">
        <v>91200</v>
      </c>
      <c r="AZ1259" s="132">
        <f>ROUNDDOWN(AY1259+(AY1259*MASTER!$A$2/100),0)</f>
        <v>98496</v>
      </c>
      <c r="BA1259" s="84" t="s">
        <v>778</v>
      </c>
      <c r="BC1259" s="88">
        <v>0</v>
      </c>
      <c r="BG1259" s="88">
        <v>0</v>
      </c>
      <c r="BI1259" s="84" t="s">
        <v>276</v>
      </c>
      <c r="BJ1259" s="88">
        <v>9750</v>
      </c>
      <c r="BK1259" s="88">
        <v>10530</v>
      </c>
      <c r="BL1259" s="84" t="s">
        <v>3515</v>
      </c>
      <c r="BS1259" s="88">
        <v>0</v>
      </c>
      <c r="BV1259" s="89">
        <v>86400</v>
      </c>
      <c r="BW1259" s="89">
        <v>10530</v>
      </c>
      <c r="BX1259" s="89">
        <v>43677</v>
      </c>
      <c r="BY1259" s="89">
        <v>75870</v>
      </c>
      <c r="BZ1259" s="112">
        <v>87.8125</v>
      </c>
      <c r="CK1259" s="88">
        <v>0</v>
      </c>
    </row>
    <row r="1260" spans="1:89" x14ac:dyDescent="0.15">
      <c r="A1260" s="84">
        <v>2</v>
      </c>
      <c r="B1260" s="85">
        <v>43718</v>
      </c>
      <c r="C1260" s="85">
        <v>43738</v>
      </c>
      <c r="D1260" s="85">
        <v>43748</v>
      </c>
      <c r="E1260" s="85">
        <v>43735</v>
      </c>
      <c r="F1260" s="85">
        <v>43741</v>
      </c>
      <c r="G1260" s="85">
        <v>43735</v>
      </c>
      <c r="H1260" s="85">
        <v>43737</v>
      </c>
      <c r="I1260" s="84" t="s">
        <v>401</v>
      </c>
      <c r="J1260" s="84">
        <v>1</v>
      </c>
      <c r="L1260" s="84">
        <v>0</v>
      </c>
      <c r="M1260" s="85">
        <v>43677</v>
      </c>
      <c r="N1260" s="85" t="s">
        <v>265</v>
      </c>
      <c r="O1260" s="86" t="s">
        <v>340</v>
      </c>
      <c r="P1260" s="84" t="s">
        <v>26</v>
      </c>
      <c r="Q1260" s="86" t="s">
        <v>209</v>
      </c>
      <c r="R1260" s="86" t="s">
        <v>3658</v>
      </c>
      <c r="S1260" s="87" t="s">
        <v>550</v>
      </c>
      <c r="T1260" s="87" t="s">
        <v>2864</v>
      </c>
      <c r="U1260" s="88">
        <v>180000</v>
      </c>
      <c r="V1260" s="88">
        <v>194400</v>
      </c>
      <c r="W1260" s="88">
        <v>115000</v>
      </c>
      <c r="X1260" s="88">
        <v>124200</v>
      </c>
      <c r="Y1260" s="88">
        <v>65000</v>
      </c>
      <c r="Z1260" s="88">
        <v>70200</v>
      </c>
      <c r="AA1260" s="85">
        <v>43733</v>
      </c>
      <c r="AB1260" s="85">
        <v>43734</v>
      </c>
      <c r="AC1260" s="85">
        <v>43734</v>
      </c>
      <c r="AD1260" s="84">
        <v>0</v>
      </c>
      <c r="AG1260" s="84">
        <v>0</v>
      </c>
      <c r="AJ1260" s="84">
        <v>0</v>
      </c>
      <c r="AN1260" s="84" t="s">
        <v>338</v>
      </c>
      <c r="AR1260" s="85">
        <v>43705</v>
      </c>
      <c r="AS1260" s="84">
        <v>6001706491</v>
      </c>
      <c r="AT1260" s="85">
        <v>43705</v>
      </c>
      <c r="AU1260" s="84" t="s">
        <v>3542</v>
      </c>
      <c r="AV1260" s="85">
        <v>43738</v>
      </c>
      <c r="AW1260" s="123">
        <v>43738</v>
      </c>
      <c r="AX1260" s="123">
        <v>43758</v>
      </c>
      <c r="AY1260" s="132">
        <v>172800</v>
      </c>
      <c r="AZ1260" s="132">
        <f>ROUNDDOWN(AY1260+(AY1260*MASTER!$A$2/100),0)</f>
        <v>186624</v>
      </c>
      <c r="BA1260" s="84" t="s">
        <v>286</v>
      </c>
      <c r="BB1260" s="88">
        <v>66000</v>
      </c>
      <c r="BC1260" s="88">
        <v>71280</v>
      </c>
      <c r="BD1260" s="84" t="s">
        <v>3431</v>
      </c>
      <c r="BG1260" s="88">
        <v>0</v>
      </c>
      <c r="BI1260" s="84" t="s">
        <v>434</v>
      </c>
      <c r="BJ1260" s="88">
        <v>42250</v>
      </c>
      <c r="BK1260" s="88">
        <v>45630</v>
      </c>
      <c r="BL1260" s="84" t="s">
        <v>3431</v>
      </c>
      <c r="BS1260" s="88">
        <v>0</v>
      </c>
      <c r="BV1260" s="89">
        <v>124200</v>
      </c>
      <c r="BW1260" s="89">
        <v>116910</v>
      </c>
      <c r="BX1260" s="89">
        <v>43677</v>
      </c>
      <c r="BY1260" s="89">
        <v>7290</v>
      </c>
      <c r="BZ1260" s="112">
        <v>5.8695652173913047</v>
      </c>
      <c r="CK1260" s="88">
        <v>0</v>
      </c>
    </row>
    <row r="1261" spans="1:89" x14ac:dyDescent="0.15">
      <c r="A1261" s="84">
        <v>2</v>
      </c>
      <c r="B1261" s="85">
        <v>43718</v>
      </c>
      <c r="C1261" s="85">
        <v>43738</v>
      </c>
      <c r="D1261" s="85">
        <v>43748</v>
      </c>
      <c r="E1261" s="85">
        <v>43735</v>
      </c>
      <c r="F1261" s="85">
        <v>43741</v>
      </c>
      <c r="G1261" s="85">
        <v>43735</v>
      </c>
      <c r="H1261" s="85">
        <v>43737</v>
      </c>
      <c r="I1261" s="84" t="s">
        <v>401</v>
      </c>
      <c r="J1261" s="84">
        <v>1</v>
      </c>
      <c r="L1261" s="84">
        <v>0</v>
      </c>
      <c r="M1261" s="85">
        <v>43677</v>
      </c>
      <c r="N1261" s="85" t="s">
        <v>265</v>
      </c>
      <c r="O1261" s="86" t="s">
        <v>340</v>
      </c>
      <c r="P1261" s="84" t="s">
        <v>26</v>
      </c>
      <c r="Q1261" s="86" t="s">
        <v>209</v>
      </c>
      <c r="R1261" s="86" t="s">
        <v>3659</v>
      </c>
      <c r="S1261" s="87" t="s">
        <v>550</v>
      </c>
      <c r="T1261" s="87" t="s">
        <v>2876</v>
      </c>
      <c r="U1261" s="88">
        <v>95000</v>
      </c>
      <c r="V1261" s="88">
        <v>102600</v>
      </c>
      <c r="W1261" s="88">
        <v>80000</v>
      </c>
      <c r="X1261" s="88">
        <v>86400</v>
      </c>
      <c r="Y1261" s="88">
        <v>15000</v>
      </c>
      <c r="Z1261" s="88">
        <v>16200</v>
      </c>
      <c r="AA1261" s="85">
        <v>43733</v>
      </c>
      <c r="AB1261" s="85">
        <v>43734</v>
      </c>
      <c r="AC1261" s="85">
        <v>43734</v>
      </c>
      <c r="AD1261" s="84">
        <v>0</v>
      </c>
      <c r="AG1261" s="84">
        <v>0</v>
      </c>
      <c r="AJ1261" s="84">
        <v>0</v>
      </c>
      <c r="AN1261" s="84" t="s">
        <v>338</v>
      </c>
      <c r="AR1261" s="85">
        <v>43705</v>
      </c>
      <c r="AS1261" s="84">
        <v>6001706491</v>
      </c>
      <c r="AT1261" s="85">
        <v>43705</v>
      </c>
      <c r="AU1261" s="84" t="s">
        <v>3542</v>
      </c>
      <c r="AV1261" s="85">
        <v>43738</v>
      </c>
      <c r="AW1261" s="123">
        <v>43738</v>
      </c>
      <c r="AX1261" s="123">
        <v>43758</v>
      </c>
      <c r="AY1261" s="132">
        <v>91200</v>
      </c>
      <c r="AZ1261" s="132">
        <f>ROUNDDOWN(AY1261+(AY1261*MASTER!$A$2/100),0)</f>
        <v>98496</v>
      </c>
      <c r="BA1261" s="84" t="s">
        <v>778</v>
      </c>
      <c r="BC1261" s="88">
        <v>0</v>
      </c>
      <c r="BG1261" s="88">
        <v>0</v>
      </c>
      <c r="BI1261" s="84" t="s">
        <v>434</v>
      </c>
      <c r="BJ1261" s="88">
        <v>9750</v>
      </c>
      <c r="BK1261" s="88">
        <v>10530</v>
      </c>
      <c r="BL1261" s="84" t="s">
        <v>3431</v>
      </c>
      <c r="BS1261" s="88">
        <v>0</v>
      </c>
      <c r="BV1261" s="89">
        <v>86400</v>
      </c>
      <c r="BW1261" s="89">
        <v>10530</v>
      </c>
      <c r="BX1261" s="89">
        <v>43677</v>
      </c>
      <c r="BY1261" s="89">
        <v>75870</v>
      </c>
      <c r="BZ1261" s="112">
        <v>87.8125</v>
      </c>
      <c r="CK1261" s="88">
        <v>0</v>
      </c>
    </row>
    <row r="1262" spans="1:89" x14ac:dyDescent="0.15">
      <c r="A1262" s="84">
        <v>1</v>
      </c>
      <c r="B1262" s="85">
        <v>43683</v>
      </c>
      <c r="C1262" s="85">
        <v>43685</v>
      </c>
      <c r="F1262" s="85" t="s">
        <v>338</v>
      </c>
      <c r="H1262" s="85" t="s">
        <v>338</v>
      </c>
      <c r="J1262" s="84">
        <v>2</v>
      </c>
      <c r="L1262" s="84">
        <v>0</v>
      </c>
      <c r="M1262" s="85">
        <v>43677</v>
      </c>
      <c r="N1262" s="85" t="s">
        <v>265</v>
      </c>
      <c r="O1262" s="86" t="s">
        <v>340</v>
      </c>
      <c r="P1262" s="84" t="s">
        <v>78</v>
      </c>
      <c r="Q1262" s="86" t="s">
        <v>209</v>
      </c>
      <c r="R1262" s="86" t="s">
        <v>3363</v>
      </c>
      <c r="S1262" s="87" t="s">
        <v>407</v>
      </c>
      <c r="T1262" s="87" t="s">
        <v>408</v>
      </c>
      <c r="U1262" s="88">
        <v>8300</v>
      </c>
      <c r="V1262" s="88">
        <v>8964</v>
      </c>
      <c r="W1262" s="88">
        <v>8300</v>
      </c>
      <c r="X1262" s="88">
        <v>8964</v>
      </c>
      <c r="Z1262" s="88">
        <v>0</v>
      </c>
      <c r="AD1262" s="84">
        <v>0</v>
      </c>
      <c r="AG1262" s="84">
        <v>0</v>
      </c>
      <c r="AJ1262" s="84">
        <v>0</v>
      </c>
      <c r="AR1262" s="85">
        <v>43677</v>
      </c>
      <c r="AS1262" s="84">
        <v>6001698555</v>
      </c>
      <c r="AT1262" s="85">
        <v>43679</v>
      </c>
      <c r="AU1262" s="84" t="s">
        <v>3364</v>
      </c>
      <c r="AV1262" s="85">
        <v>43685</v>
      </c>
      <c r="AW1262" s="123">
        <v>43708</v>
      </c>
      <c r="AX1262" s="123">
        <v>43728</v>
      </c>
      <c r="AY1262" s="132">
        <v>7968</v>
      </c>
      <c r="AZ1262" s="132">
        <f>ROUNDDOWN(AY1262+(AY1262*MASTER!$A$2/100),0)</f>
        <v>8605</v>
      </c>
      <c r="BC1262" s="88">
        <v>0</v>
      </c>
      <c r="BG1262" s="88">
        <v>0</v>
      </c>
      <c r="BK1262" s="88">
        <v>0</v>
      </c>
      <c r="BS1262" s="88">
        <v>0</v>
      </c>
      <c r="BV1262" s="89">
        <v>8964</v>
      </c>
      <c r="BW1262" s="89">
        <v>0</v>
      </c>
      <c r="BX1262" s="89">
        <v>43677</v>
      </c>
      <c r="BY1262" s="89">
        <v>8964</v>
      </c>
      <c r="BZ1262" s="112">
        <v>100</v>
      </c>
      <c r="CK1262" s="88">
        <v>0</v>
      </c>
    </row>
    <row r="1263" spans="1:89" x14ac:dyDescent="0.15">
      <c r="A1263" s="84">
        <v>2</v>
      </c>
      <c r="B1263" s="85">
        <v>43703</v>
      </c>
      <c r="C1263" s="85">
        <v>43704</v>
      </c>
      <c r="D1263" s="85">
        <v>43678</v>
      </c>
      <c r="E1263" s="85">
        <v>43678</v>
      </c>
      <c r="F1263" s="85" t="s">
        <v>338</v>
      </c>
      <c r="G1263" s="85">
        <v>43678</v>
      </c>
      <c r="H1263" s="85" t="s">
        <v>338</v>
      </c>
      <c r="I1263" s="84" t="s">
        <v>380</v>
      </c>
      <c r="J1263" s="84">
        <v>2</v>
      </c>
      <c r="L1263" s="84">
        <v>0</v>
      </c>
      <c r="M1263" s="85">
        <v>43678</v>
      </c>
      <c r="N1263" s="85" t="s">
        <v>265</v>
      </c>
      <c r="O1263" s="86" t="s">
        <v>340</v>
      </c>
      <c r="P1263" s="84" t="s">
        <v>6</v>
      </c>
      <c r="Q1263" s="86" t="s">
        <v>120</v>
      </c>
      <c r="R1263" s="86" t="s">
        <v>3365</v>
      </c>
      <c r="S1263" s="87" t="s">
        <v>685</v>
      </c>
      <c r="T1263" s="87" t="s">
        <v>342</v>
      </c>
      <c r="U1263" s="88">
        <v>35000</v>
      </c>
      <c r="V1263" s="88">
        <v>37800</v>
      </c>
      <c r="W1263" s="88">
        <v>35000</v>
      </c>
      <c r="X1263" s="88">
        <v>37800</v>
      </c>
      <c r="Z1263" s="88">
        <v>0</v>
      </c>
      <c r="AA1263" s="85">
        <v>43678</v>
      </c>
      <c r="AB1263" s="85">
        <v>43678</v>
      </c>
      <c r="AD1263" s="84">
        <v>0</v>
      </c>
      <c r="AG1263" s="84">
        <v>0</v>
      </c>
      <c r="AJ1263" s="84">
        <v>0</v>
      </c>
      <c r="AN1263" s="84" t="s">
        <v>338</v>
      </c>
      <c r="AR1263" s="85">
        <v>43699</v>
      </c>
      <c r="AS1263" s="84">
        <v>6001704687</v>
      </c>
      <c r="AT1263" s="85">
        <v>43699</v>
      </c>
      <c r="AU1263" s="84" t="s">
        <v>3497</v>
      </c>
      <c r="AV1263" s="85">
        <v>43704</v>
      </c>
      <c r="AW1263" s="123">
        <v>43708</v>
      </c>
      <c r="AX1263" s="123">
        <v>43728</v>
      </c>
      <c r="AY1263" s="132">
        <v>33600</v>
      </c>
      <c r="AZ1263" s="132">
        <f>ROUNDDOWN(AY1263+(AY1263*MASTER!$A$2/100),0)</f>
        <v>36288</v>
      </c>
      <c r="BA1263" s="84" t="s">
        <v>400</v>
      </c>
      <c r="BB1263" s="88">
        <v>42000</v>
      </c>
      <c r="BC1263" s="88">
        <v>45360</v>
      </c>
      <c r="BD1263" s="84" t="s">
        <v>2849</v>
      </c>
      <c r="BG1263" s="88">
        <v>0</v>
      </c>
      <c r="BK1263" s="88">
        <v>0</v>
      </c>
      <c r="BS1263" s="88">
        <v>0</v>
      </c>
      <c r="BV1263" s="89">
        <v>37800</v>
      </c>
      <c r="BW1263" s="89">
        <v>45360</v>
      </c>
      <c r="BX1263" s="89">
        <v>43678</v>
      </c>
      <c r="BY1263" s="89">
        <v>-7560</v>
      </c>
      <c r="BZ1263" s="112">
        <v>-20</v>
      </c>
      <c r="CK1263" s="88">
        <v>0</v>
      </c>
    </row>
    <row r="1264" spans="1:89" x14ac:dyDescent="0.15">
      <c r="A1264" s="84">
        <v>2</v>
      </c>
      <c r="B1264" s="85">
        <v>43685</v>
      </c>
      <c r="C1264" s="85">
        <v>43686</v>
      </c>
      <c r="D1264" s="85">
        <v>43678</v>
      </c>
      <c r="E1264" s="85">
        <v>43678</v>
      </c>
      <c r="F1264" s="85" t="s">
        <v>338</v>
      </c>
      <c r="G1264" s="85">
        <v>43678</v>
      </c>
      <c r="H1264" s="85" t="s">
        <v>338</v>
      </c>
      <c r="I1264" s="84" t="s">
        <v>380</v>
      </c>
      <c r="J1264" s="84">
        <v>2</v>
      </c>
      <c r="L1264" s="84">
        <v>0</v>
      </c>
      <c r="M1264" s="85">
        <v>43678</v>
      </c>
      <c r="N1264" s="85" t="s">
        <v>265</v>
      </c>
      <c r="O1264" s="86" t="s">
        <v>340</v>
      </c>
      <c r="P1264" s="84" t="s">
        <v>6</v>
      </c>
      <c r="Q1264" s="86" t="s">
        <v>120</v>
      </c>
      <c r="R1264" s="86" t="s">
        <v>3366</v>
      </c>
      <c r="S1264" s="87" t="s">
        <v>1142</v>
      </c>
      <c r="T1264" s="87" t="s">
        <v>342</v>
      </c>
      <c r="U1264" s="88">
        <v>35000</v>
      </c>
      <c r="V1264" s="88">
        <v>37800</v>
      </c>
      <c r="W1264" s="88">
        <v>35000</v>
      </c>
      <c r="X1264" s="88">
        <v>37800</v>
      </c>
      <c r="Z1264" s="88">
        <v>0</v>
      </c>
      <c r="AA1264" s="85">
        <v>43677</v>
      </c>
      <c r="AB1264" s="85">
        <v>43677</v>
      </c>
      <c r="AD1264" s="84">
        <v>0</v>
      </c>
      <c r="AG1264" s="84">
        <v>0</v>
      </c>
      <c r="AJ1264" s="84">
        <v>0</v>
      </c>
      <c r="AN1264" s="84" t="s">
        <v>338</v>
      </c>
      <c r="AR1264" s="85">
        <v>43684</v>
      </c>
      <c r="AS1264" s="84">
        <v>6001701372</v>
      </c>
      <c r="AT1264" s="85">
        <v>43684</v>
      </c>
      <c r="AU1264" s="84" t="s">
        <v>3423</v>
      </c>
      <c r="AV1264" s="85">
        <v>43686</v>
      </c>
      <c r="AW1264" s="123">
        <v>43708</v>
      </c>
      <c r="AX1264" s="123">
        <v>43728</v>
      </c>
      <c r="AY1264" s="132">
        <v>33600</v>
      </c>
      <c r="AZ1264" s="132">
        <f>ROUNDDOWN(AY1264+(AY1264*MASTER!$A$2/100),0)</f>
        <v>36288</v>
      </c>
      <c r="BA1264" s="84" t="s">
        <v>287</v>
      </c>
      <c r="BB1264" s="88">
        <v>42000</v>
      </c>
      <c r="BC1264" s="88">
        <v>45360</v>
      </c>
      <c r="BD1264" s="84" t="s">
        <v>2849</v>
      </c>
      <c r="BG1264" s="88">
        <v>0</v>
      </c>
      <c r="BK1264" s="88">
        <v>0</v>
      </c>
      <c r="BS1264" s="88">
        <v>0</v>
      </c>
      <c r="BV1264" s="89">
        <v>37800</v>
      </c>
      <c r="BW1264" s="89">
        <v>45360</v>
      </c>
      <c r="BX1264" s="89">
        <v>43678</v>
      </c>
      <c r="BY1264" s="89">
        <v>-7560</v>
      </c>
      <c r="BZ1264" s="112">
        <v>-20</v>
      </c>
      <c r="CK1264" s="88">
        <v>0</v>
      </c>
    </row>
    <row r="1265" spans="1:89" x14ac:dyDescent="0.15">
      <c r="A1265" s="84">
        <v>2</v>
      </c>
      <c r="B1265" s="85">
        <v>43787</v>
      </c>
      <c r="C1265" s="85">
        <v>43798</v>
      </c>
      <c r="E1265" s="85">
        <v>43808</v>
      </c>
      <c r="F1265" s="85">
        <v>43801</v>
      </c>
      <c r="G1265" s="85">
        <v>43798</v>
      </c>
      <c r="H1265" s="85">
        <v>43797</v>
      </c>
      <c r="I1265" s="84" t="s">
        <v>401</v>
      </c>
      <c r="J1265" s="84">
        <v>1</v>
      </c>
      <c r="L1265" s="84">
        <v>0</v>
      </c>
      <c r="M1265" s="85">
        <v>43679</v>
      </c>
      <c r="N1265" s="85" t="s">
        <v>265</v>
      </c>
      <c r="O1265" s="86" t="s">
        <v>340</v>
      </c>
      <c r="P1265" s="84" t="s">
        <v>26</v>
      </c>
      <c r="Q1265" s="86" t="s">
        <v>120</v>
      </c>
      <c r="R1265" s="86" t="s">
        <v>3917</v>
      </c>
      <c r="S1265" s="87" t="s">
        <v>1056</v>
      </c>
      <c r="T1265" s="87" t="s">
        <v>3466</v>
      </c>
      <c r="U1265" s="88">
        <v>3022200</v>
      </c>
      <c r="V1265" s="88">
        <v>3263976</v>
      </c>
      <c r="W1265" s="88">
        <v>2953200</v>
      </c>
      <c r="X1265" s="88">
        <v>3189456</v>
      </c>
      <c r="Y1265" s="88">
        <v>69000</v>
      </c>
      <c r="Z1265" s="88">
        <v>74520</v>
      </c>
      <c r="AA1265" s="85">
        <v>43792</v>
      </c>
      <c r="AB1265" s="85">
        <v>43794</v>
      </c>
      <c r="AC1265" s="85">
        <v>43794</v>
      </c>
      <c r="AD1265" s="84">
        <v>0</v>
      </c>
      <c r="AG1265" s="84">
        <v>0</v>
      </c>
      <c r="AJ1265" s="84">
        <v>0</v>
      </c>
      <c r="AM1265" s="84" t="s">
        <v>290</v>
      </c>
      <c r="AN1265" s="84" t="s">
        <v>3918</v>
      </c>
      <c r="AR1265" s="85">
        <v>43686</v>
      </c>
      <c r="AS1265" s="84">
        <v>6001702340</v>
      </c>
      <c r="AT1265" s="85">
        <v>43686</v>
      </c>
      <c r="AU1265" s="84" t="s">
        <v>3437</v>
      </c>
      <c r="AV1265" s="85">
        <v>43798</v>
      </c>
      <c r="AW1265" s="123">
        <v>43799</v>
      </c>
      <c r="AX1265" s="123">
        <v>43819</v>
      </c>
      <c r="AY1265" s="132">
        <v>2901312</v>
      </c>
      <c r="AZ1265" s="132">
        <f>ROUNDDOWN(AY1265+(AY1265*0.1),0)</f>
        <v>3191443</v>
      </c>
      <c r="BA1265" s="84" t="s">
        <v>287</v>
      </c>
      <c r="BB1265" s="88">
        <v>1415000</v>
      </c>
      <c r="BC1265" s="88">
        <v>1528200</v>
      </c>
      <c r="BD1265" s="84" t="s">
        <v>189</v>
      </c>
      <c r="BG1265" s="88">
        <v>0</v>
      </c>
      <c r="BI1265" s="84" t="s">
        <v>276</v>
      </c>
      <c r="BJ1265" s="88">
        <v>44850</v>
      </c>
      <c r="BK1265" s="88">
        <f>ROUNDDOWN(BJ1265+(BJ1265*0.1),0)</f>
        <v>49335</v>
      </c>
      <c r="BL1265" s="84" t="s">
        <v>863</v>
      </c>
      <c r="BS1265" s="88">
        <v>0</v>
      </c>
      <c r="BV1265" s="89">
        <v>3189456</v>
      </c>
      <c r="BW1265" s="89">
        <v>1576638</v>
      </c>
      <c r="BX1265" s="89">
        <v>43679</v>
      </c>
      <c r="BY1265" s="89">
        <v>1612818</v>
      </c>
      <c r="BZ1265" s="112">
        <v>50.567181362589729</v>
      </c>
      <c r="CC1265" s="84">
        <v>2019</v>
      </c>
      <c r="CK1265" s="88">
        <v>0</v>
      </c>
    </row>
    <row r="1266" spans="1:89" x14ac:dyDescent="0.15">
      <c r="A1266" s="84">
        <v>1</v>
      </c>
      <c r="B1266" s="85">
        <v>43686</v>
      </c>
      <c r="C1266" s="85">
        <v>43696</v>
      </c>
      <c r="F1266" s="85" t="s">
        <v>338</v>
      </c>
      <c r="H1266" s="85" t="s">
        <v>338</v>
      </c>
      <c r="J1266" s="84">
        <v>2</v>
      </c>
      <c r="L1266" s="84">
        <v>0</v>
      </c>
      <c r="M1266" s="85">
        <v>43679</v>
      </c>
      <c r="N1266" s="85" t="s">
        <v>265</v>
      </c>
      <c r="O1266" s="86" t="s">
        <v>340</v>
      </c>
      <c r="P1266" s="84" t="s">
        <v>269</v>
      </c>
      <c r="Q1266" s="86" t="s">
        <v>120</v>
      </c>
      <c r="R1266" s="86" t="s">
        <v>3367</v>
      </c>
      <c r="S1266" s="87" t="s">
        <v>377</v>
      </c>
      <c r="T1266" s="87" t="s">
        <v>3368</v>
      </c>
      <c r="U1266" s="88">
        <v>66000</v>
      </c>
      <c r="V1266" s="88">
        <v>71280</v>
      </c>
      <c r="W1266" s="88">
        <v>66000</v>
      </c>
      <c r="X1266" s="88">
        <v>71280</v>
      </c>
      <c r="Z1266" s="88">
        <v>0</v>
      </c>
      <c r="AD1266" s="84">
        <v>0</v>
      </c>
      <c r="AG1266" s="84">
        <v>0</v>
      </c>
      <c r="AJ1266" s="84">
        <v>0</v>
      </c>
      <c r="AR1266" s="85">
        <v>43685</v>
      </c>
      <c r="AS1266" s="84">
        <v>6001701746</v>
      </c>
      <c r="AT1266" s="85">
        <v>43685</v>
      </c>
      <c r="AU1266" s="84" t="s">
        <v>3432</v>
      </c>
      <c r="AV1266" s="85">
        <v>43696</v>
      </c>
      <c r="AW1266" s="123">
        <v>43708</v>
      </c>
      <c r="AX1266" s="123">
        <v>43728</v>
      </c>
      <c r="AY1266" s="132">
        <v>63360</v>
      </c>
      <c r="AZ1266" s="132">
        <v>68429</v>
      </c>
      <c r="BC1266" s="88">
        <v>0</v>
      </c>
      <c r="BG1266" s="88">
        <v>0</v>
      </c>
      <c r="BK1266" s="88">
        <v>0</v>
      </c>
      <c r="BS1266" s="88">
        <v>0</v>
      </c>
      <c r="BV1266" s="89">
        <v>71280</v>
      </c>
      <c r="BW1266" s="89">
        <v>0</v>
      </c>
      <c r="BX1266" s="89">
        <v>43679</v>
      </c>
      <c r="BY1266" s="89">
        <v>71280</v>
      </c>
      <c r="BZ1266" s="112">
        <v>100</v>
      </c>
      <c r="CK1266" s="88">
        <v>0</v>
      </c>
    </row>
    <row r="1267" spans="1:89" x14ac:dyDescent="0.15">
      <c r="A1267" s="84">
        <v>2</v>
      </c>
      <c r="B1267" s="85">
        <v>43720</v>
      </c>
      <c r="C1267" s="85">
        <v>43738</v>
      </c>
      <c r="D1267" s="85">
        <v>43796</v>
      </c>
      <c r="E1267" s="85">
        <v>43735</v>
      </c>
      <c r="F1267" s="85">
        <v>43742</v>
      </c>
      <c r="G1267" s="85">
        <v>43735</v>
      </c>
      <c r="H1267" s="85">
        <v>43738</v>
      </c>
      <c r="I1267" s="84" t="s">
        <v>401</v>
      </c>
      <c r="J1267" s="84">
        <v>1</v>
      </c>
      <c r="L1267" s="84">
        <v>0</v>
      </c>
      <c r="M1267" s="85">
        <v>43679</v>
      </c>
      <c r="N1267" s="85" t="s">
        <v>265</v>
      </c>
      <c r="O1267" s="86" t="s">
        <v>340</v>
      </c>
      <c r="P1267" s="84" t="s">
        <v>26</v>
      </c>
      <c r="Q1267" s="86" t="s">
        <v>120</v>
      </c>
      <c r="R1267" s="86" t="s">
        <v>3682</v>
      </c>
      <c r="S1267" s="87" t="s">
        <v>1171</v>
      </c>
      <c r="T1267" s="87" t="s">
        <v>1121</v>
      </c>
      <c r="U1267" s="88">
        <v>136000</v>
      </c>
      <c r="V1267" s="88">
        <v>146880</v>
      </c>
      <c r="W1267" s="88">
        <v>83000</v>
      </c>
      <c r="X1267" s="88">
        <v>89640</v>
      </c>
      <c r="Y1267" s="88">
        <v>53000</v>
      </c>
      <c r="Z1267" s="88">
        <v>57240</v>
      </c>
      <c r="AA1267" s="85">
        <v>43734</v>
      </c>
      <c r="AB1267" s="85">
        <v>43735</v>
      </c>
      <c r="AC1267" s="85">
        <v>43735</v>
      </c>
      <c r="AD1267" s="84">
        <v>0</v>
      </c>
      <c r="AG1267" s="84">
        <v>0</v>
      </c>
      <c r="AJ1267" s="84">
        <v>0</v>
      </c>
      <c r="AN1267" s="84" t="s">
        <v>338</v>
      </c>
      <c r="AR1267" s="85">
        <v>43684</v>
      </c>
      <c r="AS1267" s="84">
        <v>6001701363</v>
      </c>
      <c r="AT1267" s="85">
        <v>43684</v>
      </c>
      <c r="AU1267" s="84" t="s">
        <v>3421</v>
      </c>
      <c r="AV1267" s="85">
        <v>43738</v>
      </c>
      <c r="AW1267" s="123">
        <v>43738</v>
      </c>
      <c r="AX1267" s="123">
        <v>43758</v>
      </c>
      <c r="AY1267" s="132">
        <v>130560</v>
      </c>
      <c r="AZ1267" s="132">
        <v>141005</v>
      </c>
      <c r="BA1267" s="84" t="s">
        <v>287</v>
      </c>
      <c r="BB1267" s="88">
        <v>42000</v>
      </c>
      <c r="BC1267" s="88">
        <v>45360</v>
      </c>
      <c r="BD1267" s="84" t="s">
        <v>3431</v>
      </c>
      <c r="BG1267" s="88">
        <v>0</v>
      </c>
      <c r="BI1267" s="84" t="s">
        <v>1497</v>
      </c>
      <c r="BK1267" s="88">
        <v>0</v>
      </c>
      <c r="BS1267" s="88">
        <v>0</v>
      </c>
      <c r="BV1267" s="89">
        <v>89640</v>
      </c>
      <c r="BW1267" s="89">
        <v>45360</v>
      </c>
      <c r="BX1267" s="89">
        <v>43679</v>
      </c>
      <c r="BY1267" s="89">
        <v>44280</v>
      </c>
      <c r="BZ1267" s="112">
        <v>49.397590361445779</v>
      </c>
      <c r="CK1267" s="88">
        <v>0</v>
      </c>
    </row>
    <row r="1268" spans="1:89" x14ac:dyDescent="0.15">
      <c r="A1268" s="84">
        <v>2</v>
      </c>
      <c r="B1268" s="85">
        <v>43704</v>
      </c>
      <c r="C1268" s="85">
        <v>43711</v>
      </c>
      <c r="D1268" s="85" t="s">
        <v>374</v>
      </c>
      <c r="E1268" s="85">
        <v>43741</v>
      </c>
      <c r="F1268" s="85">
        <v>43718</v>
      </c>
      <c r="G1268" s="85">
        <v>43712</v>
      </c>
      <c r="H1268" s="85">
        <v>43714</v>
      </c>
      <c r="I1268" s="84" t="s">
        <v>1191</v>
      </c>
      <c r="J1268" s="84">
        <v>1</v>
      </c>
      <c r="L1268" s="84">
        <v>0</v>
      </c>
      <c r="M1268" s="85">
        <v>43679</v>
      </c>
      <c r="N1268" s="85" t="s">
        <v>265</v>
      </c>
      <c r="O1268" s="86" t="s">
        <v>340</v>
      </c>
      <c r="P1268" s="84" t="s">
        <v>26</v>
      </c>
      <c r="Q1268" s="86" t="s">
        <v>120</v>
      </c>
      <c r="R1268" s="86" t="s">
        <v>3527</v>
      </c>
      <c r="S1268" s="87" t="s">
        <v>1626</v>
      </c>
      <c r="T1268" s="87" t="s">
        <v>794</v>
      </c>
      <c r="U1268" s="88">
        <v>23900</v>
      </c>
      <c r="V1268" s="88">
        <v>25812</v>
      </c>
      <c r="W1268" s="88">
        <v>14700</v>
      </c>
      <c r="X1268" s="88">
        <v>15876</v>
      </c>
      <c r="Y1268" s="88">
        <v>9200</v>
      </c>
      <c r="Z1268" s="88">
        <v>9936</v>
      </c>
      <c r="AA1268" s="85">
        <v>43709</v>
      </c>
      <c r="AB1268" s="85">
        <v>43711</v>
      </c>
      <c r="AC1268" s="85">
        <v>43711</v>
      </c>
      <c r="AD1268" s="84">
        <v>0</v>
      </c>
      <c r="AG1268" s="84">
        <v>0</v>
      </c>
      <c r="AJ1268" s="84">
        <v>0</v>
      </c>
      <c r="AM1268" s="84" t="s">
        <v>290</v>
      </c>
      <c r="AN1268" s="84" t="s">
        <v>3528</v>
      </c>
      <c r="AR1268" s="85">
        <v>43698</v>
      </c>
      <c r="AS1268" s="84">
        <v>6001704000</v>
      </c>
      <c r="AT1268" s="85">
        <v>43698</v>
      </c>
      <c r="AU1268" s="84" t="s">
        <v>3492</v>
      </c>
      <c r="AV1268" s="85">
        <v>43711</v>
      </c>
      <c r="AW1268" s="123">
        <v>43738</v>
      </c>
      <c r="AX1268" s="123">
        <v>43758</v>
      </c>
      <c r="AY1268" s="132">
        <v>22944</v>
      </c>
      <c r="AZ1268" s="132">
        <v>24780</v>
      </c>
      <c r="BA1268" s="84" t="s">
        <v>778</v>
      </c>
      <c r="BC1268" s="88">
        <v>0</v>
      </c>
      <c r="BG1268" s="88">
        <v>0</v>
      </c>
      <c r="BI1268" s="84" t="s">
        <v>434</v>
      </c>
      <c r="BJ1268" s="88">
        <v>5980</v>
      </c>
      <c r="BK1268" s="88">
        <v>6458.4</v>
      </c>
      <c r="BL1268" s="84" t="s">
        <v>3431</v>
      </c>
      <c r="BS1268" s="88">
        <v>0</v>
      </c>
      <c r="BV1268" s="89">
        <v>15876</v>
      </c>
      <c r="BW1268" s="89">
        <v>6458.4</v>
      </c>
      <c r="BX1268" s="89">
        <v>43679</v>
      </c>
      <c r="BY1268" s="89">
        <v>9417.6</v>
      </c>
      <c r="BZ1268" s="112">
        <v>59.319727891156461</v>
      </c>
      <c r="CK1268" s="88">
        <v>0</v>
      </c>
    </row>
    <row r="1269" spans="1:89" s="151" customFormat="1" x14ac:dyDescent="0.15">
      <c r="A1269" s="141">
        <v>3</v>
      </c>
      <c r="B1269" s="142"/>
      <c r="C1269" s="142" t="s">
        <v>338</v>
      </c>
      <c r="D1269" s="142"/>
      <c r="E1269" s="142"/>
      <c r="F1269" s="142" t="s">
        <v>338</v>
      </c>
      <c r="G1269" s="142"/>
      <c r="H1269" s="142" t="s">
        <v>338</v>
      </c>
      <c r="I1269" s="141"/>
      <c r="J1269" s="141">
        <v>2</v>
      </c>
      <c r="K1269" s="142"/>
      <c r="L1269" s="141">
        <v>0</v>
      </c>
      <c r="M1269" s="142">
        <v>43679</v>
      </c>
      <c r="N1269" s="142" t="s">
        <v>265</v>
      </c>
      <c r="O1269" s="143" t="s">
        <v>340</v>
      </c>
      <c r="P1269" s="141" t="s">
        <v>26</v>
      </c>
      <c r="Q1269" s="143" t="s">
        <v>120</v>
      </c>
      <c r="R1269" s="143" t="s">
        <v>3934</v>
      </c>
      <c r="S1269" s="144" t="s">
        <v>997</v>
      </c>
      <c r="T1269" s="144" t="s">
        <v>455</v>
      </c>
      <c r="U1269" s="145">
        <v>91500</v>
      </c>
      <c r="V1269" s="145">
        <v>98820</v>
      </c>
      <c r="W1269" s="145">
        <v>91500</v>
      </c>
      <c r="X1269" s="145">
        <v>98820</v>
      </c>
      <c r="Y1269" s="145"/>
      <c r="Z1269" s="145">
        <v>0</v>
      </c>
      <c r="AA1269" s="142">
        <v>43737</v>
      </c>
      <c r="AB1269" s="142">
        <v>43740</v>
      </c>
      <c r="AC1269" s="142"/>
      <c r="AD1269" s="141">
        <v>0</v>
      </c>
      <c r="AE1269" s="141"/>
      <c r="AF1269" s="141"/>
      <c r="AG1269" s="141">
        <v>0</v>
      </c>
      <c r="AH1269" s="141"/>
      <c r="AI1269" s="141"/>
      <c r="AJ1269" s="141">
        <v>0</v>
      </c>
      <c r="AK1269" s="141"/>
      <c r="AL1269" s="141"/>
      <c r="AM1269" s="141" t="s">
        <v>290</v>
      </c>
      <c r="AN1269" s="141" t="s">
        <v>3935</v>
      </c>
      <c r="AO1269" s="142"/>
      <c r="AP1269" s="141"/>
      <c r="AQ1269" s="141"/>
      <c r="AR1269" s="142"/>
      <c r="AS1269" s="141"/>
      <c r="AT1269" s="142"/>
      <c r="AU1269" s="141"/>
      <c r="AV1269" s="142"/>
      <c r="AW1269" s="146"/>
      <c r="AX1269" s="146"/>
      <c r="AY1269" s="147">
        <v>87840</v>
      </c>
      <c r="AZ1269" s="147">
        <f>ROUNDDOWN(AY1269+(AY1269*MASTER!$A$2/100),0)</f>
        <v>94867</v>
      </c>
      <c r="BA1269" s="141"/>
      <c r="BB1269" s="145"/>
      <c r="BC1269" s="145">
        <v>0</v>
      </c>
      <c r="BD1269" s="141"/>
      <c r="BE1269" s="141"/>
      <c r="BF1269" s="145"/>
      <c r="BG1269" s="145">
        <v>0</v>
      </c>
      <c r="BH1269" s="141"/>
      <c r="BI1269" s="141"/>
      <c r="BJ1269" s="145"/>
      <c r="BK1269" s="145">
        <v>0</v>
      </c>
      <c r="BL1269" s="141"/>
      <c r="BM1269" s="145"/>
      <c r="BN1269" s="145"/>
      <c r="BO1269" s="145"/>
      <c r="BP1269" s="145"/>
      <c r="BQ1269" s="145"/>
      <c r="BR1269" s="145"/>
      <c r="BS1269" s="145">
        <v>0</v>
      </c>
      <c r="BT1269" s="148"/>
      <c r="BU1269" s="148"/>
      <c r="BV1269" s="149">
        <v>98820</v>
      </c>
      <c r="BW1269" s="149">
        <v>0</v>
      </c>
      <c r="BX1269" s="149">
        <v>43679</v>
      </c>
      <c r="BY1269" s="149">
        <v>98820</v>
      </c>
      <c r="BZ1269" s="150">
        <v>100</v>
      </c>
      <c r="CA1269" s="141"/>
      <c r="CB1269" s="141"/>
      <c r="CC1269" s="141"/>
      <c r="CD1269" s="144" t="s">
        <v>3938</v>
      </c>
      <c r="CE1269" s="142"/>
      <c r="CF1269" s="142"/>
      <c r="CG1269" s="142"/>
      <c r="CH1269" s="142"/>
      <c r="CI1269" s="142"/>
      <c r="CJ1269" s="142"/>
      <c r="CK1269" s="145">
        <v>0</v>
      </c>
    </row>
    <row r="1270" spans="1:89" x14ac:dyDescent="0.15">
      <c r="A1270" s="84">
        <v>2</v>
      </c>
      <c r="B1270" s="85">
        <v>43697</v>
      </c>
      <c r="C1270" s="85">
        <v>43698</v>
      </c>
      <c r="D1270" s="85">
        <v>43706</v>
      </c>
      <c r="E1270" s="85">
        <v>43741</v>
      </c>
      <c r="F1270" s="85">
        <v>43705</v>
      </c>
      <c r="G1270" s="85">
        <v>43699</v>
      </c>
      <c r="H1270" s="85">
        <v>43701</v>
      </c>
      <c r="I1270" s="84" t="s">
        <v>1191</v>
      </c>
      <c r="J1270" s="84">
        <v>1</v>
      </c>
      <c r="L1270" s="84">
        <v>0</v>
      </c>
      <c r="M1270" s="85">
        <v>43679</v>
      </c>
      <c r="N1270" s="85" t="s">
        <v>265</v>
      </c>
      <c r="O1270" s="86" t="s">
        <v>340</v>
      </c>
      <c r="P1270" s="84" t="s">
        <v>26</v>
      </c>
      <c r="Q1270" s="86" t="s">
        <v>120</v>
      </c>
      <c r="R1270" s="86" t="s">
        <v>3476</v>
      </c>
      <c r="S1270" s="87" t="s">
        <v>2878</v>
      </c>
      <c r="T1270" s="87" t="s">
        <v>1371</v>
      </c>
      <c r="U1270" s="88">
        <v>59000</v>
      </c>
      <c r="V1270" s="88">
        <v>63720</v>
      </c>
      <c r="W1270" s="88">
        <v>47000</v>
      </c>
      <c r="X1270" s="88">
        <v>50760</v>
      </c>
      <c r="Y1270" s="88">
        <v>12000</v>
      </c>
      <c r="Z1270" s="88">
        <v>12960</v>
      </c>
      <c r="AA1270" s="85">
        <v>43697</v>
      </c>
      <c r="AB1270" s="85">
        <v>43698</v>
      </c>
      <c r="AC1270" s="85">
        <v>43698</v>
      </c>
      <c r="AD1270" s="84">
        <v>0</v>
      </c>
      <c r="AG1270" s="84">
        <v>0</v>
      </c>
      <c r="AJ1270" s="84">
        <v>0</v>
      </c>
      <c r="AM1270" s="84" t="s">
        <v>290</v>
      </c>
      <c r="AN1270" s="84" t="s">
        <v>3477</v>
      </c>
      <c r="AR1270" s="85">
        <v>43696</v>
      </c>
      <c r="AS1270" s="84">
        <v>6001703039</v>
      </c>
      <c r="AT1270" s="85">
        <v>43696</v>
      </c>
      <c r="AU1270" s="84" t="s">
        <v>3464</v>
      </c>
      <c r="AV1270" s="85">
        <v>43698</v>
      </c>
      <c r="AW1270" s="123">
        <v>43708</v>
      </c>
      <c r="AX1270" s="123">
        <v>43728</v>
      </c>
      <c r="AY1270" s="132">
        <v>56640</v>
      </c>
      <c r="AZ1270" s="132">
        <f>ROUNDDOWN(AY1270+(AY1270*MASTER!$A$2/100),0)</f>
        <v>61171</v>
      </c>
      <c r="BA1270" s="84" t="s">
        <v>287</v>
      </c>
      <c r="BB1270" s="88">
        <v>21000</v>
      </c>
      <c r="BC1270" s="88">
        <v>22680</v>
      </c>
      <c r="BD1270" s="84" t="s">
        <v>2849</v>
      </c>
      <c r="BG1270" s="88">
        <v>0</v>
      </c>
      <c r="BI1270" s="84" t="s">
        <v>434</v>
      </c>
      <c r="BJ1270" s="88">
        <v>7800</v>
      </c>
      <c r="BK1270" s="88">
        <v>8424</v>
      </c>
      <c r="BL1270" s="84" t="s">
        <v>3431</v>
      </c>
      <c r="BS1270" s="88">
        <v>0</v>
      </c>
      <c r="BV1270" s="89">
        <v>50760</v>
      </c>
      <c r="BW1270" s="89">
        <v>31104</v>
      </c>
      <c r="BX1270" s="89">
        <v>43679</v>
      </c>
      <c r="BY1270" s="89">
        <v>19656</v>
      </c>
      <c r="BZ1270" s="112">
        <v>38.723404255319153</v>
      </c>
      <c r="CK1270" s="88">
        <v>0</v>
      </c>
    </row>
    <row r="1271" spans="1:89" x14ac:dyDescent="0.15">
      <c r="A1271" s="84">
        <v>2</v>
      </c>
      <c r="B1271" s="85">
        <v>43717</v>
      </c>
      <c r="C1271" s="85">
        <v>43727</v>
      </c>
      <c r="E1271" s="85">
        <v>43741</v>
      </c>
      <c r="F1271" s="85">
        <v>43734</v>
      </c>
      <c r="G1271" s="85">
        <v>43733</v>
      </c>
      <c r="H1271" s="85">
        <v>43730</v>
      </c>
      <c r="I1271" s="84" t="s">
        <v>1191</v>
      </c>
      <c r="J1271" s="84">
        <v>1</v>
      </c>
      <c r="L1271" s="84">
        <v>0</v>
      </c>
      <c r="M1271" s="85">
        <v>43679</v>
      </c>
      <c r="N1271" s="85" t="s">
        <v>265</v>
      </c>
      <c r="O1271" s="86" t="s">
        <v>340</v>
      </c>
      <c r="P1271" s="84" t="s">
        <v>26</v>
      </c>
      <c r="Q1271" s="86" t="s">
        <v>120</v>
      </c>
      <c r="R1271" s="86" t="s">
        <v>3642</v>
      </c>
      <c r="S1271" s="87" t="s">
        <v>1662</v>
      </c>
      <c r="T1271" s="87" t="s">
        <v>1932</v>
      </c>
      <c r="U1271" s="88">
        <v>67000</v>
      </c>
      <c r="V1271" s="88">
        <v>72360</v>
      </c>
      <c r="W1271" s="88">
        <v>47000</v>
      </c>
      <c r="X1271" s="88">
        <v>50760</v>
      </c>
      <c r="Y1271" s="88">
        <v>20000</v>
      </c>
      <c r="Z1271" s="88">
        <v>21600</v>
      </c>
      <c r="AA1271" s="85">
        <v>43725</v>
      </c>
      <c r="AB1271" s="85">
        <v>43727</v>
      </c>
      <c r="AC1271" s="85">
        <v>43727</v>
      </c>
      <c r="AD1271" s="84">
        <v>0</v>
      </c>
      <c r="AG1271" s="84">
        <v>0</v>
      </c>
      <c r="AJ1271" s="84">
        <v>0</v>
      </c>
      <c r="AM1271" s="84" t="s">
        <v>290</v>
      </c>
      <c r="AN1271" s="84" t="s">
        <v>3643</v>
      </c>
      <c r="AR1271" s="85">
        <v>43700</v>
      </c>
      <c r="AS1271" s="84">
        <v>6001705161</v>
      </c>
      <c r="AT1271" s="85">
        <v>43700</v>
      </c>
      <c r="AU1271" s="84" t="s">
        <v>3507</v>
      </c>
      <c r="AV1271" s="85">
        <v>43727</v>
      </c>
      <c r="AW1271" s="123">
        <v>43738</v>
      </c>
      <c r="AX1271" s="123">
        <v>43758</v>
      </c>
      <c r="AY1271" s="132">
        <v>64320</v>
      </c>
      <c r="AZ1271" s="132">
        <v>69466</v>
      </c>
      <c r="BA1271" s="84" t="s">
        <v>778</v>
      </c>
      <c r="BC1271" s="88">
        <v>0</v>
      </c>
      <c r="BG1271" s="88">
        <v>0</v>
      </c>
      <c r="BI1271" s="84" t="s">
        <v>434</v>
      </c>
      <c r="BJ1271" s="88">
        <v>13000</v>
      </c>
      <c r="BK1271" s="88">
        <v>14040</v>
      </c>
      <c r="BL1271" s="84" t="s">
        <v>3431</v>
      </c>
      <c r="BS1271" s="88">
        <v>0</v>
      </c>
      <c r="BV1271" s="89">
        <v>50760</v>
      </c>
      <c r="BW1271" s="89">
        <v>14040</v>
      </c>
      <c r="BX1271" s="89">
        <v>43679</v>
      </c>
      <c r="BY1271" s="89">
        <v>36720</v>
      </c>
      <c r="BZ1271" s="112">
        <v>72.340425531914903</v>
      </c>
      <c r="CK1271" s="88">
        <v>0</v>
      </c>
    </row>
    <row r="1272" spans="1:89" x14ac:dyDescent="0.15">
      <c r="A1272" s="84">
        <v>2</v>
      </c>
      <c r="B1272" s="85">
        <v>43733</v>
      </c>
      <c r="C1272" s="85">
        <v>43738</v>
      </c>
      <c r="D1272" s="85">
        <v>43738</v>
      </c>
      <c r="E1272" s="85">
        <v>43738</v>
      </c>
      <c r="F1272" s="85" t="s">
        <v>338</v>
      </c>
      <c r="G1272" s="85">
        <v>43738</v>
      </c>
      <c r="H1272" s="85" t="s">
        <v>338</v>
      </c>
      <c r="I1272" s="84" t="s">
        <v>380</v>
      </c>
      <c r="J1272" s="84">
        <v>2</v>
      </c>
      <c r="L1272" s="84">
        <v>0</v>
      </c>
      <c r="M1272" s="85">
        <v>43679</v>
      </c>
      <c r="N1272" s="85" t="s">
        <v>265</v>
      </c>
      <c r="O1272" s="86" t="s">
        <v>340</v>
      </c>
      <c r="P1272" s="84" t="s">
        <v>6</v>
      </c>
      <c r="Q1272" s="86" t="s">
        <v>120</v>
      </c>
      <c r="R1272" s="86" t="s">
        <v>3369</v>
      </c>
      <c r="S1272" s="87" t="s">
        <v>2585</v>
      </c>
      <c r="T1272" s="87" t="s">
        <v>342</v>
      </c>
      <c r="U1272" s="88">
        <v>35000</v>
      </c>
      <c r="V1272" s="88">
        <v>37800</v>
      </c>
      <c r="W1272" s="88">
        <v>35000</v>
      </c>
      <c r="X1272" s="88">
        <v>37800</v>
      </c>
      <c r="Z1272" s="88">
        <v>0</v>
      </c>
      <c r="AA1272" s="85">
        <v>43736</v>
      </c>
      <c r="AB1272" s="85">
        <v>43736</v>
      </c>
      <c r="AD1272" s="84">
        <v>0</v>
      </c>
      <c r="AG1272" s="84">
        <v>0</v>
      </c>
      <c r="AJ1272" s="84">
        <v>0</v>
      </c>
      <c r="AR1272" s="85">
        <v>43728</v>
      </c>
      <c r="AS1272" s="84">
        <v>6001714069</v>
      </c>
      <c r="AT1272" s="85">
        <v>43732</v>
      </c>
      <c r="AU1272" s="84" t="s">
        <v>3771</v>
      </c>
      <c r="AV1272" s="85">
        <v>43738</v>
      </c>
      <c r="AW1272" s="123">
        <v>43738</v>
      </c>
      <c r="AX1272" s="123">
        <v>43758</v>
      </c>
      <c r="AY1272" s="132">
        <v>33600</v>
      </c>
      <c r="AZ1272" s="132">
        <f>ROUNDDOWN(AY1272+(AY1272*MASTER!$A$2/100),0)</f>
        <v>36288</v>
      </c>
      <c r="BA1272" s="84" t="s">
        <v>543</v>
      </c>
      <c r="BB1272" s="88">
        <v>21000</v>
      </c>
      <c r="BC1272" s="88">
        <v>22680</v>
      </c>
      <c r="BD1272" s="84" t="s">
        <v>3431</v>
      </c>
      <c r="BG1272" s="88">
        <v>0</v>
      </c>
      <c r="BK1272" s="88">
        <v>0</v>
      </c>
      <c r="BS1272" s="88">
        <v>0</v>
      </c>
      <c r="BV1272" s="89">
        <v>37800</v>
      </c>
      <c r="BW1272" s="89">
        <v>22680</v>
      </c>
      <c r="BX1272" s="89">
        <v>43679</v>
      </c>
      <c r="BY1272" s="89">
        <v>15120</v>
      </c>
      <c r="BZ1272" s="112">
        <v>40</v>
      </c>
    </row>
    <row r="1273" spans="1:89" x14ac:dyDescent="0.15">
      <c r="A1273" s="84">
        <v>2</v>
      </c>
      <c r="B1273" s="85">
        <v>43738</v>
      </c>
      <c r="C1273" s="85">
        <v>43798</v>
      </c>
      <c r="D1273" s="85">
        <v>43763</v>
      </c>
      <c r="F1273" s="85">
        <v>43763</v>
      </c>
      <c r="G1273" s="85">
        <v>43762</v>
      </c>
      <c r="H1273" s="85">
        <v>43759</v>
      </c>
      <c r="I1273" s="84" t="s">
        <v>401</v>
      </c>
      <c r="J1273" s="84">
        <v>1</v>
      </c>
      <c r="L1273" s="84">
        <v>0</v>
      </c>
      <c r="M1273" s="85">
        <v>43682</v>
      </c>
      <c r="N1273" s="85" t="s">
        <v>265</v>
      </c>
      <c r="O1273" s="86" t="s">
        <v>340</v>
      </c>
      <c r="P1273" s="84" t="s">
        <v>26</v>
      </c>
      <c r="Q1273" s="86" t="s">
        <v>120</v>
      </c>
      <c r="R1273" s="86" t="s">
        <v>3370</v>
      </c>
      <c r="S1273" s="87" t="s">
        <v>1009</v>
      </c>
      <c r="T1273" s="87" t="s">
        <v>889</v>
      </c>
      <c r="U1273" s="88">
        <v>90500</v>
      </c>
      <c r="V1273" s="88">
        <v>97740</v>
      </c>
      <c r="W1273" s="88">
        <v>74500</v>
      </c>
      <c r="X1273" s="88">
        <v>80460</v>
      </c>
      <c r="Y1273" s="88">
        <v>16000</v>
      </c>
      <c r="Z1273" s="88">
        <v>17280</v>
      </c>
      <c r="AA1273" s="85">
        <v>43753</v>
      </c>
      <c r="AB1273" s="85">
        <v>43756</v>
      </c>
      <c r="AC1273" s="85">
        <v>43756</v>
      </c>
      <c r="AD1273" s="84">
        <v>0</v>
      </c>
      <c r="AG1273" s="84">
        <v>0</v>
      </c>
      <c r="AJ1273" s="84">
        <v>0</v>
      </c>
      <c r="AN1273" s="84" t="s">
        <v>338</v>
      </c>
      <c r="AR1273" s="85">
        <v>43684</v>
      </c>
      <c r="AS1273" s="84">
        <v>6001701363</v>
      </c>
      <c r="AT1273" s="85">
        <v>43684</v>
      </c>
      <c r="AU1273" s="84" t="s">
        <v>3421</v>
      </c>
      <c r="AV1273" s="85">
        <v>43798</v>
      </c>
      <c r="AW1273" s="123">
        <v>43769</v>
      </c>
      <c r="AX1273" s="123">
        <v>43789</v>
      </c>
      <c r="AY1273" s="132">
        <v>86880</v>
      </c>
      <c r="AZ1273" s="132">
        <f t="shared" ref="AZ1273:AZ1283" si="7">ROUNDDOWN(AY1273+(AY1273*0.1),0)</f>
        <v>95568</v>
      </c>
      <c r="BA1273" s="84" t="s">
        <v>778</v>
      </c>
      <c r="BC1273" s="88">
        <v>0</v>
      </c>
      <c r="BG1273" s="88">
        <v>0</v>
      </c>
      <c r="BI1273" s="84" t="s">
        <v>434</v>
      </c>
      <c r="BJ1273" s="88">
        <v>10400</v>
      </c>
      <c r="BK1273" s="88">
        <f>ROUNDDOWN(BJ1273+(BJ1273*0.1),0)</f>
        <v>11440</v>
      </c>
      <c r="BL1273" s="84" t="s">
        <v>188</v>
      </c>
      <c r="BS1273" s="88">
        <v>0</v>
      </c>
      <c r="BV1273" s="89">
        <v>80460</v>
      </c>
      <c r="BW1273" s="89">
        <v>11232</v>
      </c>
      <c r="BX1273" s="89">
        <v>43682</v>
      </c>
      <c r="BY1273" s="89">
        <v>69228</v>
      </c>
      <c r="BZ1273" s="112">
        <v>86.040268456375841</v>
      </c>
      <c r="CC1273" s="84">
        <v>2019</v>
      </c>
      <c r="CK1273" s="88">
        <v>0</v>
      </c>
    </row>
    <row r="1274" spans="1:89" x14ac:dyDescent="0.15">
      <c r="A1274" s="84">
        <v>2</v>
      </c>
      <c r="B1274" s="85">
        <v>43844</v>
      </c>
      <c r="C1274" s="85">
        <v>43861</v>
      </c>
      <c r="D1274" s="85">
        <v>43858</v>
      </c>
      <c r="E1274" s="85">
        <v>43859</v>
      </c>
      <c r="F1274" s="85">
        <v>43861</v>
      </c>
      <c r="G1274" s="85">
        <v>43858</v>
      </c>
      <c r="H1274" s="85">
        <v>43857</v>
      </c>
      <c r="I1274" s="84" t="s">
        <v>401</v>
      </c>
      <c r="J1274" s="84">
        <v>1</v>
      </c>
      <c r="L1274" s="84">
        <v>0</v>
      </c>
      <c r="M1274" s="85">
        <v>43682</v>
      </c>
      <c r="N1274" s="85" t="s">
        <v>265</v>
      </c>
      <c r="O1274" s="86" t="s">
        <v>340</v>
      </c>
      <c r="P1274" s="84" t="s">
        <v>26</v>
      </c>
      <c r="Q1274" s="86" t="s">
        <v>120</v>
      </c>
      <c r="R1274" s="86" t="s">
        <v>3963</v>
      </c>
      <c r="S1274" s="87" t="s">
        <v>3406</v>
      </c>
      <c r="T1274" s="87" t="s">
        <v>889</v>
      </c>
      <c r="U1274" s="88">
        <v>90500</v>
      </c>
      <c r="V1274" s="88">
        <v>97740</v>
      </c>
      <c r="W1274" s="88">
        <v>74500</v>
      </c>
      <c r="X1274" s="88">
        <v>80460</v>
      </c>
      <c r="Y1274" s="88">
        <v>16000</v>
      </c>
      <c r="Z1274" s="88">
        <v>17280</v>
      </c>
      <c r="AA1274" s="85">
        <v>43853</v>
      </c>
      <c r="AB1274" s="85">
        <v>43854</v>
      </c>
      <c r="AC1274" s="85">
        <v>43854</v>
      </c>
      <c r="AD1274" s="84">
        <v>0</v>
      </c>
      <c r="AG1274" s="84">
        <v>0</v>
      </c>
      <c r="AJ1274" s="84">
        <v>0</v>
      </c>
      <c r="AN1274" s="84" t="s">
        <v>338</v>
      </c>
      <c r="AR1274" s="85">
        <v>43686</v>
      </c>
      <c r="AS1274" s="84">
        <v>6001702347</v>
      </c>
      <c r="AT1274" s="85">
        <v>43686</v>
      </c>
      <c r="AU1274" s="84" t="s">
        <v>3438</v>
      </c>
      <c r="AV1274" s="85">
        <v>43861</v>
      </c>
      <c r="AW1274" s="123">
        <v>43861</v>
      </c>
      <c r="AX1274" s="123">
        <v>43881</v>
      </c>
      <c r="AY1274" s="132">
        <v>86880</v>
      </c>
      <c r="AZ1274" s="132">
        <f t="shared" si="7"/>
        <v>95568</v>
      </c>
      <c r="BC1274" s="88">
        <v>0</v>
      </c>
      <c r="BG1274" s="88">
        <v>0</v>
      </c>
      <c r="BI1274" s="84" t="s">
        <v>276</v>
      </c>
      <c r="BJ1274" s="88">
        <v>10400</v>
      </c>
      <c r="BK1274" s="88">
        <v>11232</v>
      </c>
      <c r="BL1274" s="84" t="s">
        <v>1233</v>
      </c>
      <c r="BS1274" s="88">
        <v>0</v>
      </c>
      <c r="BV1274" s="89">
        <v>80460</v>
      </c>
      <c r="BW1274" s="89">
        <v>11232</v>
      </c>
      <c r="BX1274" s="89">
        <v>43682</v>
      </c>
      <c r="BY1274" s="89">
        <v>69228</v>
      </c>
      <c r="BZ1274" s="112">
        <v>86.040268456375841</v>
      </c>
      <c r="CK1274" s="88">
        <v>0</v>
      </c>
    </row>
    <row r="1275" spans="1:89" x14ac:dyDescent="0.15">
      <c r="A1275" s="84">
        <v>2</v>
      </c>
      <c r="B1275" s="85">
        <v>43774</v>
      </c>
      <c r="C1275" s="85">
        <v>43798</v>
      </c>
      <c r="E1275" s="85">
        <v>43788</v>
      </c>
      <c r="F1275" s="85">
        <v>43791</v>
      </c>
      <c r="G1275" s="85">
        <v>43787</v>
      </c>
      <c r="H1275" s="85">
        <v>43787</v>
      </c>
      <c r="I1275" s="84" t="s">
        <v>401</v>
      </c>
      <c r="J1275" s="84">
        <v>1</v>
      </c>
      <c r="L1275" s="84">
        <v>0</v>
      </c>
      <c r="M1275" s="85">
        <v>43682</v>
      </c>
      <c r="N1275" s="85" t="s">
        <v>265</v>
      </c>
      <c r="O1275" s="86" t="s">
        <v>340</v>
      </c>
      <c r="P1275" s="84" t="s">
        <v>26</v>
      </c>
      <c r="Q1275" s="86" t="s">
        <v>120</v>
      </c>
      <c r="R1275" s="86" t="s">
        <v>3371</v>
      </c>
      <c r="S1275" s="87" t="s">
        <v>635</v>
      </c>
      <c r="T1275" s="87" t="s">
        <v>889</v>
      </c>
      <c r="U1275" s="88">
        <v>90500</v>
      </c>
      <c r="V1275" s="88">
        <v>97740</v>
      </c>
      <c r="W1275" s="88">
        <v>74500</v>
      </c>
      <c r="X1275" s="88">
        <v>80460</v>
      </c>
      <c r="Y1275" s="88">
        <v>16000</v>
      </c>
      <c r="Z1275" s="88">
        <v>17280</v>
      </c>
      <c r="AA1275" s="85">
        <v>43783</v>
      </c>
      <c r="AB1275" s="85">
        <v>43784</v>
      </c>
      <c r="AC1275" s="85">
        <v>43784</v>
      </c>
      <c r="AD1275" s="84">
        <v>0</v>
      </c>
      <c r="AG1275" s="84">
        <v>0</v>
      </c>
      <c r="AJ1275" s="84">
        <v>0</v>
      </c>
      <c r="AR1275" s="85">
        <v>43684</v>
      </c>
      <c r="AS1275" s="84">
        <v>6001701363</v>
      </c>
      <c r="AT1275" s="85">
        <v>43684</v>
      </c>
      <c r="AU1275" s="84" t="s">
        <v>3421</v>
      </c>
      <c r="AV1275" s="85">
        <v>43798</v>
      </c>
      <c r="AW1275" s="123">
        <v>43799</v>
      </c>
      <c r="AX1275" s="123">
        <v>43819</v>
      </c>
      <c r="AY1275" s="132">
        <v>86880</v>
      </c>
      <c r="AZ1275" s="132">
        <f t="shared" si="7"/>
        <v>95568</v>
      </c>
      <c r="BA1275" s="84" t="s">
        <v>778</v>
      </c>
      <c r="BC1275" s="88">
        <v>0</v>
      </c>
      <c r="BG1275" s="88">
        <v>0</v>
      </c>
      <c r="BI1275" s="84" t="s">
        <v>276</v>
      </c>
      <c r="BJ1275" s="88">
        <v>10400</v>
      </c>
      <c r="BK1275" s="88">
        <f>ROUNDDOWN(BJ1275+(BJ1275*0.1),0)</f>
        <v>11440</v>
      </c>
      <c r="BL1275" s="84" t="s">
        <v>677</v>
      </c>
      <c r="BS1275" s="88">
        <v>0</v>
      </c>
      <c r="BV1275" s="89">
        <v>80460</v>
      </c>
      <c r="BW1275" s="89">
        <v>11232</v>
      </c>
      <c r="BX1275" s="89">
        <v>43682</v>
      </c>
      <c r="BY1275" s="89">
        <v>69228</v>
      </c>
      <c r="BZ1275" s="112">
        <v>86.040268456375841</v>
      </c>
      <c r="CC1275" s="84">
        <v>2019</v>
      </c>
      <c r="CK1275" s="88">
        <v>0</v>
      </c>
    </row>
    <row r="1276" spans="1:89" x14ac:dyDescent="0.15">
      <c r="A1276" s="84">
        <v>2</v>
      </c>
      <c r="B1276" s="85">
        <v>43787</v>
      </c>
      <c r="C1276" s="85">
        <v>43798</v>
      </c>
      <c r="D1276" s="85">
        <v>43808</v>
      </c>
      <c r="E1276" s="85">
        <v>43808</v>
      </c>
      <c r="F1276" s="85">
        <v>43805</v>
      </c>
      <c r="G1276" s="85">
        <v>43801</v>
      </c>
      <c r="H1276" s="85">
        <v>43801</v>
      </c>
      <c r="I1276" s="84" t="s">
        <v>401</v>
      </c>
      <c r="J1276" s="84">
        <v>1</v>
      </c>
      <c r="L1276" s="84">
        <v>0</v>
      </c>
      <c r="M1276" s="85">
        <v>43682</v>
      </c>
      <c r="N1276" s="85" t="s">
        <v>265</v>
      </c>
      <c r="O1276" s="86" t="s">
        <v>340</v>
      </c>
      <c r="P1276" s="84" t="s">
        <v>26</v>
      </c>
      <c r="Q1276" s="86" t="s">
        <v>120</v>
      </c>
      <c r="R1276" s="86" t="s">
        <v>3372</v>
      </c>
      <c r="S1276" s="87" t="s">
        <v>3398</v>
      </c>
      <c r="T1276" s="87" t="s">
        <v>889</v>
      </c>
      <c r="U1276" s="88">
        <v>90500</v>
      </c>
      <c r="V1276" s="88">
        <v>97740</v>
      </c>
      <c r="W1276" s="88">
        <v>74500</v>
      </c>
      <c r="X1276" s="88">
        <v>80460</v>
      </c>
      <c r="Y1276" s="88">
        <v>16000</v>
      </c>
      <c r="Z1276" s="88">
        <v>17280</v>
      </c>
      <c r="AA1276" s="85">
        <v>43795</v>
      </c>
      <c r="AB1276" s="85">
        <v>43798</v>
      </c>
      <c r="AC1276" s="85">
        <v>43798</v>
      </c>
      <c r="AD1276" s="84">
        <v>0</v>
      </c>
      <c r="AG1276" s="84">
        <v>0</v>
      </c>
      <c r="AJ1276" s="84">
        <v>0</v>
      </c>
      <c r="AR1276" s="85">
        <v>43686</v>
      </c>
      <c r="AS1276" s="84">
        <v>6001702347</v>
      </c>
      <c r="AT1276" s="85">
        <v>43686</v>
      </c>
      <c r="AU1276" s="84" t="s">
        <v>3438</v>
      </c>
      <c r="AV1276" s="85">
        <v>43798</v>
      </c>
      <c r="AW1276" s="123">
        <v>43799</v>
      </c>
      <c r="AX1276" s="123">
        <v>43819</v>
      </c>
      <c r="AY1276" s="132">
        <v>86880</v>
      </c>
      <c r="AZ1276" s="132">
        <f t="shared" si="7"/>
        <v>95568</v>
      </c>
      <c r="BA1276" s="84" t="s">
        <v>778</v>
      </c>
      <c r="BC1276" s="88">
        <v>0</v>
      </c>
      <c r="BG1276" s="88">
        <v>0</v>
      </c>
      <c r="BI1276" s="84" t="s">
        <v>276</v>
      </c>
      <c r="BJ1276" s="88">
        <v>10400</v>
      </c>
      <c r="BK1276" s="88">
        <f>ROUNDDOWN(BJ1276+(BJ1276*0.1),0)</f>
        <v>11440</v>
      </c>
      <c r="BL1276" s="84" t="s">
        <v>863</v>
      </c>
      <c r="BS1276" s="88">
        <v>0</v>
      </c>
      <c r="BV1276" s="89">
        <v>80460</v>
      </c>
      <c r="BW1276" s="89">
        <v>11232</v>
      </c>
      <c r="BX1276" s="89">
        <v>43682</v>
      </c>
      <c r="BY1276" s="89">
        <v>69228</v>
      </c>
      <c r="BZ1276" s="112">
        <v>86.040268456375841</v>
      </c>
      <c r="CC1276" s="84">
        <v>2019</v>
      </c>
      <c r="CK1276" s="88">
        <v>0</v>
      </c>
    </row>
    <row r="1277" spans="1:89" x14ac:dyDescent="0.15">
      <c r="A1277" s="84">
        <v>2</v>
      </c>
      <c r="B1277" s="85">
        <v>43735</v>
      </c>
      <c r="C1277" s="85">
        <v>43769</v>
      </c>
      <c r="D1277" s="85">
        <v>43754</v>
      </c>
      <c r="F1277" s="85">
        <v>43754</v>
      </c>
      <c r="G1277" s="85">
        <v>43754</v>
      </c>
      <c r="H1277" s="85">
        <v>43750</v>
      </c>
      <c r="I1277" s="84" t="s">
        <v>401</v>
      </c>
      <c r="J1277" s="84">
        <v>1</v>
      </c>
      <c r="L1277" s="84">
        <v>0</v>
      </c>
      <c r="M1277" s="85">
        <v>43682</v>
      </c>
      <c r="N1277" s="85" t="s">
        <v>265</v>
      </c>
      <c r="O1277" s="86" t="s">
        <v>340</v>
      </c>
      <c r="P1277" s="84" t="s">
        <v>26</v>
      </c>
      <c r="Q1277" s="86" t="s">
        <v>120</v>
      </c>
      <c r="R1277" s="86" t="s">
        <v>3373</v>
      </c>
      <c r="S1277" s="87" t="s">
        <v>1900</v>
      </c>
      <c r="T1277" s="87" t="s">
        <v>889</v>
      </c>
      <c r="U1277" s="88">
        <v>90500</v>
      </c>
      <c r="V1277" s="88">
        <v>97740</v>
      </c>
      <c r="W1277" s="88">
        <v>74500</v>
      </c>
      <c r="X1277" s="88">
        <v>80460</v>
      </c>
      <c r="Y1277" s="88">
        <v>16000</v>
      </c>
      <c r="Z1277" s="88">
        <v>17280</v>
      </c>
      <c r="AA1277" s="85">
        <v>43745</v>
      </c>
      <c r="AB1277" s="85">
        <v>43747</v>
      </c>
      <c r="AC1277" s="85">
        <v>43747</v>
      </c>
      <c r="AD1277" s="84">
        <v>0</v>
      </c>
      <c r="AG1277" s="84">
        <v>0</v>
      </c>
      <c r="AJ1277" s="84">
        <v>0</v>
      </c>
      <c r="AR1277" s="85">
        <v>43684</v>
      </c>
      <c r="AS1277" s="84">
        <v>6001701363</v>
      </c>
      <c r="AT1277" s="85">
        <v>43684</v>
      </c>
      <c r="AU1277" s="84" t="s">
        <v>3421</v>
      </c>
      <c r="AV1277" s="85">
        <v>43769</v>
      </c>
      <c r="AW1277" s="123">
        <v>43769</v>
      </c>
      <c r="AX1277" s="123">
        <v>43789</v>
      </c>
      <c r="AY1277" s="132">
        <v>86880</v>
      </c>
      <c r="AZ1277" s="132">
        <f t="shared" si="7"/>
        <v>95568</v>
      </c>
      <c r="BA1277" s="84" t="s">
        <v>778</v>
      </c>
      <c r="BC1277" s="88">
        <v>0</v>
      </c>
      <c r="BG1277" s="88">
        <v>0</v>
      </c>
      <c r="BI1277" s="84" t="s">
        <v>276</v>
      </c>
      <c r="BJ1277" s="88">
        <v>10400</v>
      </c>
      <c r="BK1277" s="88">
        <f>ROUNDDOWN(BJ1277+(BJ1277*0.1),0)</f>
        <v>11440</v>
      </c>
      <c r="BL1277" s="84" t="s">
        <v>430</v>
      </c>
      <c r="BS1277" s="88">
        <v>0</v>
      </c>
      <c r="BV1277" s="89">
        <v>80460</v>
      </c>
      <c r="BW1277" s="89">
        <v>11232</v>
      </c>
      <c r="BX1277" s="89">
        <v>43682</v>
      </c>
      <c r="BY1277" s="89">
        <v>69228</v>
      </c>
      <c r="BZ1277" s="112">
        <v>86.040268456375841</v>
      </c>
      <c r="CC1277" s="84">
        <v>2019</v>
      </c>
      <c r="CK1277" s="88">
        <v>0</v>
      </c>
    </row>
    <row r="1278" spans="1:89" x14ac:dyDescent="0.15">
      <c r="A1278" s="84">
        <v>2</v>
      </c>
      <c r="B1278" s="85">
        <v>43735</v>
      </c>
      <c r="C1278" s="85">
        <v>43769</v>
      </c>
      <c r="D1278" s="85">
        <v>43766</v>
      </c>
      <c r="E1278" s="85">
        <v>43754</v>
      </c>
      <c r="F1278" s="85">
        <v>43754</v>
      </c>
      <c r="G1278" s="85">
        <v>43754</v>
      </c>
      <c r="H1278" s="85">
        <v>43750</v>
      </c>
      <c r="I1278" s="84" t="s">
        <v>401</v>
      </c>
      <c r="J1278" s="84">
        <v>1</v>
      </c>
      <c r="L1278" s="84">
        <v>0</v>
      </c>
      <c r="M1278" s="85">
        <v>43682</v>
      </c>
      <c r="N1278" s="85" t="s">
        <v>265</v>
      </c>
      <c r="O1278" s="86" t="s">
        <v>340</v>
      </c>
      <c r="P1278" s="84" t="s">
        <v>26</v>
      </c>
      <c r="Q1278" s="86" t="s">
        <v>120</v>
      </c>
      <c r="R1278" s="86" t="s">
        <v>3374</v>
      </c>
      <c r="S1278" s="87" t="s">
        <v>1467</v>
      </c>
      <c r="T1278" s="87" t="s">
        <v>889</v>
      </c>
      <c r="U1278" s="88">
        <v>90500</v>
      </c>
      <c r="V1278" s="88">
        <v>97740</v>
      </c>
      <c r="W1278" s="88">
        <v>74500</v>
      </c>
      <c r="X1278" s="88">
        <v>80460</v>
      </c>
      <c r="Y1278" s="88">
        <v>16000</v>
      </c>
      <c r="Z1278" s="88">
        <v>17280</v>
      </c>
      <c r="AA1278" s="85">
        <v>43742</v>
      </c>
      <c r="AB1278" s="85">
        <v>43747</v>
      </c>
      <c r="AC1278" s="85">
        <v>43747</v>
      </c>
      <c r="AD1278" s="84">
        <v>0</v>
      </c>
      <c r="AG1278" s="84">
        <v>0</v>
      </c>
      <c r="AJ1278" s="84">
        <v>0</v>
      </c>
      <c r="AR1278" s="85">
        <v>43684</v>
      </c>
      <c r="AS1278" s="84">
        <v>6001701363</v>
      </c>
      <c r="AT1278" s="85">
        <v>43684</v>
      </c>
      <c r="AU1278" s="84" t="s">
        <v>3421</v>
      </c>
      <c r="AV1278" s="85">
        <v>43769</v>
      </c>
      <c r="AW1278" s="123">
        <v>43769</v>
      </c>
      <c r="AX1278" s="123">
        <v>43789</v>
      </c>
      <c r="AY1278" s="132">
        <v>86880</v>
      </c>
      <c r="AZ1278" s="132">
        <f t="shared" si="7"/>
        <v>95568</v>
      </c>
      <c r="BA1278" s="84" t="s">
        <v>778</v>
      </c>
      <c r="BC1278" s="88">
        <v>0</v>
      </c>
      <c r="BG1278" s="88">
        <v>0</v>
      </c>
      <c r="BI1278" s="84" t="s">
        <v>434</v>
      </c>
      <c r="BJ1278" s="88">
        <v>10400</v>
      </c>
      <c r="BK1278" s="88">
        <f>ROUNDDOWN(BJ1278+(BJ1278*0.1),0)</f>
        <v>11440</v>
      </c>
      <c r="BL1278" s="84" t="s">
        <v>188</v>
      </c>
      <c r="BS1278" s="88">
        <v>0</v>
      </c>
      <c r="BV1278" s="89">
        <v>80460</v>
      </c>
      <c r="BW1278" s="89">
        <v>11232</v>
      </c>
      <c r="BX1278" s="89">
        <v>43682</v>
      </c>
      <c r="BY1278" s="89">
        <v>69228</v>
      </c>
      <c r="BZ1278" s="112">
        <v>86.040268456375841</v>
      </c>
      <c r="CC1278" s="84">
        <v>2019</v>
      </c>
      <c r="CK1278" s="88">
        <v>0</v>
      </c>
    </row>
    <row r="1279" spans="1:89" x14ac:dyDescent="0.15">
      <c r="A1279" s="84">
        <v>2</v>
      </c>
      <c r="B1279" s="85">
        <v>43844</v>
      </c>
      <c r="C1279" s="85">
        <v>43861</v>
      </c>
      <c r="E1279" s="85">
        <v>43861</v>
      </c>
      <c r="F1279" s="85">
        <v>43860</v>
      </c>
      <c r="G1279" s="85">
        <v>43860</v>
      </c>
      <c r="H1279" s="85">
        <v>43856</v>
      </c>
      <c r="I1279" s="84" t="s">
        <v>401</v>
      </c>
      <c r="J1279" s="84">
        <v>1</v>
      </c>
      <c r="L1279" s="84">
        <v>0</v>
      </c>
      <c r="M1279" s="85">
        <v>43682</v>
      </c>
      <c r="N1279" s="85" t="s">
        <v>265</v>
      </c>
      <c r="O1279" s="86" t="s">
        <v>340</v>
      </c>
      <c r="P1279" s="84" t="s">
        <v>26</v>
      </c>
      <c r="Q1279" s="86" t="s">
        <v>120</v>
      </c>
      <c r="R1279" s="86" t="s">
        <v>3375</v>
      </c>
      <c r="S1279" s="87" t="s">
        <v>1053</v>
      </c>
      <c r="T1279" s="87" t="s">
        <v>889</v>
      </c>
      <c r="U1279" s="88">
        <v>90500</v>
      </c>
      <c r="V1279" s="88">
        <v>97740</v>
      </c>
      <c r="W1279" s="88">
        <v>74500</v>
      </c>
      <c r="X1279" s="88">
        <v>80460</v>
      </c>
      <c r="Y1279" s="88">
        <v>16000</v>
      </c>
      <c r="Z1279" s="88">
        <v>17280</v>
      </c>
      <c r="AA1279" s="85">
        <v>43851</v>
      </c>
      <c r="AB1279" s="85">
        <v>43853</v>
      </c>
      <c r="AC1279" s="85">
        <v>43853</v>
      </c>
      <c r="AD1279" s="84">
        <v>0</v>
      </c>
      <c r="AG1279" s="84">
        <v>0</v>
      </c>
      <c r="AJ1279" s="84">
        <v>0</v>
      </c>
      <c r="AR1279" s="85">
        <v>43684</v>
      </c>
      <c r="AS1279" s="84">
        <v>6001701363</v>
      </c>
      <c r="AT1279" s="85">
        <v>43684</v>
      </c>
      <c r="AU1279" s="84" t="s">
        <v>3421</v>
      </c>
      <c r="AV1279" s="85">
        <v>43861</v>
      </c>
      <c r="AW1279" s="123">
        <v>43861</v>
      </c>
      <c r="AX1279" s="123">
        <v>43881</v>
      </c>
      <c r="AY1279" s="132">
        <v>86880</v>
      </c>
      <c r="AZ1279" s="132">
        <f t="shared" si="7"/>
        <v>95568</v>
      </c>
      <c r="BC1279" s="88">
        <v>0</v>
      </c>
      <c r="BG1279" s="88">
        <v>0</v>
      </c>
      <c r="BI1279" s="84" t="s">
        <v>276</v>
      </c>
      <c r="BJ1279" s="88">
        <v>10400</v>
      </c>
      <c r="BK1279" s="88">
        <v>11232</v>
      </c>
      <c r="BL1279" s="84" t="s">
        <v>1233</v>
      </c>
      <c r="BS1279" s="88">
        <v>0</v>
      </c>
      <c r="BV1279" s="89">
        <v>80460</v>
      </c>
      <c r="BW1279" s="89">
        <v>11232</v>
      </c>
      <c r="BX1279" s="89">
        <v>43682</v>
      </c>
      <c r="BY1279" s="89">
        <v>69228</v>
      </c>
      <c r="BZ1279" s="112">
        <v>86.040268456375841</v>
      </c>
      <c r="CK1279" s="88">
        <v>0</v>
      </c>
    </row>
    <row r="1280" spans="1:89" x14ac:dyDescent="0.15">
      <c r="A1280" s="84">
        <v>2</v>
      </c>
      <c r="B1280" s="85">
        <v>43844</v>
      </c>
      <c r="C1280" s="85">
        <v>43861</v>
      </c>
      <c r="E1280" s="85">
        <v>43859</v>
      </c>
      <c r="F1280" s="85">
        <v>43861</v>
      </c>
      <c r="G1280" s="85">
        <v>43857</v>
      </c>
      <c r="H1280" s="85">
        <v>43857</v>
      </c>
      <c r="I1280" s="84" t="s">
        <v>401</v>
      </c>
      <c r="J1280" s="84">
        <v>1</v>
      </c>
      <c r="L1280" s="84">
        <v>0</v>
      </c>
      <c r="M1280" s="85">
        <v>43682</v>
      </c>
      <c r="N1280" s="85" t="s">
        <v>265</v>
      </c>
      <c r="O1280" s="86" t="s">
        <v>340</v>
      </c>
      <c r="P1280" s="84" t="s">
        <v>26</v>
      </c>
      <c r="Q1280" s="86" t="s">
        <v>120</v>
      </c>
      <c r="R1280" s="86" t="s">
        <v>3376</v>
      </c>
      <c r="S1280" s="87" t="s">
        <v>2453</v>
      </c>
      <c r="T1280" s="87" t="s">
        <v>889</v>
      </c>
      <c r="U1280" s="88">
        <v>90500</v>
      </c>
      <c r="V1280" s="88">
        <v>97740</v>
      </c>
      <c r="W1280" s="88">
        <v>74500</v>
      </c>
      <c r="X1280" s="88">
        <v>80460</v>
      </c>
      <c r="Y1280" s="88">
        <v>16000</v>
      </c>
      <c r="Z1280" s="88">
        <v>17280</v>
      </c>
      <c r="AA1280" s="85">
        <v>43853</v>
      </c>
      <c r="AB1280" s="85">
        <v>43854</v>
      </c>
      <c r="AC1280" s="85">
        <v>43854</v>
      </c>
      <c r="AD1280" s="84">
        <v>0</v>
      </c>
      <c r="AG1280" s="84">
        <v>0</v>
      </c>
      <c r="AJ1280" s="84">
        <v>0</v>
      </c>
      <c r="AR1280" s="85">
        <v>43684</v>
      </c>
      <c r="AS1280" s="84">
        <v>6001701363</v>
      </c>
      <c r="AT1280" s="85">
        <v>43684</v>
      </c>
      <c r="AU1280" s="84" t="s">
        <v>3421</v>
      </c>
      <c r="AV1280" s="85">
        <v>43861</v>
      </c>
      <c r="AW1280" s="123">
        <v>43861</v>
      </c>
      <c r="AX1280" s="123">
        <v>43881</v>
      </c>
      <c r="AY1280" s="132">
        <v>86880</v>
      </c>
      <c r="AZ1280" s="132">
        <f t="shared" si="7"/>
        <v>95568</v>
      </c>
      <c r="BC1280" s="88">
        <v>0</v>
      </c>
      <c r="BG1280" s="88">
        <v>0</v>
      </c>
      <c r="BI1280" s="84" t="s">
        <v>276</v>
      </c>
      <c r="BJ1280" s="88">
        <v>10400</v>
      </c>
      <c r="BK1280" s="88">
        <v>11232</v>
      </c>
      <c r="BL1280" s="84" t="s">
        <v>1233</v>
      </c>
      <c r="BS1280" s="88">
        <v>0</v>
      </c>
      <c r="BV1280" s="89">
        <v>80460</v>
      </c>
      <c r="BW1280" s="89">
        <v>11232</v>
      </c>
      <c r="BX1280" s="89">
        <v>43682</v>
      </c>
      <c r="BY1280" s="89">
        <v>69228</v>
      </c>
      <c r="BZ1280" s="112">
        <v>86.040268456375841</v>
      </c>
      <c r="CK1280" s="88">
        <v>0</v>
      </c>
    </row>
    <row r="1281" spans="1:89" x14ac:dyDescent="0.15">
      <c r="A1281" s="84">
        <v>2</v>
      </c>
      <c r="B1281" s="85">
        <v>43787</v>
      </c>
      <c r="C1281" s="85">
        <v>43798</v>
      </c>
      <c r="E1281" s="85">
        <v>43808</v>
      </c>
      <c r="F1281" s="85">
        <v>43801</v>
      </c>
      <c r="G1281" s="85">
        <v>43798</v>
      </c>
      <c r="H1281" s="85">
        <v>43797</v>
      </c>
      <c r="I1281" s="84" t="s">
        <v>401</v>
      </c>
      <c r="J1281" s="84">
        <v>1</v>
      </c>
      <c r="L1281" s="84">
        <v>0</v>
      </c>
      <c r="M1281" s="85">
        <v>43682</v>
      </c>
      <c r="N1281" s="85" t="s">
        <v>265</v>
      </c>
      <c r="O1281" s="86" t="s">
        <v>340</v>
      </c>
      <c r="P1281" s="84" t="s">
        <v>26</v>
      </c>
      <c r="Q1281" s="86" t="s">
        <v>120</v>
      </c>
      <c r="R1281" s="86" t="s">
        <v>3377</v>
      </c>
      <c r="S1281" s="87" t="s">
        <v>1056</v>
      </c>
      <c r="T1281" s="87" t="s">
        <v>889</v>
      </c>
      <c r="U1281" s="88">
        <v>90500</v>
      </c>
      <c r="V1281" s="88">
        <v>97740</v>
      </c>
      <c r="W1281" s="88">
        <v>74500</v>
      </c>
      <c r="X1281" s="88">
        <v>80460</v>
      </c>
      <c r="Y1281" s="88">
        <v>16000</v>
      </c>
      <c r="Z1281" s="88">
        <v>17280</v>
      </c>
      <c r="AA1281" s="85">
        <v>43792</v>
      </c>
      <c r="AB1281" s="85">
        <v>43794</v>
      </c>
      <c r="AC1281" s="85">
        <v>43794</v>
      </c>
      <c r="AD1281" s="84">
        <v>0</v>
      </c>
      <c r="AG1281" s="84">
        <v>0</v>
      </c>
      <c r="AJ1281" s="84">
        <v>0</v>
      </c>
      <c r="AR1281" s="85">
        <v>43686</v>
      </c>
      <c r="AS1281" s="84">
        <v>6001702347</v>
      </c>
      <c r="AT1281" s="85">
        <v>43686</v>
      </c>
      <c r="AU1281" s="84" t="s">
        <v>3438</v>
      </c>
      <c r="AV1281" s="85">
        <v>43798</v>
      </c>
      <c r="AW1281" s="123">
        <v>43799</v>
      </c>
      <c r="AX1281" s="123">
        <v>43819</v>
      </c>
      <c r="AY1281" s="132">
        <v>86880</v>
      </c>
      <c r="AZ1281" s="132">
        <f t="shared" si="7"/>
        <v>95568</v>
      </c>
      <c r="BA1281" s="84" t="s">
        <v>778</v>
      </c>
      <c r="BC1281" s="88">
        <v>0</v>
      </c>
      <c r="BG1281" s="88">
        <v>0</v>
      </c>
      <c r="BI1281" s="84" t="s">
        <v>276</v>
      </c>
      <c r="BJ1281" s="88">
        <v>10400</v>
      </c>
      <c r="BK1281" s="88">
        <f>ROUNDDOWN(BJ1281+(BJ1281*0.1),0)</f>
        <v>11440</v>
      </c>
      <c r="BL1281" s="84" t="s">
        <v>863</v>
      </c>
      <c r="BS1281" s="88">
        <v>0</v>
      </c>
      <c r="BV1281" s="89">
        <v>80460</v>
      </c>
      <c r="BW1281" s="89">
        <v>11232</v>
      </c>
      <c r="BX1281" s="89">
        <v>43682</v>
      </c>
      <c r="BY1281" s="89">
        <v>69228</v>
      </c>
      <c r="BZ1281" s="112">
        <v>86.040268456375841</v>
      </c>
      <c r="CC1281" s="84">
        <v>2019</v>
      </c>
      <c r="CK1281" s="88">
        <v>0</v>
      </c>
    </row>
    <row r="1282" spans="1:89" x14ac:dyDescent="0.15">
      <c r="A1282" s="84">
        <v>2</v>
      </c>
      <c r="B1282" s="85">
        <v>43738</v>
      </c>
      <c r="C1282" s="85">
        <v>43798</v>
      </c>
      <c r="D1282" s="85">
        <v>43754</v>
      </c>
      <c r="E1282" s="85">
        <v>43754</v>
      </c>
      <c r="F1282" s="85">
        <v>43756</v>
      </c>
      <c r="H1282" s="85">
        <v>43752</v>
      </c>
      <c r="I1282" s="84" t="s">
        <v>401</v>
      </c>
      <c r="J1282" s="84">
        <v>1</v>
      </c>
      <c r="L1282" s="84">
        <v>0</v>
      </c>
      <c r="M1282" s="85">
        <v>43682</v>
      </c>
      <c r="N1282" s="85" t="s">
        <v>265</v>
      </c>
      <c r="O1282" s="86" t="s">
        <v>340</v>
      </c>
      <c r="P1282" s="84" t="s">
        <v>26</v>
      </c>
      <c r="Q1282" s="86" t="s">
        <v>120</v>
      </c>
      <c r="R1282" s="86" t="s">
        <v>3378</v>
      </c>
      <c r="S1282" s="87" t="s">
        <v>3695</v>
      </c>
      <c r="T1282" s="87" t="s">
        <v>889</v>
      </c>
      <c r="U1282" s="88">
        <v>90500</v>
      </c>
      <c r="V1282" s="88">
        <v>97740</v>
      </c>
      <c r="W1282" s="88">
        <v>74500</v>
      </c>
      <c r="X1282" s="88">
        <v>80460</v>
      </c>
      <c r="Y1282" s="88">
        <v>16000</v>
      </c>
      <c r="Z1282" s="88">
        <v>17280</v>
      </c>
      <c r="AA1282" s="85">
        <v>43745</v>
      </c>
      <c r="AB1282" s="85">
        <v>43749</v>
      </c>
      <c r="AC1282" s="85">
        <v>43749</v>
      </c>
      <c r="AD1282" s="84">
        <v>0</v>
      </c>
      <c r="AG1282" s="84">
        <v>0</v>
      </c>
      <c r="AJ1282" s="84">
        <v>0</v>
      </c>
      <c r="AR1282" s="85">
        <v>43684</v>
      </c>
      <c r="AS1282" s="84">
        <v>6001701363</v>
      </c>
      <c r="AT1282" s="85">
        <v>43684</v>
      </c>
      <c r="AU1282" s="84" t="s">
        <v>3421</v>
      </c>
      <c r="AV1282" s="85">
        <v>43798</v>
      </c>
      <c r="AW1282" s="123">
        <v>43769</v>
      </c>
      <c r="AX1282" s="123">
        <v>43789</v>
      </c>
      <c r="AY1282" s="132">
        <v>86880</v>
      </c>
      <c r="AZ1282" s="132">
        <f t="shared" si="7"/>
        <v>95568</v>
      </c>
      <c r="BA1282" s="84" t="s">
        <v>778</v>
      </c>
      <c r="BC1282" s="88">
        <v>0</v>
      </c>
      <c r="BG1282" s="88">
        <v>0</v>
      </c>
      <c r="BI1282" s="84" t="s">
        <v>276</v>
      </c>
      <c r="BJ1282" s="88">
        <v>10400</v>
      </c>
      <c r="BK1282" s="88">
        <f>ROUNDDOWN(BJ1282+(BJ1282*0.1),0)</f>
        <v>11440</v>
      </c>
      <c r="BL1282" s="84" t="s">
        <v>430</v>
      </c>
      <c r="BS1282" s="88">
        <v>0</v>
      </c>
      <c r="BV1282" s="89">
        <v>80460</v>
      </c>
      <c r="BW1282" s="89">
        <v>11232</v>
      </c>
      <c r="BX1282" s="89">
        <v>43682</v>
      </c>
      <c r="BY1282" s="89">
        <v>69228</v>
      </c>
      <c r="BZ1282" s="112">
        <v>86.040268456375841</v>
      </c>
      <c r="CC1282" s="84">
        <v>2019</v>
      </c>
      <c r="CK1282" s="88">
        <v>0</v>
      </c>
    </row>
    <row r="1283" spans="1:89" x14ac:dyDescent="0.15">
      <c r="A1283" s="84">
        <v>2</v>
      </c>
      <c r="B1283" s="85">
        <v>43787</v>
      </c>
      <c r="C1283" s="85">
        <v>43798</v>
      </c>
      <c r="D1283" s="85">
        <v>43808</v>
      </c>
      <c r="E1283" s="85">
        <v>43808</v>
      </c>
      <c r="F1283" s="85">
        <v>43803</v>
      </c>
      <c r="G1283" s="85">
        <v>43798</v>
      </c>
      <c r="H1283" s="85">
        <v>43799</v>
      </c>
      <c r="I1283" s="84" t="s">
        <v>401</v>
      </c>
      <c r="J1283" s="84">
        <v>1</v>
      </c>
      <c r="L1283" s="84">
        <v>0</v>
      </c>
      <c r="M1283" s="85">
        <v>43682</v>
      </c>
      <c r="N1283" s="85" t="s">
        <v>265</v>
      </c>
      <c r="O1283" s="86" t="s">
        <v>340</v>
      </c>
      <c r="P1283" s="84" t="s">
        <v>26</v>
      </c>
      <c r="Q1283" s="86" t="s">
        <v>120</v>
      </c>
      <c r="R1283" s="86" t="s">
        <v>3379</v>
      </c>
      <c r="S1283" s="87" t="s">
        <v>2617</v>
      </c>
      <c r="T1283" s="87" t="s">
        <v>889</v>
      </c>
      <c r="U1283" s="88">
        <v>90500</v>
      </c>
      <c r="V1283" s="88">
        <v>97740</v>
      </c>
      <c r="W1283" s="88">
        <v>74500</v>
      </c>
      <c r="X1283" s="88">
        <v>80460</v>
      </c>
      <c r="Y1283" s="88">
        <v>16000</v>
      </c>
      <c r="Z1283" s="88">
        <v>17280</v>
      </c>
      <c r="AA1283" s="85">
        <v>43792</v>
      </c>
      <c r="AB1283" s="85">
        <v>43796</v>
      </c>
      <c r="AC1283" s="85">
        <v>43796</v>
      </c>
      <c r="AD1283" s="84">
        <v>0</v>
      </c>
      <c r="AG1283" s="84">
        <v>0</v>
      </c>
      <c r="AJ1283" s="84">
        <v>0</v>
      </c>
      <c r="AR1283" s="85">
        <v>43684</v>
      </c>
      <c r="AS1283" s="84">
        <v>6001701363</v>
      </c>
      <c r="AT1283" s="85">
        <v>43684</v>
      </c>
      <c r="AU1283" s="84" t="s">
        <v>3421</v>
      </c>
      <c r="AV1283" s="85">
        <v>43798</v>
      </c>
      <c r="AW1283" s="123">
        <v>43799</v>
      </c>
      <c r="AX1283" s="123">
        <v>43819</v>
      </c>
      <c r="AY1283" s="132">
        <v>86880</v>
      </c>
      <c r="AZ1283" s="132">
        <f t="shared" si="7"/>
        <v>95568</v>
      </c>
      <c r="BA1283" s="84" t="s">
        <v>778</v>
      </c>
      <c r="BC1283" s="88">
        <v>0</v>
      </c>
      <c r="BG1283" s="88">
        <v>0</v>
      </c>
      <c r="BI1283" s="84" t="s">
        <v>276</v>
      </c>
      <c r="BJ1283" s="88">
        <v>10400</v>
      </c>
      <c r="BK1283" s="88">
        <f>ROUNDDOWN(BJ1283+(BJ1283*0.1),0)</f>
        <v>11440</v>
      </c>
      <c r="BL1283" s="84" t="s">
        <v>863</v>
      </c>
      <c r="BS1283" s="88">
        <v>0</v>
      </c>
      <c r="BV1283" s="89">
        <v>80460</v>
      </c>
      <c r="BW1283" s="89">
        <v>11232</v>
      </c>
      <c r="BX1283" s="89">
        <v>43682</v>
      </c>
      <c r="BY1283" s="89">
        <v>69228</v>
      </c>
      <c r="BZ1283" s="112">
        <v>86.040268456375841</v>
      </c>
      <c r="CC1283" s="84">
        <v>2019</v>
      </c>
      <c r="CK1283" s="88">
        <v>0</v>
      </c>
    </row>
    <row r="1284" spans="1:89" x14ac:dyDescent="0.15">
      <c r="A1284" s="84">
        <v>2</v>
      </c>
      <c r="B1284" s="85">
        <v>43685</v>
      </c>
      <c r="C1284" s="85">
        <v>43686</v>
      </c>
      <c r="D1284" s="85">
        <v>43685</v>
      </c>
      <c r="E1284" s="85">
        <v>43685</v>
      </c>
      <c r="F1284" s="85" t="s">
        <v>338</v>
      </c>
      <c r="G1284" s="85">
        <v>43685</v>
      </c>
      <c r="H1284" s="85" t="s">
        <v>338</v>
      </c>
      <c r="I1284" s="84" t="s">
        <v>380</v>
      </c>
      <c r="J1284" s="84">
        <v>2</v>
      </c>
      <c r="L1284" s="84">
        <v>0</v>
      </c>
      <c r="M1284" s="85">
        <v>43682</v>
      </c>
      <c r="N1284" s="85" t="s">
        <v>265</v>
      </c>
      <c r="O1284" s="86" t="s">
        <v>340</v>
      </c>
      <c r="P1284" s="84" t="s">
        <v>6</v>
      </c>
      <c r="Q1284" s="86" t="s">
        <v>120</v>
      </c>
      <c r="R1284" s="86" t="s">
        <v>3380</v>
      </c>
      <c r="S1284" s="87" t="s">
        <v>1482</v>
      </c>
      <c r="T1284" s="87" t="s">
        <v>342</v>
      </c>
      <c r="U1284" s="88">
        <v>35000</v>
      </c>
      <c r="V1284" s="88">
        <v>37800</v>
      </c>
      <c r="W1284" s="88">
        <v>35000</v>
      </c>
      <c r="X1284" s="88">
        <v>37800</v>
      </c>
      <c r="Z1284" s="88">
        <v>0</v>
      </c>
      <c r="AA1284" s="85">
        <v>43683</v>
      </c>
      <c r="AB1284" s="85">
        <v>43683</v>
      </c>
      <c r="AD1284" s="84">
        <v>0</v>
      </c>
      <c r="AG1284" s="84">
        <v>0</v>
      </c>
      <c r="AJ1284" s="84">
        <v>0</v>
      </c>
      <c r="AN1284" s="84" t="s">
        <v>338</v>
      </c>
      <c r="AR1284" s="85">
        <v>43684</v>
      </c>
      <c r="AS1284" s="84">
        <v>6001701372</v>
      </c>
      <c r="AT1284" s="85">
        <v>43684</v>
      </c>
      <c r="AU1284" s="84" t="s">
        <v>3423</v>
      </c>
      <c r="AV1284" s="85">
        <v>43686</v>
      </c>
      <c r="AW1284" s="123">
        <v>43708</v>
      </c>
      <c r="AX1284" s="123">
        <v>43728</v>
      </c>
      <c r="AY1284" s="132">
        <v>33600</v>
      </c>
      <c r="AZ1284" s="132">
        <f>ROUNDDOWN(AY1284+(AY1284*MASTER!$A$2/100),0)</f>
        <v>36288</v>
      </c>
      <c r="BA1284" s="84" t="s">
        <v>286</v>
      </c>
      <c r="BB1284" s="88">
        <v>24000</v>
      </c>
      <c r="BC1284" s="88">
        <v>25920</v>
      </c>
      <c r="BD1284" s="84" t="s">
        <v>2849</v>
      </c>
      <c r="BG1284" s="88">
        <v>0</v>
      </c>
      <c r="BK1284" s="88">
        <v>0</v>
      </c>
      <c r="BS1284" s="88">
        <v>0</v>
      </c>
      <c r="BV1284" s="89">
        <v>37800</v>
      </c>
      <c r="BW1284" s="89">
        <v>25920</v>
      </c>
      <c r="BX1284" s="89">
        <v>43682</v>
      </c>
      <c r="BY1284" s="89">
        <v>11880</v>
      </c>
      <c r="BZ1284" s="112">
        <v>31.428571428571427</v>
      </c>
      <c r="CK1284" s="88">
        <v>0</v>
      </c>
    </row>
    <row r="1285" spans="1:89" x14ac:dyDescent="0.15">
      <c r="A1285" s="84">
        <v>2</v>
      </c>
      <c r="B1285" s="85">
        <v>43738</v>
      </c>
      <c r="C1285" s="85">
        <v>43798</v>
      </c>
      <c r="D1285" s="85">
        <v>43763</v>
      </c>
      <c r="F1285" s="85">
        <v>43763</v>
      </c>
      <c r="G1285" s="85">
        <v>43762</v>
      </c>
      <c r="H1285" s="85">
        <v>43759</v>
      </c>
      <c r="I1285" s="84" t="s">
        <v>401</v>
      </c>
      <c r="J1285" s="84">
        <v>1</v>
      </c>
      <c r="L1285" s="84">
        <v>0</v>
      </c>
      <c r="M1285" s="85">
        <v>43682</v>
      </c>
      <c r="N1285" s="85" t="s">
        <v>265</v>
      </c>
      <c r="O1285" s="86" t="s">
        <v>340</v>
      </c>
      <c r="P1285" s="84" t="s">
        <v>26</v>
      </c>
      <c r="Q1285" s="86" t="s">
        <v>120</v>
      </c>
      <c r="R1285" s="86" t="s">
        <v>3851</v>
      </c>
      <c r="S1285" s="87" t="s">
        <v>1009</v>
      </c>
      <c r="T1285" s="87" t="s">
        <v>828</v>
      </c>
      <c r="U1285" s="88">
        <v>95000</v>
      </c>
      <c r="V1285" s="88">
        <v>102600</v>
      </c>
      <c r="W1285" s="88">
        <v>80000</v>
      </c>
      <c r="X1285" s="88">
        <v>86400</v>
      </c>
      <c r="Y1285" s="88">
        <v>15000</v>
      </c>
      <c r="Z1285" s="88">
        <v>16200</v>
      </c>
      <c r="AA1285" s="85">
        <v>43753</v>
      </c>
      <c r="AB1285" s="85">
        <v>43756</v>
      </c>
      <c r="AC1285" s="85">
        <v>43756</v>
      </c>
      <c r="AD1285" s="84">
        <v>0</v>
      </c>
      <c r="AG1285" s="84">
        <v>0</v>
      </c>
      <c r="AJ1285" s="84">
        <v>0</v>
      </c>
      <c r="AN1285" s="84" t="s">
        <v>338</v>
      </c>
      <c r="AR1285" s="85">
        <v>43684</v>
      </c>
      <c r="AS1285" s="84">
        <v>6001701363</v>
      </c>
      <c r="AT1285" s="85">
        <v>43684</v>
      </c>
      <c r="AU1285" s="84" t="s">
        <v>3421</v>
      </c>
      <c r="AV1285" s="85">
        <v>43798</v>
      </c>
      <c r="AW1285" s="123">
        <v>43769</v>
      </c>
      <c r="AX1285" s="123">
        <v>43789</v>
      </c>
      <c r="AY1285" s="132">
        <v>91200</v>
      </c>
      <c r="AZ1285" s="132">
        <f t="shared" ref="AZ1285:AZ1305" si="8">ROUNDDOWN(AY1285+(AY1285*0.1),0)</f>
        <v>100320</v>
      </c>
      <c r="BA1285" s="84" t="s">
        <v>778</v>
      </c>
      <c r="BC1285" s="88">
        <v>0</v>
      </c>
      <c r="BG1285" s="88">
        <v>0</v>
      </c>
      <c r="BI1285" s="84" t="s">
        <v>434</v>
      </c>
      <c r="BJ1285" s="88">
        <v>9750</v>
      </c>
      <c r="BK1285" s="88">
        <f>ROUNDDOWN(BJ1285+(BJ1285*0.1),0)</f>
        <v>10725</v>
      </c>
      <c r="BL1285" s="84" t="s">
        <v>188</v>
      </c>
      <c r="BS1285" s="88">
        <v>0</v>
      </c>
      <c r="BV1285" s="89">
        <v>86400</v>
      </c>
      <c r="BW1285" s="89">
        <v>10530</v>
      </c>
      <c r="BX1285" s="89">
        <v>43682</v>
      </c>
      <c r="BY1285" s="89">
        <v>75870</v>
      </c>
      <c r="BZ1285" s="112">
        <v>87.8125</v>
      </c>
      <c r="CC1285" s="84">
        <v>2019</v>
      </c>
      <c r="CK1285" s="88">
        <v>0</v>
      </c>
    </row>
    <row r="1286" spans="1:89" s="151" customFormat="1" x14ac:dyDescent="0.15">
      <c r="A1286" s="141">
        <v>3</v>
      </c>
      <c r="B1286" s="142"/>
      <c r="C1286" s="142" t="s">
        <v>338</v>
      </c>
      <c r="D1286" s="142"/>
      <c r="E1286" s="142"/>
      <c r="F1286" s="142" t="s">
        <v>338</v>
      </c>
      <c r="G1286" s="142">
        <v>43858</v>
      </c>
      <c r="H1286" s="142" t="s">
        <v>338</v>
      </c>
      <c r="I1286" s="141"/>
      <c r="J1286" s="141">
        <v>1</v>
      </c>
      <c r="K1286" s="142"/>
      <c r="L1286" s="141">
        <v>0</v>
      </c>
      <c r="M1286" s="142">
        <v>43682</v>
      </c>
      <c r="N1286" s="142" t="s">
        <v>265</v>
      </c>
      <c r="O1286" s="143" t="s">
        <v>340</v>
      </c>
      <c r="P1286" s="141" t="s">
        <v>26</v>
      </c>
      <c r="Q1286" s="143" t="s">
        <v>120</v>
      </c>
      <c r="R1286" s="143" t="s">
        <v>3959</v>
      </c>
      <c r="S1286" s="144" t="s">
        <v>3406</v>
      </c>
      <c r="T1286" s="144" t="s">
        <v>828</v>
      </c>
      <c r="U1286" s="145">
        <v>95000</v>
      </c>
      <c r="V1286" s="145">
        <v>102600</v>
      </c>
      <c r="W1286" s="145">
        <v>80000</v>
      </c>
      <c r="X1286" s="145">
        <v>86400</v>
      </c>
      <c r="Y1286" s="145">
        <v>15000</v>
      </c>
      <c r="Z1286" s="145">
        <v>16200</v>
      </c>
      <c r="AA1286" s="142" t="s">
        <v>1138</v>
      </c>
      <c r="AB1286" s="142"/>
      <c r="AC1286" s="142"/>
      <c r="AD1286" s="141">
        <v>0</v>
      </c>
      <c r="AE1286" s="141"/>
      <c r="AF1286" s="141"/>
      <c r="AG1286" s="141">
        <v>0</v>
      </c>
      <c r="AH1286" s="141"/>
      <c r="AI1286" s="141"/>
      <c r="AJ1286" s="141">
        <v>0</v>
      </c>
      <c r="AK1286" s="141"/>
      <c r="AL1286" s="141"/>
      <c r="AM1286" s="141"/>
      <c r="AN1286" s="141" t="s">
        <v>338</v>
      </c>
      <c r="AO1286" s="142"/>
      <c r="AP1286" s="141"/>
      <c r="AQ1286" s="141"/>
      <c r="AR1286" s="142"/>
      <c r="AS1286" s="141"/>
      <c r="AT1286" s="142"/>
      <c r="AU1286" s="141"/>
      <c r="AV1286" s="142"/>
      <c r="AW1286" s="146"/>
      <c r="AX1286" s="146"/>
      <c r="AY1286" s="147">
        <v>91200</v>
      </c>
      <c r="AZ1286" s="147">
        <f t="shared" si="8"/>
        <v>100320</v>
      </c>
      <c r="BA1286" s="141"/>
      <c r="BB1286" s="145"/>
      <c r="BC1286" s="145">
        <v>0</v>
      </c>
      <c r="BD1286" s="141"/>
      <c r="BE1286" s="141"/>
      <c r="BF1286" s="145"/>
      <c r="BG1286" s="145">
        <v>0</v>
      </c>
      <c r="BH1286" s="141"/>
      <c r="BI1286" s="141"/>
      <c r="BJ1286" s="145"/>
      <c r="BK1286" s="145">
        <v>0</v>
      </c>
      <c r="BL1286" s="141"/>
      <c r="BM1286" s="145"/>
      <c r="BN1286" s="145"/>
      <c r="BO1286" s="145"/>
      <c r="BP1286" s="145"/>
      <c r="BQ1286" s="145"/>
      <c r="BR1286" s="145"/>
      <c r="BS1286" s="145">
        <v>0</v>
      </c>
      <c r="BT1286" s="148"/>
      <c r="BU1286" s="148"/>
      <c r="BV1286" s="149">
        <v>86400</v>
      </c>
      <c r="BW1286" s="149">
        <v>0</v>
      </c>
      <c r="BX1286" s="149">
        <v>43682</v>
      </c>
      <c r="BY1286" s="149">
        <v>86400</v>
      </c>
      <c r="BZ1286" s="150">
        <v>100</v>
      </c>
      <c r="CA1286" s="141"/>
      <c r="CB1286" s="141"/>
      <c r="CC1286" s="141"/>
      <c r="CD1286" s="144" t="s">
        <v>3960</v>
      </c>
      <c r="CE1286" s="142"/>
      <c r="CF1286" s="142"/>
      <c r="CG1286" s="142"/>
      <c r="CH1286" s="142"/>
      <c r="CI1286" s="142"/>
      <c r="CJ1286" s="142"/>
      <c r="CK1286" s="145">
        <v>0</v>
      </c>
    </row>
    <row r="1287" spans="1:89" x14ac:dyDescent="0.15">
      <c r="A1287" s="84">
        <v>2</v>
      </c>
      <c r="B1287" s="85">
        <v>43774</v>
      </c>
      <c r="C1287" s="85">
        <v>43798</v>
      </c>
      <c r="E1287" s="85">
        <v>43788</v>
      </c>
      <c r="F1287" s="85">
        <v>43791</v>
      </c>
      <c r="G1287" s="85">
        <v>43787</v>
      </c>
      <c r="H1287" s="85">
        <v>43787</v>
      </c>
      <c r="I1287" s="84" t="s">
        <v>401</v>
      </c>
      <c r="J1287" s="84">
        <v>1</v>
      </c>
      <c r="L1287" s="84">
        <v>0</v>
      </c>
      <c r="M1287" s="85">
        <v>43682</v>
      </c>
      <c r="N1287" s="85" t="s">
        <v>265</v>
      </c>
      <c r="O1287" s="86" t="s">
        <v>340</v>
      </c>
      <c r="P1287" s="84" t="s">
        <v>26</v>
      </c>
      <c r="Q1287" s="86" t="s">
        <v>120</v>
      </c>
      <c r="R1287" s="86" t="s">
        <v>3381</v>
      </c>
      <c r="S1287" s="87" t="s">
        <v>635</v>
      </c>
      <c r="T1287" s="87" t="s">
        <v>828</v>
      </c>
      <c r="U1287" s="88">
        <v>95000</v>
      </c>
      <c r="V1287" s="88">
        <v>102600</v>
      </c>
      <c r="W1287" s="88">
        <v>80000</v>
      </c>
      <c r="X1287" s="88">
        <v>86400</v>
      </c>
      <c r="Y1287" s="88">
        <v>15000</v>
      </c>
      <c r="Z1287" s="88">
        <v>16200</v>
      </c>
      <c r="AA1287" s="85">
        <v>43783</v>
      </c>
      <c r="AB1287" s="85">
        <v>43784</v>
      </c>
      <c r="AC1287" s="85">
        <v>43784</v>
      </c>
      <c r="AD1287" s="84">
        <v>0</v>
      </c>
      <c r="AG1287" s="84">
        <v>0</v>
      </c>
      <c r="AJ1287" s="84">
        <v>0</v>
      </c>
      <c r="AR1287" s="85">
        <v>43684</v>
      </c>
      <c r="AS1287" s="84">
        <v>6001701363</v>
      </c>
      <c r="AT1287" s="85">
        <v>43684</v>
      </c>
      <c r="AU1287" s="84" t="s">
        <v>3421</v>
      </c>
      <c r="AV1287" s="85">
        <v>43798</v>
      </c>
      <c r="AW1287" s="123">
        <v>43799</v>
      </c>
      <c r="AX1287" s="123">
        <v>43819</v>
      </c>
      <c r="AY1287" s="132">
        <v>91200</v>
      </c>
      <c r="AZ1287" s="132">
        <f t="shared" si="8"/>
        <v>100320</v>
      </c>
      <c r="BA1287" s="84" t="s">
        <v>778</v>
      </c>
      <c r="BC1287" s="88">
        <v>0</v>
      </c>
      <c r="BG1287" s="88">
        <v>0</v>
      </c>
      <c r="BI1287" s="84" t="s">
        <v>276</v>
      </c>
      <c r="BJ1287" s="88">
        <v>9750</v>
      </c>
      <c r="BK1287" s="88">
        <f>ROUNDDOWN(BJ1287+(BJ1287*0.1),0)</f>
        <v>10725</v>
      </c>
      <c r="BL1287" s="84" t="s">
        <v>677</v>
      </c>
      <c r="BS1287" s="88">
        <v>0</v>
      </c>
      <c r="BV1287" s="89">
        <v>86400</v>
      </c>
      <c r="BW1287" s="89">
        <v>10530</v>
      </c>
      <c r="BX1287" s="89">
        <v>43682</v>
      </c>
      <c r="BY1287" s="89">
        <v>75870</v>
      </c>
      <c r="BZ1287" s="112">
        <v>87.8125</v>
      </c>
      <c r="CC1287" s="84">
        <v>2019</v>
      </c>
      <c r="CK1287" s="88">
        <v>0</v>
      </c>
    </row>
    <row r="1288" spans="1:89" x14ac:dyDescent="0.15">
      <c r="A1288" s="84">
        <v>2</v>
      </c>
      <c r="B1288" s="85">
        <v>43787</v>
      </c>
      <c r="C1288" s="85">
        <v>43798</v>
      </c>
      <c r="D1288" s="85">
        <v>43808</v>
      </c>
      <c r="E1288" s="85">
        <v>43808</v>
      </c>
      <c r="F1288" s="85">
        <v>43805</v>
      </c>
      <c r="G1288" s="85">
        <v>43801</v>
      </c>
      <c r="H1288" s="85">
        <v>43801</v>
      </c>
      <c r="I1288" s="84" t="s">
        <v>401</v>
      </c>
      <c r="J1288" s="84">
        <v>1</v>
      </c>
      <c r="L1288" s="84">
        <v>0</v>
      </c>
      <c r="M1288" s="85">
        <v>43682</v>
      </c>
      <c r="N1288" s="85" t="s">
        <v>265</v>
      </c>
      <c r="O1288" s="86" t="s">
        <v>340</v>
      </c>
      <c r="P1288" s="84" t="s">
        <v>26</v>
      </c>
      <c r="Q1288" s="86" t="s">
        <v>120</v>
      </c>
      <c r="R1288" s="86" t="s">
        <v>3382</v>
      </c>
      <c r="S1288" s="87" t="s">
        <v>3398</v>
      </c>
      <c r="T1288" s="87" t="s">
        <v>828</v>
      </c>
      <c r="U1288" s="88">
        <v>95000</v>
      </c>
      <c r="V1288" s="88">
        <v>102600</v>
      </c>
      <c r="W1288" s="88">
        <v>80000</v>
      </c>
      <c r="X1288" s="88">
        <v>86400</v>
      </c>
      <c r="Y1288" s="88">
        <v>15000</v>
      </c>
      <c r="Z1288" s="88">
        <v>16200</v>
      </c>
      <c r="AA1288" s="85">
        <v>43795</v>
      </c>
      <c r="AB1288" s="85">
        <v>43798</v>
      </c>
      <c r="AC1288" s="85">
        <v>43798</v>
      </c>
      <c r="AD1288" s="84">
        <v>0</v>
      </c>
      <c r="AG1288" s="84">
        <v>0</v>
      </c>
      <c r="AJ1288" s="84">
        <v>0</v>
      </c>
      <c r="AR1288" s="85">
        <v>43686</v>
      </c>
      <c r="AS1288" s="84">
        <v>6001702347</v>
      </c>
      <c r="AT1288" s="85">
        <v>43686</v>
      </c>
      <c r="AU1288" s="84" t="s">
        <v>3438</v>
      </c>
      <c r="AV1288" s="85">
        <v>43798</v>
      </c>
      <c r="AW1288" s="123">
        <v>43799</v>
      </c>
      <c r="AX1288" s="123">
        <v>43819</v>
      </c>
      <c r="AY1288" s="132">
        <v>91200</v>
      </c>
      <c r="AZ1288" s="132">
        <f t="shared" si="8"/>
        <v>100320</v>
      </c>
      <c r="BA1288" s="84" t="s">
        <v>778</v>
      </c>
      <c r="BC1288" s="88">
        <v>0</v>
      </c>
      <c r="BG1288" s="88">
        <v>0</v>
      </c>
      <c r="BI1288" s="84" t="s">
        <v>276</v>
      </c>
      <c r="BJ1288" s="88">
        <v>9750</v>
      </c>
      <c r="BK1288" s="88">
        <f>ROUNDDOWN(BJ1288+(BJ1288*0.1),0)</f>
        <v>10725</v>
      </c>
      <c r="BL1288" s="84" t="s">
        <v>863</v>
      </c>
      <c r="BS1288" s="88">
        <v>0</v>
      </c>
      <c r="BV1288" s="89">
        <v>86400</v>
      </c>
      <c r="BW1288" s="89">
        <v>10530</v>
      </c>
      <c r="BX1288" s="89">
        <v>43682</v>
      </c>
      <c r="BY1288" s="89">
        <v>75870</v>
      </c>
      <c r="BZ1288" s="112">
        <v>87.8125</v>
      </c>
      <c r="CC1288" s="84">
        <v>2019</v>
      </c>
      <c r="CK1288" s="88">
        <v>0</v>
      </c>
    </row>
    <row r="1289" spans="1:89" x14ac:dyDescent="0.15">
      <c r="A1289" s="84">
        <v>2</v>
      </c>
      <c r="B1289" s="85">
        <v>43735</v>
      </c>
      <c r="C1289" s="85">
        <v>43769</v>
      </c>
      <c r="D1289" s="85">
        <v>43766</v>
      </c>
      <c r="E1289" s="85">
        <v>43754</v>
      </c>
      <c r="F1289" s="85">
        <v>43754</v>
      </c>
      <c r="G1289" s="85">
        <v>43754</v>
      </c>
      <c r="H1289" s="85">
        <v>43750</v>
      </c>
      <c r="I1289" s="84" t="s">
        <v>401</v>
      </c>
      <c r="J1289" s="84">
        <v>1</v>
      </c>
      <c r="L1289" s="84">
        <v>0</v>
      </c>
      <c r="M1289" s="85">
        <v>43682</v>
      </c>
      <c r="N1289" s="85" t="s">
        <v>265</v>
      </c>
      <c r="O1289" s="86" t="s">
        <v>340</v>
      </c>
      <c r="P1289" s="84" t="s">
        <v>26</v>
      </c>
      <c r="Q1289" s="86" t="s">
        <v>120</v>
      </c>
      <c r="R1289" s="86" t="s">
        <v>3383</v>
      </c>
      <c r="S1289" s="87" t="s">
        <v>1467</v>
      </c>
      <c r="T1289" s="87" t="s">
        <v>828</v>
      </c>
      <c r="U1289" s="88">
        <v>95000</v>
      </c>
      <c r="V1289" s="88">
        <v>102600</v>
      </c>
      <c r="W1289" s="88">
        <v>80000</v>
      </c>
      <c r="X1289" s="88">
        <v>86400</v>
      </c>
      <c r="Y1289" s="88">
        <v>15000</v>
      </c>
      <c r="Z1289" s="88">
        <v>16200</v>
      </c>
      <c r="AA1289" s="85">
        <v>43742</v>
      </c>
      <c r="AB1289" s="85">
        <v>43747</v>
      </c>
      <c r="AC1289" s="85">
        <v>43747</v>
      </c>
      <c r="AD1289" s="84">
        <v>0</v>
      </c>
      <c r="AG1289" s="84">
        <v>0</v>
      </c>
      <c r="AJ1289" s="84">
        <v>0</v>
      </c>
      <c r="AR1289" s="85">
        <v>43684</v>
      </c>
      <c r="AS1289" s="84">
        <v>6001701363</v>
      </c>
      <c r="AT1289" s="85">
        <v>43684</v>
      </c>
      <c r="AU1289" s="84" t="s">
        <v>3421</v>
      </c>
      <c r="AV1289" s="85">
        <v>43769</v>
      </c>
      <c r="AW1289" s="123">
        <v>43769</v>
      </c>
      <c r="AX1289" s="123">
        <v>43789</v>
      </c>
      <c r="AY1289" s="132">
        <v>91200</v>
      </c>
      <c r="AZ1289" s="132">
        <f>ROUNDDOWN(AY1289+(AY1289*0.1),0)</f>
        <v>100320</v>
      </c>
      <c r="BA1289" s="84" t="s">
        <v>778</v>
      </c>
      <c r="BC1289" s="88">
        <v>0</v>
      </c>
      <c r="BG1289" s="88">
        <v>0</v>
      </c>
      <c r="BI1289" s="84" t="s">
        <v>434</v>
      </c>
      <c r="BJ1289" s="88">
        <v>9750</v>
      </c>
      <c r="BK1289" s="88">
        <f>ROUNDDOWN(BJ1289+(BJ1289*0.1),0)</f>
        <v>10725</v>
      </c>
      <c r="BL1289" s="84" t="s">
        <v>188</v>
      </c>
      <c r="BS1289" s="88">
        <v>0</v>
      </c>
      <c r="BV1289" s="89">
        <v>86400</v>
      </c>
      <c r="BW1289" s="89">
        <v>10530</v>
      </c>
      <c r="BX1289" s="89">
        <v>43682</v>
      </c>
      <c r="BY1289" s="89">
        <v>75870</v>
      </c>
      <c r="BZ1289" s="112">
        <v>87.8125</v>
      </c>
      <c r="CC1289" s="84">
        <v>2019</v>
      </c>
      <c r="CK1289" s="88">
        <v>0</v>
      </c>
    </row>
    <row r="1290" spans="1:89" x14ac:dyDescent="0.15">
      <c r="A1290" s="84">
        <v>2</v>
      </c>
      <c r="B1290" s="85">
        <v>43844</v>
      </c>
      <c r="C1290" s="85">
        <v>43861</v>
      </c>
      <c r="E1290" s="85">
        <v>43861</v>
      </c>
      <c r="F1290" s="85">
        <v>43860</v>
      </c>
      <c r="G1290" s="85">
        <v>43860</v>
      </c>
      <c r="H1290" s="85">
        <v>43856</v>
      </c>
      <c r="I1290" s="84" t="s">
        <v>401</v>
      </c>
      <c r="J1290" s="84">
        <v>1</v>
      </c>
      <c r="L1290" s="84">
        <v>0</v>
      </c>
      <c r="M1290" s="85">
        <v>43682</v>
      </c>
      <c r="N1290" s="85" t="s">
        <v>265</v>
      </c>
      <c r="O1290" s="86" t="s">
        <v>340</v>
      </c>
      <c r="P1290" s="84" t="s">
        <v>26</v>
      </c>
      <c r="Q1290" s="86" t="s">
        <v>120</v>
      </c>
      <c r="R1290" s="86" t="s">
        <v>3384</v>
      </c>
      <c r="S1290" s="87" t="s">
        <v>1053</v>
      </c>
      <c r="T1290" s="87" t="s">
        <v>828</v>
      </c>
      <c r="U1290" s="88">
        <v>95000</v>
      </c>
      <c r="V1290" s="88">
        <v>102600</v>
      </c>
      <c r="W1290" s="88">
        <v>80000</v>
      </c>
      <c r="X1290" s="88">
        <v>86400</v>
      </c>
      <c r="Y1290" s="88">
        <v>15000</v>
      </c>
      <c r="Z1290" s="88">
        <v>16200</v>
      </c>
      <c r="AA1290" s="85">
        <v>43851</v>
      </c>
      <c r="AB1290" s="85">
        <v>43853</v>
      </c>
      <c r="AC1290" s="85">
        <v>43853</v>
      </c>
      <c r="AD1290" s="84">
        <v>0</v>
      </c>
      <c r="AG1290" s="84">
        <v>0</v>
      </c>
      <c r="AJ1290" s="84">
        <v>0</v>
      </c>
      <c r="AR1290" s="85">
        <v>43684</v>
      </c>
      <c r="AS1290" s="84">
        <v>6001701363</v>
      </c>
      <c r="AT1290" s="85">
        <v>43684</v>
      </c>
      <c r="AU1290" s="84" t="s">
        <v>3421</v>
      </c>
      <c r="AV1290" s="85">
        <v>43861</v>
      </c>
      <c r="AW1290" s="123">
        <v>43861</v>
      </c>
      <c r="AX1290" s="123">
        <v>43881</v>
      </c>
      <c r="AY1290" s="132">
        <v>91200</v>
      </c>
      <c r="AZ1290" s="132">
        <f t="shared" si="8"/>
        <v>100320</v>
      </c>
      <c r="BC1290" s="88">
        <v>0</v>
      </c>
      <c r="BG1290" s="88">
        <v>0</v>
      </c>
      <c r="BI1290" s="84" t="s">
        <v>276</v>
      </c>
      <c r="BJ1290" s="88">
        <v>9750</v>
      </c>
      <c r="BK1290" s="88">
        <v>10530</v>
      </c>
      <c r="BL1290" s="84" t="s">
        <v>1233</v>
      </c>
      <c r="BS1290" s="88">
        <v>0</v>
      </c>
      <c r="BV1290" s="89">
        <v>86400</v>
      </c>
      <c r="BW1290" s="89">
        <v>10530</v>
      </c>
      <c r="BX1290" s="89">
        <v>43682</v>
      </c>
      <c r="BY1290" s="89">
        <v>75870</v>
      </c>
      <c r="BZ1290" s="112">
        <v>87.8125</v>
      </c>
      <c r="CK1290" s="88">
        <v>0</v>
      </c>
    </row>
    <row r="1291" spans="1:89" x14ac:dyDescent="0.15">
      <c r="A1291" s="84">
        <v>2</v>
      </c>
      <c r="B1291" s="85">
        <v>43844</v>
      </c>
      <c r="C1291" s="85">
        <v>43861</v>
      </c>
      <c r="E1291" s="85">
        <v>43859</v>
      </c>
      <c r="F1291" s="85">
        <v>43861</v>
      </c>
      <c r="G1291" s="85">
        <v>43857</v>
      </c>
      <c r="H1291" s="85">
        <v>43857</v>
      </c>
      <c r="I1291" s="84" t="s">
        <v>401</v>
      </c>
      <c r="J1291" s="84">
        <v>1</v>
      </c>
      <c r="L1291" s="84">
        <v>0</v>
      </c>
      <c r="M1291" s="85">
        <v>43682</v>
      </c>
      <c r="N1291" s="85" t="s">
        <v>265</v>
      </c>
      <c r="O1291" s="86" t="s">
        <v>340</v>
      </c>
      <c r="P1291" s="84" t="s">
        <v>26</v>
      </c>
      <c r="Q1291" s="86" t="s">
        <v>120</v>
      </c>
      <c r="R1291" s="86" t="s">
        <v>3385</v>
      </c>
      <c r="S1291" s="87" t="s">
        <v>2453</v>
      </c>
      <c r="T1291" s="87" t="s">
        <v>828</v>
      </c>
      <c r="U1291" s="88">
        <v>95000</v>
      </c>
      <c r="V1291" s="88">
        <v>102600</v>
      </c>
      <c r="W1291" s="88">
        <v>80000</v>
      </c>
      <c r="X1291" s="88">
        <v>86400</v>
      </c>
      <c r="Y1291" s="88">
        <v>15000</v>
      </c>
      <c r="Z1291" s="88">
        <v>16200</v>
      </c>
      <c r="AA1291" s="85">
        <v>43853</v>
      </c>
      <c r="AB1291" s="85">
        <v>43854</v>
      </c>
      <c r="AC1291" s="85">
        <v>43854</v>
      </c>
      <c r="AD1291" s="84">
        <v>0</v>
      </c>
      <c r="AG1291" s="84">
        <v>0</v>
      </c>
      <c r="AJ1291" s="84">
        <v>0</v>
      </c>
      <c r="AR1291" s="85">
        <v>43684</v>
      </c>
      <c r="AS1291" s="84">
        <v>6001701363</v>
      </c>
      <c r="AT1291" s="85">
        <v>43684</v>
      </c>
      <c r="AU1291" s="84" t="s">
        <v>3421</v>
      </c>
      <c r="AV1291" s="85">
        <v>43861</v>
      </c>
      <c r="AW1291" s="123">
        <v>43861</v>
      </c>
      <c r="AX1291" s="123">
        <v>43881</v>
      </c>
      <c r="AY1291" s="132">
        <v>91200</v>
      </c>
      <c r="AZ1291" s="132">
        <f t="shared" si="8"/>
        <v>100320</v>
      </c>
      <c r="BC1291" s="88">
        <v>0</v>
      </c>
      <c r="BG1291" s="88">
        <v>0</v>
      </c>
      <c r="BI1291" s="84" t="s">
        <v>276</v>
      </c>
      <c r="BJ1291" s="88">
        <v>9750</v>
      </c>
      <c r="BK1291" s="88">
        <v>10530</v>
      </c>
      <c r="BL1291" s="84" t="s">
        <v>1233</v>
      </c>
      <c r="BS1291" s="88">
        <v>0</v>
      </c>
      <c r="BV1291" s="89">
        <v>86400</v>
      </c>
      <c r="BW1291" s="89">
        <v>10530</v>
      </c>
      <c r="BX1291" s="89">
        <v>43682</v>
      </c>
      <c r="BY1291" s="89">
        <v>75870</v>
      </c>
      <c r="BZ1291" s="112">
        <v>87.8125</v>
      </c>
      <c r="CK1291" s="88">
        <v>0</v>
      </c>
    </row>
    <row r="1292" spans="1:89" x14ac:dyDescent="0.15">
      <c r="A1292" s="84">
        <v>2</v>
      </c>
      <c r="B1292" s="85">
        <v>43787</v>
      </c>
      <c r="C1292" s="85">
        <v>43798</v>
      </c>
      <c r="E1292" s="85">
        <v>43808</v>
      </c>
      <c r="F1292" s="85">
        <v>43801</v>
      </c>
      <c r="G1292" s="85">
        <v>43798</v>
      </c>
      <c r="H1292" s="85">
        <v>43797</v>
      </c>
      <c r="I1292" s="84" t="s">
        <v>401</v>
      </c>
      <c r="J1292" s="84">
        <v>1</v>
      </c>
      <c r="L1292" s="84">
        <v>0</v>
      </c>
      <c r="M1292" s="85">
        <v>43682</v>
      </c>
      <c r="N1292" s="85" t="s">
        <v>265</v>
      </c>
      <c r="O1292" s="86" t="s">
        <v>340</v>
      </c>
      <c r="P1292" s="84" t="s">
        <v>26</v>
      </c>
      <c r="Q1292" s="86" t="s">
        <v>120</v>
      </c>
      <c r="R1292" s="86" t="s">
        <v>3386</v>
      </c>
      <c r="S1292" s="87" t="s">
        <v>1056</v>
      </c>
      <c r="T1292" s="87" t="s">
        <v>828</v>
      </c>
      <c r="U1292" s="88">
        <v>95000</v>
      </c>
      <c r="V1292" s="88">
        <v>102600</v>
      </c>
      <c r="W1292" s="88">
        <v>80000</v>
      </c>
      <c r="X1292" s="88">
        <v>86400</v>
      </c>
      <c r="Y1292" s="88">
        <v>15000</v>
      </c>
      <c r="Z1292" s="88">
        <v>16200</v>
      </c>
      <c r="AA1292" s="85">
        <v>43792</v>
      </c>
      <c r="AB1292" s="85">
        <v>43794</v>
      </c>
      <c r="AC1292" s="85">
        <v>43794</v>
      </c>
      <c r="AD1292" s="84">
        <v>0</v>
      </c>
      <c r="AG1292" s="84">
        <v>0</v>
      </c>
      <c r="AJ1292" s="84">
        <v>0</v>
      </c>
      <c r="AR1292" s="85">
        <v>43686</v>
      </c>
      <c r="AS1292" s="84">
        <v>6001702347</v>
      </c>
      <c r="AT1292" s="85">
        <v>43686</v>
      </c>
      <c r="AU1292" s="84" t="s">
        <v>3438</v>
      </c>
      <c r="AV1292" s="85">
        <v>43798</v>
      </c>
      <c r="AW1292" s="123">
        <v>43799</v>
      </c>
      <c r="AX1292" s="123">
        <v>43819</v>
      </c>
      <c r="AY1292" s="132">
        <v>91200</v>
      </c>
      <c r="AZ1292" s="132">
        <f t="shared" si="8"/>
        <v>100320</v>
      </c>
      <c r="BA1292" s="84" t="s">
        <v>778</v>
      </c>
      <c r="BC1292" s="88">
        <v>0</v>
      </c>
      <c r="BG1292" s="88">
        <v>0</v>
      </c>
      <c r="BI1292" s="84" t="s">
        <v>434</v>
      </c>
      <c r="BJ1292" s="88">
        <v>9750</v>
      </c>
      <c r="BK1292" s="88">
        <f>ROUNDDOWN(BJ1292+(BJ1292*0.1),0)</f>
        <v>10725</v>
      </c>
      <c r="BL1292" s="84" t="s">
        <v>190</v>
      </c>
      <c r="BS1292" s="88">
        <v>0</v>
      </c>
      <c r="BV1292" s="89">
        <v>86400</v>
      </c>
      <c r="BW1292" s="89">
        <v>10530</v>
      </c>
      <c r="BX1292" s="89">
        <v>43682</v>
      </c>
      <c r="BY1292" s="89">
        <v>75870</v>
      </c>
      <c r="BZ1292" s="112">
        <v>87.8125</v>
      </c>
      <c r="CC1292" s="84">
        <v>2019</v>
      </c>
      <c r="CK1292" s="88">
        <v>0</v>
      </c>
    </row>
    <row r="1293" spans="1:89" x14ac:dyDescent="0.15">
      <c r="A1293" s="84">
        <v>2</v>
      </c>
      <c r="B1293" s="85">
        <v>43738</v>
      </c>
      <c r="C1293" s="85">
        <v>43798</v>
      </c>
      <c r="D1293" s="85">
        <v>43754</v>
      </c>
      <c r="E1293" s="85">
        <v>43754</v>
      </c>
      <c r="F1293" s="85">
        <v>43756</v>
      </c>
      <c r="G1293" s="85">
        <v>43754</v>
      </c>
      <c r="H1293" s="85">
        <v>43752</v>
      </c>
      <c r="I1293" s="84" t="s">
        <v>401</v>
      </c>
      <c r="J1293" s="84">
        <v>1</v>
      </c>
      <c r="L1293" s="84">
        <v>0</v>
      </c>
      <c r="M1293" s="85">
        <v>43682</v>
      </c>
      <c r="N1293" s="85" t="s">
        <v>265</v>
      </c>
      <c r="O1293" s="86" t="s">
        <v>340</v>
      </c>
      <c r="P1293" s="84" t="s">
        <v>26</v>
      </c>
      <c r="Q1293" s="86" t="s">
        <v>120</v>
      </c>
      <c r="R1293" s="86" t="s">
        <v>3387</v>
      </c>
      <c r="S1293" s="87" t="s">
        <v>3695</v>
      </c>
      <c r="T1293" s="87" t="s">
        <v>828</v>
      </c>
      <c r="U1293" s="88">
        <v>95000</v>
      </c>
      <c r="V1293" s="88">
        <v>102600</v>
      </c>
      <c r="W1293" s="88">
        <v>80000</v>
      </c>
      <c r="X1293" s="88">
        <v>86400</v>
      </c>
      <c r="Y1293" s="88">
        <v>15000</v>
      </c>
      <c r="Z1293" s="88">
        <v>16200</v>
      </c>
      <c r="AA1293" s="85">
        <v>43745</v>
      </c>
      <c r="AB1293" s="85">
        <v>43749</v>
      </c>
      <c r="AC1293" s="85">
        <v>43749</v>
      </c>
      <c r="AD1293" s="84">
        <v>0</v>
      </c>
      <c r="AG1293" s="84">
        <v>0</v>
      </c>
      <c r="AJ1293" s="84">
        <v>0</v>
      </c>
      <c r="AR1293" s="85">
        <v>43684</v>
      </c>
      <c r="AS1293" s="84">
        <v>6001701363</v>
      </c>
      <c r="AT1293" s="85">
        <v>43684</v>
      </c>
      <c r="AU1293" s="84" t="s">
        <v>3421</v>
      </c>
      <c r="AV1293" s="85">
        <v>43798</v>
      </c>
      <c r="AW1293" s="123">
        <v>43769</v>
      </c>
      <c r="AX1293" s="123">
        <v>43789</v>
      </c>
      <c r="AY1293" s="132">
        <v>91200</v>
      </c>
      <c r="AZ1293" s="132">
        <f t="shared" si="8"/>
        <v>100320</v>
      </c>
      <c r="BA1293" s="84" t="s">
        <v>778</v>
      </c>
      <c r="BC1293" s="88">
        <v>0</v>
      </c>
      <c r="BG1293" s="88">
        <v>0</v>
      </c>
      <c r="BI1293" s="84" t="s">
        <v>276</v>
      </c>
      <c r="BJ1293" s="88">
        <v>9750</v>
      </c>
      <c r="BK1293" s="88">
        <f>ROUNDDOWN(BJ1293+(BJ1293*0.1),0)</f>
        <v>10725</v>
      </c>
      <c r="BL1293" s="84" t="s">
        <v>430</v>
      </c>
      <c r="BS1293" s="88">
        <v>0</v>
      </c>
      <c r="BV1293" s="89">
        <v>86400</v>
      </c>
      <c r="BW1293" s="89">
        <v>10530</v>
      </c>
      <c r="BX1293" s="89">
        <v>43682</v>
      </c>
      <c r="BY1293" s="89">
        <v>75870</v>
      </c>
      <c r="BZ1293" s="112">
        <v>87.8125</v>
      </c>
      <c r="CC1293" s="84">
        <v>2019</v>
      </c>
      <c r="CK1293" s="88">
        <v>0</v>
      </c>
    </row>
    <row r="1294" spans="1:89" x14ac:dyDescent="0.15">
      <c r="A1294" s="84">
        <v>2</v>
      </c>
      <c r="B1294" s="85">
        <v>43787</v>
      </c>
      <c r="C1294" s="85">
        <v>43798</v>
      </c>
      <c r="D1294" s="85">
        <v>43808</v>
      </c>
      <c r="E1294" s="85">
        <v>43808</v>
      </c>
      <c r="F1294" s="85">
        <v>43803</v>
      </c>
      <c r="G1294" s="85">
        <v>43798</v>
      </c>
      <c r="H1294" s="85">
        <v>43799</v>
      </c>
      <c r="I1294" s="84" t="s">
        <v>401</v>
      </c>
      <c r="J1294" s="84">
        <v>1</v>
      </c>
      <c r="L1294" s="84">
        <v>0</v>
      </c>
      <c r="M1294" s="85">
        <v>43682</v>
      </c>
      <c r="N1294" s="85" t="s">
        <v>265</v>
      </c>
      <c r="O1294" s="86" t="s">
        <v>340</v>
      </c>
      <c r="P1294" s="84" t="s">
        <v>26</v>
      </c>
      <c r="Q1294" s="86" t="s">
        <v>120</v>
      </c>
      <c r="R1294" s="86" t="s">
        <v>3388</v>
      </c>
      <c r="S1294" s="87" t="s">
        <v>2617</v>
      </c>
      <c r="T1294" s="87" t="s">
        <v>828</v>
      </c>
      <c r="U1294" s="88">
        <v>95000</v>
      </c>
      <c r="V1294" s="88">
        <v>102600</v>
      </c>
      <c r="W1294" s="88">
        <v>80000</v>
      </c>
      <c r="X1294" s="88">
        <v>86400</v>
      </c>
      <c r="Y1294" s="88">
        <v>15000</v>
      </c>
      <c r="Z1294" s="88">
        <v>16200</v>
      </c>
      <c r="AA1294" s="85">
        <v>43792</v>
      </c>
      <c r="AB1294" s="85">
        <v>43796</v>
      </c>
      <c r="AC1294" s="85">
        <v>43796</v>
      </c>
      <c r="AD1294" s="84">
        <v>0</v>
      </c>
      <c r="AG1294" s="84">
        <v>0</v>
      </c>
      <c r="AJ1294" s="84">
        <v>0</v>
      </c>
      <c r="AR1294" s="85">
        <v>43684</v>
      </c>
      <c r="AS1294" s="84">
        <v>6001701363</v>
      </c>
      <c r="AT1294" s="85">
        <v>43684</v>
      </c>
      <c r="AU1294" s="84" t="s">
        <v>3421</v>
      </c>
      <c r="AV1294" s="85">
        <v>43798</v>
      </c>
      <c r="AW1294" s="123">
        <v>43799</v>
      </c>
      <c r="AX1294" s="123">
        <v>43819</v>
      </c>
      <c r="AY1294" s="132">
        <v>91200</v>
      </c>
      <c r="AZ1294" s="132">
        <f t="shared" si="8"/>
        <v>100320</v>
      </c>
      <c r="BA1294" s="84" t="s">
        <v>778</v>
      </c>
      <c r="BC1294" s="88">
        <v>0</v>
      </c>
      <c r="BG1294" s="88">
        <v>0</v>
      </c>
      <c r="BI1294" s="84" t="s">
        <v>276</v>
      </c>
      <c r="BJ1294" s="88">
        <v>9750</v>
      </c>
      <c r="BK1294" s="88">
        <f>ROUNDDOWN(BJ1294+(BJ1294*0.1),0)</f>
        <v>10725</v>
      </c>
      <c r="BL1294" s="84" t="s">
        <v>863</v>
      </c>
      <c r="BS1294" s="88">
        <v>0</v>
      </c>
      <c r="BV1294" s="89">
        <v>86400</v>
      </c>
      <c r="BW1294" s="89">
        <v>10530</v>
      </c>
      <c r="BX1294" s="89">
        <v>43682</v>
      </c>
      <c r="BY1294" s="89">
        <v>75870</v>
      </c>
      <c r="BZ1294" s="112">
        <v>87.8125</v>
      </c>
      <c r="CC1294" s="84">
        <v>2019</v>
      </c>
      <c r="CK1294" s="88">
        <v>0</v>
      </c>
    </row>
    <row r="1295" spans="1:89" x14ac:dyDescent="0.15">
      <c r="A1295" s="84">
        <v>2</v>
      </c>
      <c r="B1295" s="85">
        <v>43738</v>
      </c>
      <c r="C1295" s="85">
        <v>43798</v>
      </c>
      <c r="D1295" s="85">
        <v>43763</v>
      </c>
      <c r="F1295" s="85">
        <v>43763</v>
      </c>
      <c r="G1295" s="85">
        <v>43762</v>
      </c>
      <c r="H1295" s="85">
        <v>43759</v>
      </c>
      <c r="I1295" s="84" t="s">
        <v>401</v>
      </c>
      <c r="J1295" s="84">
        <v>1</v>
      </c>
      <c r="L1295" s="84">
        <v>0</v>
      </c>
      <c r="M1295" s="85">
        <v>43682</v>
      </c>
      <c r="N1295" s="85" t="s">
        <v>265</v>
      </c>
      <c r="O1295" s="86" t="s">
        <v>340</v>
      </c>
      <c r="P1295" s="84" t="s">
        <v>26</v>
      </c>
      <c r="Q1295" s="86" t="s">
        <v>120</v>
      </c>
      <c r="R1295" s="86" t="s">
        <v>3852</v>
      </c>
      <c r="S1295" s="87" t="s">
        <v>1009</v>
      </c>
      <c r="T1295" s="87" t="s">
        <v>2654</v>
      </c>
      <c r="U1295" s="88">
        <v>153500</v>
      </c>
      <c r="V1295" s="88">
        <v>165780</v>
      </c>
      <c r="W1295" s="88">
        <v>86500</v>
      </c>
      <c r="X1295" s="88">
        <v>93420</v>
      </c>
      <c r="Y1295" s="88">
        <v>67000</v>
      </c>
      <c r="Z1295" s="88">
        <v>72360</v>
      </c>
      <c r="AA1295" s="85">
        <v>43753</v>
      </c>
      <c r="AB1295" s="85">
        <v>43756</v>
      </c>
      <c r="AC1295" s="85">
        <v>43756</v>
      </c>
      <c r="AD1295" s="84">
        <v>0</v>
      </c>
      <c r="AG1295" s="84">
        <v>0</v>
      </c>
      <c r="AJ1295" s="84">
        <v>0</v>
      </c>
      <c r="AN1295" s="84" t="s">
        <v>338</v>
      </c>
      <c r="AR1295" s="85">
        <v>43684</v>
      </c>
      <c r="AS1295" s="84">
        <v>6001701363</v>
      </c>
      <c r="AT1295" s="85">
        <v>43684</v>
      </c>
      <c r="AU1295" s="84" t="s">
        <v>3421</v>
      </c>
      <c r="AV1295" s="85">
        <v>43798</v>
      </c>
      <c r="AW1295" s="123">
        <v>43769</v>
      </c>
      <c r="AX1295" s="123">
        <v>43789</v>
      </c>
      <c r="AY1295" s="132">
        <v>147360</v>
      </c>
      <c r="AZ1295" s="132">
        <f t="shared" si="8"/>
        <v>162096</v>
      </c>
      <c r="BA1295" s="84" t="s">
        <v>778</v>
      </c>
      <c r="BC1295" s="88">
        <v>0</v>
      </c>
      <c r="BG1295" s="88">
        <v>0</v>
      </c>
      <c r="BI1295" s="84" t="s">
        <v>434</v>
      </c>
      <c r="BJ1295" s="88">
        <v>43550</v>
      </c>
      <c r="BK1295" s="88">
        <f>ROUNDDOWN(BJ1295+(BJ1295*0.1),0)</f>
        <v>47905</v>
      </c>
      <c r="BL1295" s="84" t="s">
        <v>188</v>
      </c>
      <c r="BS1295" s="88">
        <v>0</v>
      </c>
      <c r="BV1295" s="89">
        <v>93420</v>
      </c>
      <c r="BW1295" s="89">
        <v>47034</v>
      </c>
      <c r="BX1295" s="89">
        <v>43682</v>
      </c>
      <c r="BY1295" s="89">
        <v>46386</v>
      </c>
      <c r="BZ1295" s="112">
        <v>49.653179190751445</v>
      </c>
      <c r="CC1295" s="84">
        <v>2019</v>
      </c>
      <c r="CK1295" s="88">
        <v>0</v>
      </c>
    </row>
    <row r="1296" spans="1:89" x14ac:dyDescent="0.15">
      <c r="A1296" s="84">
        <v>2</v>
      </c>
      <c r="B1296" s="85">
        <v>43844</v>
      </c>
      <c r="C1296" s="85">
        <v>43861</v>
      </c>
      <c r="D1296" s="85">
        <v>43858</v>
      </c>
      <c r="E1296" s="85">
        <v>43859</v>
      </c>
      <c r="F1296" s="85">
        <v>43861</v>
      </c>
      <c r="G1296" s="85">
        <v>43858</v>
      </c>
      <c r="H1296" s="85">
        <v>43857</v>
      </c>
      <c r="I1296" s="84" t="s">
        <v>401</v>
      </c>
      <c r="J1296" s="84">
        <v>1</v>
      </c>
      <c r="L1296" s="84">
        <v>0</v>
      </c>
      <c r="M1296" s="85">
        <v>43682</v>
      </c>
      <c r="N1296" s="85" t="s">
        <v>265</v>
      </c>
      <c r="O1296" s="86" t="s">
        <v>340</v>
      </c>
      <c r="P1296" s="84" t="s">
        <v>26</v>
      </c>
      <c r="Q1296" s="86" t="s">
        <v>120</v>
      </c>
      <c r="R1296" s="86" t="s">
        <v>3389</v>
      </c>
      <c r="S1296" s="87" t="s">
        <v>3406</v>
      </c>
      <c r="T1296" s="87" t="s">
        <v>2654</v>
      </c>
      <c r="U1296" s="88">
        <v>153500</v>
      </c>
      <c r="V1296" s="88">
        <v>165780</v>
      </c>
      <c r="W1296" s="88">
        <v>86500</v>
      </c>
      <c r="X1296" s="88">
        <v>93420</v>
      </c>
      <c r="Y1296" s="88">
        <v>67000</v>
      </c>
      <c r="Z1296" s="88">
        <v>72360</v>
      </c>
      <c r="AA1296" s="85">
        <v>43853</v>
      </c>
      <c r="AB1296" s="85">
        <v>43854</v>
      </c>
      <c r="AC1296" s="85">
        <v>43854</v>
      </c>
      <c r="AD1296" s="84">
        <v>0</v>
      </c>
      <c r="AG1296" s="84">
        <v>0</v>
      </c>
      <c r="AJ1296" s="84">
        <v>0</v>
      </c>
      <c r="AR1296" s="85">
        <v>43686</v>
      </c>
      <c r="AS1296" s="84">
        <v>6001702347</v>
      </c>
      <c r="AT1296" s="85">
        <v>43686</v>
      </c>
      <c r="AU1296" s="84" t="s">
        <v>3438</v>
      </c>
      <c r="AV1296" s="85">
        <v>43861</v>
      </c>
      <c r="AW1296" s="123">
        <v>43861</v>
      </c>
      <c r="AX1296" s="123">
        <v>43881</v>
      </c>
      <c r="AY1296" s="132">
        <v>147360</v>
      </c>
      <c r="AZ1296" s="132">
        <f t="shared" si="8"/>
        <v>162096</v>
      </c>
      <c r="BC1296" s="88">
        <v>0</v>
      </c>
      <c r="BG1296" s="88">
        <v>0</v>
      </c>
      <c r="BI1296" s="84" t="s">
        <v>276</v>
      </c>
      <c r="BJ1296" s="88">
        <v>43550</v>
      </c>
      <c r="BK1296" s="88">
        <v>47034</v>
      </c>
      <c r="BL1296" s="84" t="s">
        <v>1233</v>
      </c>
      <c r="BS1296" s="88">
        <v>0</v>
      </c>
      <c r="BV1296" s="89">
        <v>93420</v>
      </c>
      <c r="BW1296" s="89">
        <v>47034</v>
      </c>
      <c r="BX1296" s="89">
        <v>43682</v>
      </c>
      <c r="BY1296" s="89">
        <v>46386</v>
      </c>
      <c r="BZ1296" s="112">
        <v>49.653179190751445</v>
      </c>
      <c r="CK1296" s="88">
        <v>0</v>
      </c>
    </row>
    <row r="1297" spans="1:89" x14ac:dyDescent="0.15">
      <c r="A1297" s="84">
        <v>2</v>
      </c>
      <c r="B1297" s="85">
        <v>43774</v>
      </c>
      <c r="C1297" s="85">
        <v>43798</v>
      </c>
      <c r="E1297" s="85">
        <v>43788</v>
      </c>
      <c r="F1297" s="85">
        <v>43791</v>
      </c>
      <c r="G1297" s="85">
        <v>43787</v>
      </c>
      <c r="H1297" s="85">
        <v>43787</v>
      </c>
      <c r="I1297" s="84" t="s">
        <v>401</v>
      </c>
      <c r="J1297" s="84">
        <v>1</v>
      </c>
      <c r="L1297" s="84">
        <v>0</v>
      </c>
      <c r="M1297" s="85">
        <v>43682</v>
      </c>
      <c r="N1297" s="85" t="s">
        <v>265</v>
      </c>
      <c r="O1297" s="86" t="s">
        <v>340</v>
      </c>
      <c r="P1297" s="84" t="s">
        <v>26</v>
      </c>
      <c r="Q1297" s="86" t="s">
        <v>120</v>
      </c>
      <c r="R1297" s="86" t="s">
        <v>3391</v>
      </c>
      <c r="S1297" s="87" t="s">
        <v>635</v>
      </c>
      <c r="T1297" s="87" t="s">
        <v>2654</v>
      </c>
      <c r="U1297" s="88">
        <v>153500</v>
      </c>
      <c r="V1297" s="88">
        <v>165780</v>
      </c>
      <c r="W1297" s="88">
        <v>86500</v>
      </c>
      <c r="X1297" s="88">
        <v>93420</v>
      </c>
      <c r="Y1297" s="88">
        <v>67000</v>
      </c>
      <c r="Z1297" s="88">
        <v>72360</v>
      </c>
      <c r="AA1297" s="85">
        <v>43783</v>
      </c>
      <c r="AB1297" s="85">
        <v>43784</v>
      </c>
      <c r="AC1297" s="85">
        <v>43784</v>
      </c>
      <c r="AD1297" s="84">
        <v>0</v>
      </c>
      <c r="AG1297" s="84">
        <v>0</v>
      </c>
      <c r="AJ1297" s="84">
        <v>0</v>
      </c>
      <c r="AR1297" s="85">
        <v>43684</v>
      </c>
      <c r="AS1297" s="84">
        <v>6001701363</v>
      </c>
      <c r="AT1297" s="85">
        <v>43684</v>
      </c>
      <c r="AU1297" s="84" t="s">
        <v>3421</v>
      </c>
      <c r="AV1297" s="85">
        <v>43798</v>
      </c>
      <c r="AW1297" s="123">
        <v>43799</v>
      </c>
      <c r="AX1297" s="123">
        <v>43819</v>
      </c>
      <c r="AY1297" s="132">
        <v>147360</v>
      </c>
      <c r="AZ1297" s="132">
        <f t="shared" si="8"/>
        <v>162096</v>
      </c>
      <c r="BA1297" s="84" t="s">
        <v>778</v>
      </c>
      <c r="BC1297" s="88">
        <v>0</v>
      </c>
      <c r="BG1297" s="88">
        <v>0</v>
      </c>
      <c r="BI1297" s="84" t="s">
        <v>276</v>
      </c>
      <c r="BJ1297" s="88">
        <v>43550</v>
      </c>
      <c r="BK1297" s="88">
        <f>ROUNDDOWN(BJ1297+(BJ1297*0.1),0)</f>
        <v>47905</v>
      </c>
      <c r="BL1297" s="84" t="s">
        <v>677</v>
      </c>
      <c r="BS1297" s="88">
        <v>0</v>
      </c>
      <c r="BV1297" s="89">
        <v>93420</v>
      </c>
      <c r="BW1297" s="89">
        <v>47034</v>
      </c>
      <c r="BX1297" s="89">
        <v>43682</v>
      </c>
      <c r="BY1297" s="89">
        <v>46386</v>
      </c>
      <c r="BZ1297" s="112">
        <v>49.653179190751445</v>
      </c>
      <c r="CC1297" s="84">
        <v>2019</v>
      </c>
      <c r="CK1297" s="88">
        <v>0</v>
      </c>
    </row>
    <row r="1298" spans="1:89" x14ac:dyDescent="0.15">
      <c r="A1298" s="84">
        <v>2</v>
      </c>
      <c r="B1298" s="85">
        <v>43787</v>
      </c>
      <c r="C1298" s="85">
        <v>43798</v>
      </c>
      <c r="D1298" s="85">
        <v>43808</v>
      </c>
      <c r="E1298" s="85">
        <v>43808</v>
      </c>
      <c r="F1298" s="85">
        <v>43805</v>
      </c>
      <c r="G1298" s="85">
        <v>43801</v>
      </c>
      <c r="H1298" s="85">
        <v>43801</v>
      </c>
      <c r="I1298" s="84" t="s">
        <v>401</v>
      </c>
      <c r="J1298" s="84">
        <v>1</v>
      </c>
      <c r="L1298" s="84">
        <v>0</v>
      </c>
      <c r="M1298" s="85">
        <v>43682</v>
      </c>
      <c r="N1298" s="85" t="s">
        <v>265</v>
      </c>
      <c r="O1298" s="86" t="s">
        <v>340</v>
      </c>
      <c r="P1298" s="84" t="s">
        <v>26</v>
      </c>
      <c r="Q1298" s="86" t="s">
        <v>120</v>
      </c>
      <c r="R1298" s="86" t="s">
        <v>3392</v>
      </c>
      <c r="S1298" s="87" t="s">
        <v>3398</v>
      </c>
      <c r="T1298" s="87" t="s">
        <v>2654</v>
      </c>
      <c r="U1298" s="88">
        <v>153500</v>
      </c>
      <c r="V1298" s="88">
        <v>165780</v>
      </c>
      <c r="W1298" s="88">
        <v>86500</v>
      </c>
      <c r="X1298" s="88">
        <v>93420</v>
      </c>
      <c r="Y1298" s="88">
        <v>67000</v>
      </c>
      <c r="Z1298" s="88">
        <v>72360</v>
      </c>
      <c r="AA1298" s="85">
        <v>43795</v>
      </c>
      <c r="AB1298" s="85">
        <v>43798</v>
      </c>
      <c r="AC1298" s="85">
        <v>43798</v>
      </c>
      <c r="AD1298" s="84">
        <v>0</v>
      </c>
      <c r="AG1298" s="84">
        <v>0</v>
      </c>
      <c r="AJ1298" s="84">
        <v>0</v>
      </c>
      <c r="AR1298" s="85">
        <v>43686</v>
      </c>
      <c r="AS1298" s="84">
        <v>6001702347</v>
      </c>
      <c r="AT1298" s="85">
        <v>43686</v>
      </c>
      <c r="AU1298" s="84" t="s">
        <v>3438</v>
      </c>
      <c r="AV1298" s="85">
        <v>43798</v>
      </c>
      <c r="AW1298" s="123">
        <v>43799</v>
      </c>
      <c r="AX1298" s="123">
        <v>43819</v>
      </c>
      <c r="AY1298" s="132">
        <v>147360</v>
      </c>
      <c r="AZ1298" s="132">
        <f t="shared" si="8"/>
        <v>162096</v>
      </c>
      <c r="BA1298" s="84" t="s">
        <v>778</v>
      </c>
      <c r="BC1298" s="88">
        <v>0</v>
      </c>
      <c r="BG1298" s="88">
        <v>0</v>
      </c>
      <c r="BI1298" s="84" t="s">
        <v>276</v>
      </c>
      <c r="BJ1298" s="88">
        <v>43550</v>
      </c>
      <c r="BK1298" s="88">
        <f>ROUNDDOWN(BJ1298+(BJ1298*0.1),0)</f>
        <v>47905</v>
      </c>
      <c r="BL1298" s="84" t="s">
        <v>863</v>
      </c>
      <c r="BS1298" s="88">
        <v>0</v>
      </c>
      <c r="BV1298" s="89">
        <v>93420</v>
      </c>
      <c r="BW1298" s="89">
        <v>47034</v>
      </c>
      <c r="BX1298" s="89">
        <v>43682</v>
      </c>
      <c r="BY1298" s="89">
        <v>46386</v>
      </c>
      <c r="BZ1298" s="112">
        <v>49.653179190751445</v>
      </c>
      <c r="CC1298" s="84">
        <v>2019</v>
      </c>
      <c r="CK1298" s="88">
        <v>0</v>
      </c>
    </row>
    <row r="1299" spans="1:89" x14ac:dyDescent="0.15">
      <c r="A1299" s="84">
        <v>2</v>
      </c>
      <c r="B1299" s="85">
        <v>43523</v>
      </c>
      <c r="C1299" s="85">
        <v>43769</v>
      </c>
      <c r="D1299" s="85">
        <v>43754</v>
      </c>
      <c r="F1299" s="85">
        <v>43754</v>
      </c>
      <c r="G1299" s="85">
        <v>43754</v>
      </c>
      <c r="H1299" s="85">
        <v>43750</v>
      </c>
      <c r="I1299" s="84" t="s">
        <v>401</v>
      </c>
      <c r="J1299" s="84">
        <v>1</v>
      </c>
      <c r="L1299" s="84">
        <v>0</v>
      </c>
      <c r="M1299" s="85">
        <v>43682</v>
      </c>
      <c r="N1299" s="85" t="s">
        <v>265</v>
      </c>
      <c r="O1299" s="86" t="s">
        <v>340</v>
      </c>
      <c r="P1299" s="84" t="s">
        <v>26</v>
      </c>
      <c r="Q1299" s="86" t="s">
        <v>120</v>
      </c>
      <c r="R1299" s="86" t="s">
        <v>3393</v>
      </c>
      <c r="S1299" s="87" t="s">
        <v>1900</v>
      </c>
      <c r="T1299" s="87" t="s">
        <v>2654</v>
      </c>
      <c r="U1299" s="88">
        <v>153500</v>
      </c>
      <c r="V1299" s="88">
        <v>165780</v>
      </c>
      <c r="W1299" s="88">
        <v>86500</v>
      </c>
      <c r="X1299" s="88">
        <v>93420</v>
      </c>
      <c r="Y1299" s="88">
        <v>67000</v>
      </c>
      <c r="Z1299" s="88">
        <v>72360</v>
      </c>
      <c r="AA1299" s="85">
        <v>43745</v>
      </c>
      <c r="AB1299" s="85">
        <v>43747</v>
      </c>
      <c r="AC1299" s="85">
        <v>43747</v>
      </c>
      <c r="AD1299" s="84">
        <v>0</v>
      </c>
      <c r="AG1299" s="84">
        <v>0</v>
      </c>
      <c r="AJ1299" s="84">
        <v>0</v>
      </c>
      <c r="AR1299" s="85">
        <v>43684</v>
      </c>
      <c r="AS1299" s="84">
        <v>6001701363</v>
      </c>
      <c r="AT1299" s="85">
        <v>43684</v>
      </c>
      <c r="AU1299" s="84" t="s">
        <v>3421</v>
      </c>
      <c r="AV1299" s="85">
        <v>43769</v>
      </c>
      <c r="AW1299" s="160">
        <v>43769</v>
      </c>
      <c r="AX1299" s="160">
        <v>43789</v>
      </c>
      <c r="AY1299" s="132">
        <v>147360</v>
      </c>
      <c r="AZ1299" s="132">
        <f>ROUNDDOWN(AY1299+(AY1299*0.1),0)</f>
        <v>162096</v>
      </c>
      <c r="BA1299" s="84" t="s">
        <v>778</v>
      </c>
      <c r="BC1299" s="88">
        <v>0</v>
      </c>
      <c r="BG1299" s="88">
        <v>0</v>
      </c>
      <c r="BI1299" s="84" t="s">
        <v>276</v>
      </c>
      <c r="BJ1299" s="88">
        <v>43550</v>
      </c>
      <c r="BK1299" s="88">
        <f>ROUNDDOWN(BJ1299+(BJ1299*0.1),0)</f>
        <v>47905</v>
      </c>
      <c r="BL1299" s="84" t="s">
        <v>430</v>
      </c>
      <c r="BS1299" s="88">
        <v>0</v>
      </c>
      <c r="BV1299" s="89">
        <v>93420</v>
      </c>
      <c r="BW1299" s="89">
        <v>47034</v>
      </c>
      <c r="BX1299" s="89">
        <v>43682</v>
      </c>
      <c r="BY1299" s="89">
        <v>46386</v>
      </c>
      <c r="BZ1299" s="112">
        <v>49.653179190751445</v>
      </c>
      <c r="CC1299" s="84">
        <v>2019</v>
      </c>
      <c r="CK1299" s="88">
        <v>0</v>
      </c>
    </row>
    <row r="1300" spans="1:89" x14ac:dyDescent="0.15">
      <c r="A1300" s="84">
        <v>2</v>
      </c>
      <c r="B1300" s="85">
        <v>43844</v>
      </c>
      <c r="C1300" s="85">
        <v>43861</v>
      </c>
      <c r="E1300" s="85">
        <v>43859</v>
      </c>
      <c r="F1300" s="85">
        <v>43861</v>
      </c>
      <c r="G1300" s="85">
        <v>43857</v>
      </c>
      <c r="H1300" s="85">
        <v>43857</v>
      </c>
      <c r="I1300" s="84" t="s">
        <v>401</v>
      </c>
      <c r="J1300" s="84">
        <v>1</v>
      </c>
      <c r="L1300" s="84">
        <v>0</v>
      </c>
      <c r="M1300" s="85">
        <v>43682</v>
      </c>
      <c r="N1300" s="85" t="s">
        <v>265</v>
      </c>
      <c r="O1300" s="86" t="s">
        <v>340</v>
      </c>
      <c r="P1300" s="84" t="s">
        <v>26</v>
      </c>
      <c r="Q1300" s="86" t="s">
        <v>120</v>
      </c>
      <c r="R1300" s="86" t="s">
        <v>3394</v>
      </c>
      <c r="S1300" s="87" t="s">
        <v>2453</v>
      </c>
      <c r="T1300" s="87" t="s">
        <v>2654</v>
      </c>
      <c r="U1300" s="88">
        <v>153500</v>
      </c>
      <c r="V1300" s="88">
        <v>165780</v>
      </c>
      <c r="W1300" s="88">
        <v>86500</v>
      </c>
      <c r="X1300" s="88">
        <v>93420</v>
      </c>
      <c r="Y1300" s="88">
        <v>67000</v>
      </c>
      <c r="Z1300" s="88">
        <v>72360</v>
      </c>
      <c r="AA1300" s="85">
        <v>43853</v>
      </c>
      <c r="AB1300" s="85">
        <v>43854</v>
      </c>
      <c r="AC1300" s="85">
        <v>43854</v>
      </c>
      <c r="AD1300" s="84">
        <v>0</v>
      </c>
      <c r="AG1300" s="84">
        <v>0</v>
      </c>
      <c r="AJ1300" s="84">
        <v>0</v>
      </c>
      <c r="AR1300" s="85">
        <v>43684</v>
      </c>
      <c r="AS1300" s="84">
        <v>6001701363</v>
      </c>
      <c r="AT1300" s="85">
        <v>43684</v>
      </c>
      <c r="AU1300" s="84" t="s">
        <v>3421</v>
      </c>
      <c r="AV1300" s="85">
        <v>43861</v>
      </c>
      <c r="AW1300" s="123">
        <v>43861</v>
      </c>
      <c r="AX1300" s="123">
        <v>43881</v>
      </c>
      <c r="AY1300" s="132">
        <v>147360</v>
      </c>
      <c r="AZ1300" s="132">
        <f t="shared" si="8"/>
        <v>162096</v>
      </c>
      <c r="BC1300" s="88">
        <v>0</v>
      </c>
      <c r="BG1300" s="88">
        <v>0</v>
      </c>
      <c r="BI1300" s="84" t="s">
        <v>276</v>
      </c>
      <c r="BJ1300" s="88">
        <v>43550</v>
      </c>
      <c r="BK1300" s="88">
        <v>47034</v>
      </c>
      <c r="BL1300" s="84" t="s">
        <v>1233</v>
      </c>
      <c r="BS1300" s="88">
        <v>0</v>
      </c>
      <c r="BV1300" s="89">
        <v>93420</v>
      </c>
      <c r="BW1300" s="89">
        <v>47034</v>
      </c>
      <c r="BX1300" s="89">
        <v>43682</v>
      </c>
      <c r="BY1300" s="89">
        <v>46386</v>
      </c>
      <c r="BZ1300" s="112">
        <v>49.653179190751445</v>
      </c>
      <c r="CK1300" s="88">
        <v>0</v>
      </c>
    </row>
    <row r="1301" spans="1:89" x14ac:dyDescent="0.15">
      <c r="A1301" s="84">
        <v>2</v>
      </c>
      <c r="B1301" s="85">
        <v>43787</v>
      </c>
      <c r="C1301" s="85">
        <v>43798</v>
      </c>
      <c r="E1301" s="85">
        <v>43808</v>
      </c>
      <c r="F1301" s="85">
        <v>43801</v>
      </c>
      <c r="G1301" s="85">
        <v>43798</v>
      </c>
      <c r="H1301" s="85">
        <v>43797</v>
      </c>
      <c r="I1301" s="84" t="s">
        <v>401</v>
      </c>
      <c r="J1301" s="84">
        <v>1</v>
      </c>
      <c r="L1301" s="84">
        <v>0</v>
      </c>
      <c r="M1301" s="85">
        <v>43682</v>
      </c>
      <c r="N1301" s="85" t="s">
        <v>265</v>
      </c>
      <c r="O1301" s="86" t="s">
        <v>340</v>
      </c>
      <c r="P1301" s="84" t="s">
        <v>26</v>
      </c>
      <c r="Q1301" s="86" t="s">
        <v>120</v>
      </c>
      <c r="R1301" s="86" t="s">
        <v>3395</v>
      </c>
      <c r="S1301" s="87" t="s">
        <v>1056</v>
      </c>
      <c r="T1301" s="87" t="s">
        <v>2654</v>
      </c>
      <c r="U1301" s="88">
        <v>153500</v>
      </c>
      <c r="V1301" s="88">
        <v>165780</v>
      </c>
      <c r="W1301" s="88">
        <v>86500</v>
      </c>
      <c r="X1301" s="88">
        <v>93420</v>
      </c>
      <c r="Y1301" s="88">
        <v>67000</v>
      </c>
      <c r="Z1301" s="88">
        <v>72360</v>
      </c>
      <c r="AA1301" s="85">
        <v>43792</v>
      </c>
      <c r="AB1301" s="85">
        <v>43794</v>
      </c>
      <c r="AC1301" s="85">
        <v>43794</v>
      </c>
      <c r="AD1301" s="84">
        <v>0</v>
      </c>
      <c r="AG1301" s="84">
        <v>0</v>
      </c>
      <c r="AJ1301" s="84">
        <v>0</v>
      </c>
      <c r="AR1301" s="85">
        <v>43686</v>
      </c>
      <c r="AS1301" s="84">
        <v>6001702347</v>
      </c>
      <c r="AT1301" s="85">
        <v>43686</v>
      </c>
      <c r="AU1301" s="84" t="s">
        <v>3438</v>
      </c>
      <c r="AV1301" s="85">
        <v>43798</v>
      </c>
      <c r="AW1301" s="123">
        <v>43799</v>
      </c>
      <c r="AX1301" s="123">
        <v>43819</v>
      </c>
      <c r="AY1301" s="132">
        <v>147360</v>
      </c>
      <c r="AZ1301" s="132">
        <f t="shared" si="8"/>
        <v>162096</v>
      </c>
      <c r="BA1301" s="84" t="s">
        <v>778</v>
      </c>
      <c r="BC1301" s="88">
        <v>0</v>
      </c>
      <c r="BG1301" s="88">
        <v>0</v>
      </c>
      <c r="BI1301" s="84" t="s">
        <v>276</v>
      </c>
      <c r="BJ1301" s="88">
        <v>43550</v>
      </c>
      <c r="BK1301" s="88">
        <f>ROUNDDOWN(BJ1301+(BJ1301*0.1),0)</f>
        <v>47905</v>
      </c>
      <c r="BL1301" s="84" t="s">
        <v>863</v>
      </c>
      <c r="BS1301" s="88">
        <v>0</v>
      </c>
      <c r="BV1301" s="89">
        <v>93420</v>
      </c>
      <c r="BW1301" s="89">
        <v>47034</v>
      </c>
      <c r="BX1301" s="89">
        <v>43682</v>
      </c>
      <c r="BY1301" s="89">
        <v>46386</v>
      </c>
      <c r="BZ1301" s="112">
        <v>49.653179190751445</v>
      </c>
      <c r="CC1301" s="84">
        <v>2019</v>
      </c>
      <c r="CK1301" s="88">
        <v>0</v>
      </c>
    </row>
    <row r="1302" spans="1:89" x14ac:dyDescent="0.15">
      <c r="A1302" s="84">
        <v>2</v>
      </c>
      <c r="B1302" s="85">
        <v>43738</v>
      </c>
      <c r="C1302" s="85">
        <v>43798</v>
      </c>
      <c r="D1302" s="85">
        <v>43754</v>
      </c>
      <c r="E1302" s="85">
        <v>43754</v>
      </c>
      <c r="F1302" s="85">
        <v>43756</v>
      </c>
      <c r="G1302" s="85">
        <v>43754</v>
      </c>
      <c r="H1302" s="85">
        <v>43752</v>
      </c>
      <c r="I1302" s="84" t="s">
        <v>401</v>
      </c>
      <c r="J1302" s="84">
        <v>1</v>
      </c>
      <c r="L1302" s="84">
        <v>0</v>
      </c>
      <c r="M1302" s="85">
        <v>43682</v>
      </c>
      <c r="N1302" s="85" t="s">
        <v>265</v>
      </c>
      <c r="O1302" s="86" t="s">
        <v>340</v>
      </c>
      <c r="P1302" s="84" t="s">
        <v>26</v>
      </c>
      <c r="Q1302" s="86" t="s">
        <v>120</v>
      </c>
      <c r="R1302" s="86" t="s">
        <v>3396</v>
      </c>
      <c r="S1302" s="87" t="s">
        <v>3695</v>
      </c>
      <c r="T1302" s="87" t="s">
        <v>2654</v>
      </c>
      <c r="U1302" s="88">
        <v>153500</v>
      </c>
      <c r="V1302" s="88">
        <v>165780</v>
      </c>
      <c r="W1302" s="88">
        <v>86500</v>
      </c>
      <c r="X1302" s="88">
        <v>93420</v>
      </c>
      <c r="Y1302" s="88">
        <v>67000</v>
      </c>
      <c r="Z1302" s="88">
        <v>72360</v>
      </c>
      <c r="AA1302" s="85">
        <v>43745</v>
      </c>
      <c r="AB1302" s="85">
        <v>43749</v>
      </c>
      <c r="AC1302" s="85">
        <v>43749</v>
      </c>
      <c r="AD1302" s="84">
        <v>0</v>
      </c>
      <c r="AG1302" s="84">
        <v>0</v>
      </c>
      <c r="AJ1302" s="84">
        <v>0</v>
      </c>
      <c r="AR1302" s="85">
        <v>43684</v>
      </c>
      <c r="AS1302" s="84">
        <v>6001701363</v>
      </c>
      <c r="AT1302" s="85">
        <v>43684</v>
      </c>
      <c r="AU1302" s="84" t="s">
        <v>3421</v>
      </c>
      <c r="AV1302" s="85">
        <v>43798</v>
      </c>
      <c r="AW1302" s="123">
        <v>43769</v>
      </c>
      <c r="AX1302" s="123">
        <v>43789</v>
      </c>
      <c r="AY1302" s="132">
        <v>147360</v>
      </c>
      <c r="AZ1302" s="132">
        <f t="shared" si="8"/>
        <v>162096</v>
      </c>
      <c r="BA1302" s="84" t="s">
        <v>778</v>
      </c>
      <c r="BC1302" s="88">
        <v>0</v>
      </c>
      <c r="BG1302" s="88">
        <v>0</v>
      </c>
      <c r="BI1302" s="84" t="s">
        <v>276</v>
      </c>
      <c r="BJ1302" s="88">
        <v>43550</v>
      </c>
      <c r="BK1302" s="88">
        <f>ROUNDDOWN(BJ1302+(BJ1302*0.1),0)</f>
        <v>47905</v>
      </c>
      <c r="BL1302" s="84" t="s">
        <v>430</v>
      </c>
      <c r="BS1302" s="88">
        <v>0</v>
      </c>
      <c r="BV1302" s="89">
        <v>93420</v>
      </c>
      <c r="BW1302" s="89">
        <v>47034</v>
      </c>
      <c r="BX1302" s="89">
        <v>43682</v>
      </c>
      <c r="BY1302" s="89">
        <v>46386</v>
      </c>
      <c r="BZ1302" s="112">
        <v>49.653179190751445</v>
      </c>
      <c r="CC1302" s="84">
        <v>2019</v>
      </c>
      <c r="CK1302" s="88">
        <v>0</v>
      </c>
    </row>
    <row r="1303" spans="1:89" x14ac:dyDescent="0.15">
      <c r="A1303" s="84">
        <v>2</v>
      </c>
      <c r="B1303" s="85">
        <v>43787</v>
      </c>
      <c r="C1303" s="85">
        <v>43798</v>
      </c>
      <c r="D1303" s="85">
        <v>43808</v>
      </c>
      <c r="E1303" s="85">
        <v>43808</v>
      </c>
      <c r="F1303" s="85">
        <v>43803</v>
      </c>
      <c r="G1303" s="85">
        <v>43798</v>
      </c>
      <c r="H1303" s="85">
        <v>43799</v>
      </c>
      <c r="I1303" s="84" t="s">
        <v>401</v>
      </c>
      <c r="J1303" s="84">
        <v>1</v>
      </c>
      <c r="L1303" s="84">
        <v>0</v>
      </c>
      <c r="M1303" s="85">
        <v>43682</v>
      </c>
      <c r="N1303" s="85" t="s">
        <v>265</v>
      </c>
      <c r="O1303" s="86" t="s">
        <v>340</v>
      </c>
      <c r="P1303" s="84" t="s">
        <v>26</v>
      </c>
      <c r="Q1303" s="86" t="s">
        <v>120</v>
      </c>
      <c r="R1303" s="86" t="s">
        <v>3390</v>
      </c>
      <c r="S1303" s="87" t="s">
        <v>2617</v>
      </c>
      <c r="T1303" s="87" t="s">
        <v>2654</v>
      </c>
      <c r="U1303" s="88">
        <v>153500</v>
      </c>
      <c r="V1303" s="88">
        <v>165780</v>
      </c>
      <c r="W1303" s="88">
        <v>86500</v>
      </c>
      <c r="X1303" s="88">
        <v>93420</v>
      </c>
      <c r="Y1303" s="88">
        <v>67000</v>
      </c>
      <c r="Z1303" s="88">
        <v>72360</v>
      </c>
      <c r="AA1303" s="85">
        <v>43792</v>
      </c>
      <c r="AB1303" s="85">
        <v>43796</v>
      </c>
      <c r="AC1303" s="85">
        <v>43796</v>
      </c>
      <c r="AD1303" s="84">
        <v>0</v>
      </c>
      <c r="AG1303" s="84">
        <v>0</v>
      </c>
      <c r="AJ1303" s="84">
        <v>0</v>
      </c>
      <c r="AR1303" s="85">
        <v>43684</v>
      </c>
      <c r="AS1303" s="84">
        <v>6001701363</v>
      </c>
      <c r="AT1303" s="85">
        <v>43684</v>
      </c>
      <c r="AU1303" s="84" t="s">
        <v>3421</v>
      </c>
      <c r="AV1303" s="85">
        <v>43798</v>
      </c>
      <c r="AW1303" s="123">
        <v>43799</v>
      </c>
      <c r="AX1303" s="123">
        <v>43819</v>
      </c>
      <c r="AY1303" s="132">
        <v>147360</v>
      </c>
      <c r="AZ1303" s="132">
        <f t="shared" si="8"/>
        <v>162096</v>
      </c>
      <c r="BA1303" s="84" t="s">
        <v>778</v>
      </c>
      <c r="BC1303" s="88">
        <v>0</v>
      </c>
      <c r="BG1303" s="88">
        <v>0</v>
      </c>
      <c r="BI1303" s="84" t="s">
        <v>276</v>
      </c>
      <c r="BJ1303" s="88">
        <v>43550</v>
      </c>
      <c r="BK1303" s="88">
        <f>ROUNDDOWN(BJ1303+(BJ1303*0.1),0)</f>
        <v>47905</v>
      </c>
      <c r="BL1303" s="84" t="s">
        <v>863</v>
      </c>
      <c r="BS1303" s="88">
        <v>0</v>
      </c>
      <c r="BV1303" s="89">
        <v>93420</v>
      </c>
      <c r="BW1303" s="89">
        <v>47034</v>
      </c>
      <c r="BX1303" s="89">
        <v>43682</v>
      </c>
      <c r="BY1303" s="89">
        <v>46386</v>
      </c>
      <c r="BZ1303" s="112">
        <v>49.653179190751445</v>
      </c>
      <c r="CC1303" s="84">
        <v>2019</v>
      </c>
      <c r="CK1303" s="88">
        <v>0</v>
      </c>
    </row>
    <row r="1304" spans="1:89" x14ac:dyDescent="0.15">
      <c r="A1304" s="84">
        <v>2</v>
      </c>
      <c r="B1304" s="85">
        <v>43844</v>
      </c>
      <c r="C1304" s="85">
        <v>43861</v>
      </c>
      <c r="F1304" s="85">
        <v>43860</v>
      </c>
      <c r="G1304" s="85">
        <v>43860</v>
      </c>
      <c r="H1304" s="85">
        <v>43856</v>
      </c>
      <c r="I1304" s="84" t="s">
        <v>401</v>
      </c>
      <c r="J1304" s="84">
        <v>1</v>
      </c>
      <c r="L1304" s="84">
        <v>0</v>
      </c>
      <c r="M1304" s="85">
        <v>43682</v>
      </c>
      <c r="N1304" s="85" t="s">
        <v>265</v>
      </c>
      <c r="O1304" s="86" t="s">
        <v>340</v>
      </c>
      <c r="P1304" s="84" t="s">
        <v>26</v>
      </c>
      <c r="Q1304" s="86" t="s">
        <v>120</v>
      </c>
      <c r="R1304" s="86" t="s">
        <v>3961</v>
      </c>
      <c r="S1304" s="87" t="s">
        <v>1053</v>
      </c>
      <c r="T1304" s="87" t="s">
        <v>1030</v>
      </c>
      <c r="U1304" s="88">
        <v>216500</v>
      </c>
      <c r="V1304" s="88">
        <v>233820</v>
      </c>
      <c r="W1304" s="88">
        <v>104500</v>
      </c>
      <c r="X1304" s="88">
        <v>112860</v>
      </c>
      <c r="Y1304" s="88">
        <v>112000</v>
      </c>
      <c r="Z1304" s="88">
        <v>120960</v>
      </c>
      <c r="AA1304" s="85">
        <v>43851</v>
      </c>
      <c r="AB1304" s="85">
        <v>43853</v>
      </c>
      <c r="AC1304" s="85">
        <v>43853</v>
      </c>
      <c r="AD1304" s="84">
        <v>0</v>
      </c>
      <c r="AG1304" s="84">
        <v>0</v>
      </c>
      <c r="AJ1304" s="84">
        <v>0</v>
      </c>
      <c r="AN1304" s="84" t="s">
        <v>338</v>
      </c>
      <c r="AR1304" s="85">
        <v>43684</v>
      </c>
      <c r="AS1304" s="84">
        <v>6001701363</v>
      </c>
      <c r="AT1304" s="85">
        <v>43684</v>
      </c>
      <c r="AU1304" s="84" t="s">
        <v>3421</v>
      </c>
      <c r="AV1304" s="85">
        <v>43861</v>
      </c>
      <c r="AW1304" s="123">
        <v>43861</v>
      </c>
      <c r="AX1304" s="123">
        <v>43881</v>
      </c>
      <c r="AY1304" s="132">
        <v>207840</v>
      </c>
      <c r="AZ1304" s="132">
        <f t="shared" si="8"/>
        <v>228624</v>
      </c>
      <c r="BC1304" s="88">
        <v>0</v>
      </c>
      <c r="BG1304" s="88">
        <v>0</v>
      </c>
      <c r="BI1304" s="84" t="s">
        <v>276</v>
      </c>
      <c r="BJ1304" s="88">
        <v>72800</v>
      </c>
      <c r="BK1304" s="88">
        <v>78624</v>
      </c>
      <c r="BL1304" s="84" t="s">
        <v>1233</v>
      </c>
      <c r="BS1304" s="88">
        <v>0</v>
      </c>
      <c r="BV1304" s="89">
        <v>112860</v>
      </c>
      <c r="BW1304" s="89">
        <v>78624</v>
      </c>
      <c r="BX1304" s="89">
        <v>43682</v>
      </c>
      <c r="BY1304" s="89">
        <v>34236</v>
      </c>
      <c r="BZ1304" s="112">
        <v>30.334928229665071</v>
      </c>
      <c r="CK1304" s="88">
        <v>0</v>
      </c>
    </row>
    <row r="1305" spans="1:89" x14ac:dyDescent="0.15">
      <c r="A1305" s="84">
        <v>2</v>
      </c>
      <c r="B1305" s="85">
        <v>43844</v>
      </c>
      <c r="C1305" s="85">
        <v>43861</v>
      </c>
      <c r="E1305" s="85">
        <v>43853</v>
      </c>
      <c r="F1305" s="85">
        <v>43860</v>
      </c>
      <c r="G1305" s="85">
        <v>43860</v>
      </c>
      <c r="H1305" s="85">
        <v>43856</v>
      </c>
      <c r="I1305" s="84" t="s">
        <v>401</v>
      </c>
      <c r="J1305" s="84">
        <v>1</v>
      </c>
      <c r="L1305" s="84">
        <v>0</v>
      </c>
      <c r="M1305" s="85">
        <v>43682</v>
      </c>
      <c r="N1305" s="85" t="s">
        <v>265</v>
      </c>
      <c r="O1305" s="86" t="s">
        <v>340</v>
      </c>
      <c r="P1305" s="84" t="s">
        <v>26</v>
      </c>
      <c r="Q1305" s="86" t="s">
        <v>120</v>
      </c>
      <c r="R1305" s="86" t="s">
        <v>3962</v>
      </c>
      <c r="S1305" s="87" t="s">
        <v>1053</v>
      </c>
      <c r="T1305" s="87" t="s">
        <v>1121</v>
      </c>
      <c r="U1305" s="88">
        <v>169000</v>
      </c>
      <c r="V1305" s="88">
        <v>182520</v>
      </c>
      <c r="W1305" s="88">
        <v>107000</v>
      </c>
      <c r="X1305" s="88">
        <v>115560</v>
      </c>
      <c r="Y1305" s="88">
        <v>62000</v>
      </c>
      <c r="Z1305" s="88">
        <v>66960</v>
      </c>
      <c r="AA1305" s="85">
        <v>43851</v>
      </c>
      <c r="AB1305" s="85">
        <v>43853</v>
      </c>
      <c r="AC1305" s="85">
        <v>43853</v>
      </c>
      <c r="AD1305" s="84">
        <v>0</v>
      </c>
      <c r="AG1305" s="84">
        <v>0</v>
      </c>
      <c r="AJ1305" s="84">
        <v>0</v>
      </c>
      <c r="AN1305" s="84" t="s">
        <v>338</v>
      </c>
      <c r="AR1305" s="85">
        <v>43684</v>
      </c>
      <c r="AS1305" s="84">
        <v>6001701363</v>
      </c>
      <c r="AT1305" s="85">
        <v>43684</v>
      </c>
      <c r="AU1305" s="84" t="s">
        <v>3421</v>
      </c>
      <c r="AV1305" s="85">
        <v>43861</v>
      </c>
      <c r="AW1305" s="123">
        <v>43861</v>
      </c>
      <c r="AX1305" s="123">
        <v>43881</v>
      </c>
      <c r="AY1305" s="132">
        <v>162240</v>
      </c>
      <c r="AZ1305" s="132">
        <f t="shared" si="8"/>
        <v>178464</v>
      </c>
      <c r="BC1305" s="88">
        <v>0</v>
      </c>
      <c r="BG1305" s="88">
        <v>0</v>
      </c>
      <c r="BI1305" s="84" t="s">
        <v>434</v>
      </c>
      <c r="BJ1305" s="88">
        <v>40300</v>
      </c>
      <c r="BK1305" s="88">
        <v>43524</v>
      </c>
      <c r="BL1305" s="84" t="s">
        <v>1233</v>
      </c>
      <c r="BS1305" s="88">
        <v>0</v>
      </c>
      <c r="BV1305" s="89">
        <v>115560</v>
      </c>
      <c r="BW1305" s="89">
        <v>43524</v>
      </c>
      <c r="BX1305" s="89">
        <v>43682</v>
      </c>
      <c r="BY1305" s="89">
        <v>72036</v>
      </c>
      <c r="BZ1305" s="112">
        <v>62.336448598130843</v>
      </c>
      <c r="CK1305" s="88">
        <v>0</v>
      </c>
    </row>
    <row r="1306" spans="1:89" s="151" customFormat="1" x14ac:dyDescent="0.15">
      <c r="A1306" s="141">
        <v>3</v>
      </c>
      <c r="B1306" s="142"/>
      <c r="C1306" s="142" t="s">
        <v>338</v>
      </c>
      <c r="D1306" s="142"/>
      <c r="E1306" s="142"/>
      <c r="F1306" s="142" t="s">
        <v>338</v>
      </c>
      <c r="G1306" s="142"/>
      <c r="H1306" s="142" t="s">
        <v>338</v>
      </c>
      <c r="I1306" s="141"/>
      <c r="J1306" s="141">
        <v>2</v>
      </c>
      <c r="K1306" s="142"/>
      <c r="L1306" s="141">
        <v>0</v>
      </c>
      <c r="M1306" s="142">
        <v>43682</v>
      </c>
      <c r="N1306" s="142" t="s">
        <v>3804</v>
      </c>
      <c r="O1306" s="143" t="s">
        <v>3798</v>
      </c>
      <c r="P1306" s="141" t="s">
        <v>3807</v>
      </c>
      <c r="Q1306" s="143" t="s">
        <v>3808</v>
      </c>
      <c r="R1306" s="143" t="s">
        <v>3810</v>
      </c>
      <c r="S1306" s="144" t="s">
        <v>3802</v>
      </c>
      <c r="T1306" s="144" t="s">
        <v>3809</v>
      </c>
      <c r="U1306" s="145">
        <v>480000</v>
      </c>
      <c r="V1306" s="145">
        <v>518400</v>
      </c>
      <c r="W1306" s="145">
        <v>480000</v>
      </c>
      <c r="X1306" s="145">
        <v>518400</v>
      </c>
      <c r="Y1306" s="145"/>
      <c r="Z1306" s="145">
        <v>0</v>
      </c>
      <c r="AA1306" s="142"/>
      <c r="AB1306" s="142"/>
      <c r="AC1306" s="142"/>
      <c r="AD1306" s="141">
        <v>0</v>
      </c>
      <c r="AE1306" s="141"/>
      <c r="AF1306" s="141"/>
      <c r="AG1306" s="141">
        <v>0</v>
      </c>
      <c r="AH1306" s="141"/>
      <c r="AI1306" s="141"/>
      <c r="AJ1306" s="141">
        <v>0</v>
      </c>
      <c r="AK1306" s="141"/>
      <c r="AL1306" s="141"/>
      <c r="AM1306" s="141"/>
      <c r="AN1306" s="141" t="s">
        <v>338</v>
      </c>
      <c r="AO1306" s="142"/>
      <c r="AP1306" s="141"/>
      <c r="AQ1306" s="141"/>
      <c r="AR1306" s="142"/>
      <c r="AS1306" s="141"/>
      <c r="AT1306" s="142"/>
      <c r="AU1306" s="141"/>
      <c r="AV1306" s="142"/>
      <c r="AW1306" s="146"/>
      <c r="AX1306" s="146"/>
      <c r="AY1306" s="147">
        <v>460800</v>
      </c>
      <c r="AZ1306" s="147">
        <f>ROUNDDOWN(AY1306+(AY1306*MASTER!$A$2/100),0)</f>
        <v>497664</v>
      </c>
      <c r="BA1306" s="141"/>
      <c r="BB1306" s="145"/>
      <c r="BC1306" s="145">
        <v>0</v>
      </c>
      <c r="BD1306" s="141"/>
      <c r="BE1306" s="141"/>
      <c r="BF1306" s="145"/>
      <c r="BG1306" s="145">
        <v>0</v>
      </c>
      <c r="BH1306" s="141"/>
      <c r="BI1306" s="141"/>
      <c r="BJ1306" s="145"/>
      <c r="BK1306" s="145">
        <v>0</v>
      </c>
      <c r="BL1306" s="141"/>
      <c r="BM1306" s="145"/>
      <c r="BN1306" s="145"/>
      <c r="BO1306" s="145"/>
      <c r="BP1306" s="145"/>
      <c r="BQ1306" s="145"/>
      <c r="BR1306" s="145"/>
      <c r="BS1306" s="145">
        <v>0</v>
      </c>
      <c r="BT1306" s="148"/>
      <c r="BU1306" s="148"/>
      <c r="BV1306" s="149">
        <v>518400</v>
      </c>
      <c r="BW1306" s="149">
        <v>0</v>
      </c>
      <c r="BX1306" s="149">
        <v>43682</v>
      </c>
      <c r="BY1306" s="149">
        <v>518400</v>
      </c>
      <c r="BZ1306" s="150">
        <v>100</v>
      </c>
      <c r="CA1306" s="141"/>
      <c r="CB1306" s="141"/>
      <c r="CC1306" s="141"/>
      <c r="CD1306" s="144"/>
      <c r="CE1306" s="142"/>
      <c r="CF1306" s="142"/>
      <c r="CG1306" s="142"/>
      <c r="CH1306" s="142"/>
      <c r="CI1306" s="142"/>
      <c r="CJ1306" s="142"/>
      <c r="CK1306" s="145"/>
    </row>
    <row r="1307" spans="1:89" x14ac:dyDescent="0.15">
      <c r="A1307" s="84">
        <v>1</v>
      </c>
      <c r="C1307" s="85" t="s">
        <v>338</v>
      </c>
      <c r="F1307" s="85" t="s">
        <v>338</v>
      </c>
      <c r="H1307" s="85" t="s">
        <v>338</v>
      </c>
      <c r="J1307" s="84">
        <v>2</v>
      </c>
      <c r="L1307" s="84">
        <v>0</v>
      </c>
      <c r="M1307" s="85">
        <v>43682</v>
      </c>
      <c r="N1307" s="85" t="s">
        <v>264</v>
      </c>
      <c r="O1307" s="86" t="s">
        <v>340</v>
      </c>
      <c r="P1307" s="84" t="s">
        <v>272</v>
      </c>
      <c r="Q1307" s="86" t="s">
        <v>120</v>
      </c>
      <c r="R1307" s="86" t="s">
        <v>3400</v>
      </c>
      <c r="S1307" s="87" t="s">
        <v>387</v>
      </c>
      <c r="T1307" s="87" t="s">
        <v>3410</v>
      </c>
      <c r="U1307" s="88">
        <v>900000</v>
      </c>
      <c r="V1307" s="88">
        <v>972000</v>
      </c>
      <c r="W1307" s="88">
        <v>900000</v>
      </c>
      <c r="X1307" s="88">
        <v>972000</v>
      </c>
      <c r="Y1307" s="88">
        <v>0</v>
      </c>
      <c r="Z1307" s="88">
        <v>0</v>
      </c>
      <c r="AD1307" s="84">
        <v>0</v>
      </c>
      <c r="AG1307" s="84">
        <v>0</v>
      </c>
      <c r="AJ1307" s="84">
        <v>0</v>
      </c>
      <c r="AR1307" s="85">
        <v>43696</v>
      </c>
      <c r="AS1307" s="84">
        <v>6001703038</v>
      </c>
      <c r="AT1307" s="85">
        <v>43696</v>
      </c>
      <c r="AU1307" s="84" t="s">
        <v>3463</v>
      </c>
      <c r="AV1307" s="85">
        <v>43697</v>
      </c>
      <c r="AW1307" s="123">
        <v>43708</v>
      </c>
      <c r="AX1307" s="123">
        <v>43728</v>
      </c>
      <c r="AY1307" s="140">
        <v>900000</v>
      </c>
      <c r="AZ1307" s="132">
        <f>ROUNDDOWN(AY1307+(AY1307*MASTER!$A$2/100),0)</f>
        <v>972000</v>
      </c>
      <c r="BC1307" s="88">
        <v>0</v>
      </c>
      <c r="BG1307" s="88">
        <v>0</v>
      </c>
      <c r="BK1307" s="88">
        <v>0</v>
      </c>
      <c r="BS1307" s="88">
        <v>0</v>
      </c>
      <c r="BV1307" s="89">
        <v>972000</v>
      </c>
      <c r="BW1307" s="89">
        <v>0</v>
      </c>
      <c r="BX1307" s="89">
        <v>43682</v>
      </c>
      <c r="BY1307" s="89">
        <v>972000</v>
      </c>
      <c r="BZ1307" s="112">
        <v>100</v>
      </c>
    </row>
    <row r="1308" spans="1:89" x14ac:dyDescent="0.15">
      <c r="A1308" s="84">
        <v>2</v>
      </c>
      <c r="B1308" s="85">
        <v>43696</v>
      </c>
      <c r="C1308" s="85">
        <v>43713</v>
      </c>
      <c r="E1308" s="85">
        <v>43741</v>
      </c>
      <c r="F1308" s="85">
        <v>43721</v>
      </c>
      <c r="G1308" s="85">
        <v>43712</v>
      </c>
      <c r="H1308" s="85">
        <v>43717</v>
      </c>
      <c r="I1308" s="84" t="s">
        <v>1191</v>
      </c>
      <c r="J1308" s="84">
        <v>2</v>
      </c>
      <c r="L1308" s="84">
        <v>0</v>
      </c>
      <c r="M1308" s="85">
        <v>43683</v>
      </c>
      <c r="N1308" s="85" t="s">
        <v>265</v>
      </c>
      <c r="O1308" s="86" t="s">
        <v>340</v>
      </c>
      <c r="P1308" s="84" t="s">
        <v>26</v>
      </c>
      <c r="Q1308" s="86" t="s">
        <v>120</v>
      </c>
      <c r="R1308" s="86" t="s">
        <v>3402</v>
      </c>
      <c r="S1308" s="87" t="s">
        <v>2468</v>
      </c>
      <c r="T1308" s="87" t="s">
        <v>2952</v>
      </c>
      <c r="U1308" s="88">
        <v>49500</v>
      </c>
      <c r="V1308" s="88">
        <v>53460</v>
      </c>
      <c r="W1308" s="88">
        <v>49500</v>
      </c>
      <c r="X1308" s="88">
        <v>53460</v>
      </c>
      <c r="Z1308" s="88">
        <v>0</v>
      </c>
      <c r="AA1308" s="85">
        <v>43713</v>
      </c>
      <c r="AB1308" s="85">
        <v>43714</v>
      </c>
      <c r="AC1308" s="85">
        <v>43714</v>
      </c>
      <c r="AD1308" s="84">
        <v>0</v>
      </c>
      <c r="AG1308" s="84">
        <v>0</v>
      </c>
      <c r="AJ1308" s="84">
        <v>0</v>
      </c>
      <c r="AR1308" s="85">
        <v>43686</v>
      </c>
      <c r="AS1308" s="84">
        <v>6001702347</v>
      </c>
      <c r="AT1308" s="85">
        <v>43686</v>
      </c>
      <c r="AU1308" s="84" t="s">
        <v>3438</v>
      </c>
      <c r="AV1308" s="85">
        <v>43713</v>
      </c>
      <c r="AW1308" s="123">
        <v>43738</v>
      </c>
      <c r="AX1308" s="123">
        <v>43758</v>
      </c>
      <c r="AY1308" s="132">
        <v>47520</v>
      </c>
      <c r="AZ1308" s="132">
        <v>51322</v>
      </c>
      <c r="BA1308" s="84" t="s">
        <v>287</v>
      </c>
      <c r="BB1308" s="88">
        <v>26000</v>
      </c>
      <c r="BC1308" s="88">
        <v>28080</v>
      </c>
      <c r="BD1308" s="84" t="s">
        <v>3431</v>
      </c>
      <c r="BG1308" s="88">
        <v>0</v>
      </c>
      <c r="BK1308" s="88">
        <v>0</v>
      </c>
      <c r="BS1308" s="88">
        <v>0</v>
      </c>
      <c r="BV1308" s="89">
        <v>53460</v>
      </c>
      <c r="BW1308" s="89">
        <v>28080</v>
      </c>
      <c r="BX1308" s="89">
        <v>43683</v>
      </c>
      <c r="BY1308" s="89">
        <v>25380</v>
      </c>
      <c r="BZ1308" s="112">
        <v>47.474747474747474</v>
      </c>
    </row>
    <row r="1309" spans="1:89" s="151" customFormat="1" x14ac:dyDescent="0.15">
      <c r="A1309" s="141">
        <v>3</v>
      </c>
      <c r="B1309" s="142"/>
      <c r="C1309" s="142" t="s">
        <v>338</v>
      </c>
      <c r="D1309" s="142"/>
      <c r="E1309" s="142"/>
      <c r="F1309" s="142" t="s">
        <v>338</v>
      </c>
      <c r="G1309" s="142"/>
      <c r="H1309" s="142" t="s">
        <v>338</v>
      </c>
      <c r="I1309" s="141"/>
      <c r="J1309" s="141">
        <v>1</v>
      </c>
      <c r="K1309" s="142"/>
      <c r="L1309" s="141">
        <v>0</v>
      </c>
      <c r="M1309" s="142">
        <v>43683</v>
      </c>
      <c r="N1309" s="142" t="s">
        <v>265</v>
      </c>
      <c r="O1309" s="143" t="s">
        <v>340</v>
      </c>
      <c r="P1309" s="141" t="s">
        <v>26</v>
      </c>
      <c r="Q1309" s="143" t="s">
        <v>120</v>
      </c>
      <c r="R1309" s="143" t="s">
        <v>3403</v>
      </c>
      <c r="S1309" s="144" t="s">
        <v>924</v>
      </c>
      <c r="T1309" s="144" t="s">
        <v>702</v>
      </c>
      <c r="U1309" s="145">
        <v>59000</v>
      </c>
      <c r="V1309" s="145">
        <v>63720</v>
      </c>
      <c r="W1309" s="145">
        <v>47000</v>
      </c>
      <c r="X1309" s="145">
        <v>50760</v>
      </c>
      <c r="Y1309" s="145">
        <v>12000</v>
      </c>
      <c r="Z1309" s="145">
        <v>12960</v>
      </c>
      <c r="AA1309" s="142"/>
      <c r="AB1309" s="142"/>
      <c r="AC1309" s="142"/>
      <c r="AD1309" s="141">
        <v>0</v>
      </c>
      <c r="AE1309" s="141"/>
      <c r="AF1309" s="141"/>
      <c r="AG1309" s="141">
        <v>0</v>
      </c>
      <c r="AH1309" s="141"/>
      <c r="AI1309" s="141"/>
      <c r="AJ1309" s="141">
        <v>0</v>
      </c>
      <c r="AK1309" s="141"/>
      <c r="AL1309" s="141"/>
      <c r="AM1309" s="141" t="s">
        <v>290</v>
      </c>
      <c r="AN1309" s="141" t="s">
        <v>3878</v>
      </c>
      <c r="AO1309" s="142"/>
      <c r="AP1309" s="141"/>
      <c r="AQ1309" s="141"/>
      <c r="AR1309" s="142"/>
      <c r="AS1309" s="141"/>
      <c r="AT1309" s="142"/>
      <c r="AU1309" s="141"/>
      <c r="AV1309" s="142"/>
      <c r="AW1309" s="146"/>
      <c r="AX1309" s="146"/>
      <c r="AY1309" s="147">
        <v>56640</v>
      </c>
      <c r="AZ1309" s="147">
        <f>ROUNDDOWN(AY1309+(AY1309*MASTER!$A$2/100),0)</f>
        <v>61171</v>
      </c>
      <c r="BA1309" s="141"/>
      <c r="BB1309" s="145"/>
      <c r="BC1309" s="145">
        <v>0</v>
      </c>
      <c r="BD1309" s="141"/>
      <c r="BE1309" s="141"/>
      <c r="BF1309" s="145"/>
      <c r="BG1309" s="145">
        <v>0</v>
      </c>
      <c r="BH1309" s="141"/>
      <c r="BI1309" s="141"/>
      <c r="BJ1309" s="145"/>
      <c r="BK1309" s="145">
        <v>0</v>
      </c>
      <c r="BL1309" s="141"/>
      <c r="BM1309" s="145"/>
      <c r="BN1309" s="145"/>
      <c r="BO1309" s="145"/>
      <c r="BP1309" s="145"/>
      <c r="BQ1309" s="145"/>
      <c r="BR1309" s="145"/>
      <c r="BS1309" s="145">
        <v>0</v>
      </c>
      <c r="BT1309" s="148"/>
      <c r="BU1309" s="148"/>
      <c r="BV1309" s="149">
        <v>50760</v>
      </c>
      <c r="BW1309" s="149">
        <v>0</v>
      </c>
      <c r="BX1309" s="149">
        <v>43683</v>
      </c>
      <c r="BY1309" s="149">
        <v>50760</v>
      </c>
      <c r="BZ1309" s="150">
        <v>100</v>
      </c>
      <c r="CA1309" s="141"/>
      <c r="CB1309" s="141"/>
      <c r="CC1309" s="141"/>
      <c r="CD1309" s="144" t="s">
        <v>1585</v>
      </c>
      <c r="CE1309" s="142"/>
      <c r="CF1309" s="142"/>
      <c r="CG1309" s="142"/>
      <c r="CH1309" s="142"/>
      <c r="CI1309" s="142"/>
      <c r="CJ1309" s="142"/>
      <c r="CK1309" s="145"/>
    </row>
    <row r="1310" spans="1:89" s="151" customFormat="1" x14ac:dyDescent="0.15">
      <c r="A1310" s="141">
        <v>3</v>
      </c>
      <c r="B1310" s="142"/>
      <c r="C1310" s="142" t="s">
        <v>338</v>
      </c>
      <c r="D1310" s="142"/>
      <c r="E1310" s="142"/>
      <c r="F1310" s="142" t="s">
        <v>338</v>
      </c>
      <c r="G1310" s="142"/>
      <c r="H1310" s="142" t="s">
        <v>338</v>
      </c>
      <c r="I1310" s="141"/>
      <c r="J1310" s="141">
        <v>1</v>
      </c>
      <c r="K1310" s="142"/>
      <c r="L1310" s="141">
        <v>0</v>
      </c>
      <c r="M1310" s="142">
        <v>43683</v>
      </c>
      <c r="N1310" s="142" t="s">
        <v>265</v>
      </c>
      <c r="O1310" s="143" t="s">
        <v>340</v>
      </c>
      <c r="P1310" s="141" t="s">
        <v>26</v>
      </c>
      <c r="Q1310" s="143" t="s">
        <v>120</v>
      </c>
      <c r="R1310" s="143" t="s">
        <v>3404</v>
      </c>
      <c r="S1310" s="144" t="s">
        <v>928</v>
      </c>
      <c r="T1310" s="144" t="s">
        <v>861</v>
      </c>
      <c r="U1310" s="145">
        <v>59000</v>
      </c>
      <c r="V1310" s="145">
        <v>63720</v>
      </c>
      <c r="W1310" s="145">
        <v>47000</v>
      </c>
      <c r="X1310" s="145">
        <v>50760</v>
      </c>
      <c r="Y1310" s="145">
        <v>12000</v>
      </c>
      <c r="Z1310" s="145">
        <v>12960</v>
      </c>
      <c r="AA1310" s="142"/>
      <c r="AB1310" s="142"/>
      <c r="AC1310" s="142"/>
      <c r="AD1310" s="141">
        <v>0</v>
      </c>
      <c r="AE1310" s="141"/>
      <c r="AF1310" s="141"/>
      <c r="AG1310" s="141">
        <v>0</v>
      </c>
      <c r="AH1310" s="141"/>
      <c r="AI1310" s="141"/>
      <c r="AJ1310" s="141">
        <v>0</v>
      </c>
      <c r="AK1310" s="141"/>
      <c r="AL1310" s="141"/>
      <c r="AM1310" s="141" t="s">
        <v>290</v>
      </c>
      <c r="AN1310" s="141" t="s">
        <v>3404</v>
      </c>
      <c r="AO1310" s="142"/>
      <c r="AP1310" s="141"/>
      <c r="AQ1310" s="141"/>
      <c r="AR1310" s="142"/>
      <c r="AS1310" s="141"/>
      <c r="AT1310" s="142"/>
      <c r="AU1310" s="141"/>
      <c r="AV1310" s="142"/>
      <c r="AW1310" s="146"/>
      <c r="AX1310" s="146"/>
      <c r="AY1310" s="147">
        <v>56640</v>
      </c>
      <c r="AZ1310" s="147">
        <f>ROUNDDOWN(AY1310+(AY1310*MASTER!$A$2/100),0)</f>
        <v>61171</v>
      </c>
      <c r="BA1310" s="141"/>
      <c r="BB1310" s="145"/>
      <c r="BC1310" s="145">
        <v>0</v>
      </c>
      <c r="BD1310" s="141"/>
      <c r="BE1310" s="141"/>
      <c r="BF1310" s="145"/>
      <c r="BG1310" s="145">
        <v>0</v>
      </c>
      <c r="BH1310" s="141"/>
      <c r="BI1310" s="141"/>
      <c r="BJ1310" s="145"/>
      <c r="BK1310" s="145">
        <v>0</v>
      </c>
      <c r="BL1310" s="141"/>
      <c r="BM1310" s="145"/>
      <c r="BN1310" s="145"/>
      <c r="BO1310" s="145"/>
      <c r="BP1310" s="145"/>
      <c r="BQ1310" s="145"/>
      <c r="BR1310" s="145"/>
      <c r="BS1310" s="145">
        <v>0</v>
      </c>
      <c r="BT1310" s="148"/>
      <c r="BU1310" s="148"/>
      <c r="BV1310" s="149">
        <v>50760</v>
      </c>
      <c r="BW1310" s="149">
        <v>0</v>
      </c>
      <c r="BX1310" s="149">
        <v>43683</v>
      </c>
      <c r="BY1310" s="149">
        <v>50760</v>
      </c>
      <c r="BZ1310" s="150">
        <v>100</v>
      </c>
      <c r="CA1310" s="141"/>
      <c r="CB1310" s="141"/>
      <c r="CC1310" s="141"/>
      <c r="CD1310" s="144" t="s">
        <v>1585</v>
      </c>
      <c r="CE1310" s="142"/>
      <c r="CF1310" s="142"/>
      <c r="CG1310" s="142"/>
      <c r="CH1310" s="142"/>
      <c r="CI1310" s="142"/>
      <c r="CJ1310" s="142"/>
      <c r="CK1310" s="145"/>
    </row>
    <row r="1311" spans="1:89" s="151" customFormat="1" x14ac:dyDescent="0.15">
      <c r="A1311" s="141">
        <v>3</v>
      </c>
      <c r="B1311" s="142"/>
      <c r="C1311" s="142" t="s">
        <v>338</v>
      </c>
      <c r="D1311" s="142"/>
      <c r="E1311" s="142"/>
      <c r="F1311" s="142" t="s">
        <v>338</v>
      </c>
      <c r="G1311" s="142"/>
      <c r="H1311" s="142" t="s">
        <v>338</v>
      </c>
      <c r="I1311" s="141"/>
      <c r="J1311" s="141">
        <v>3</v>
      </c>
      <c r="K1311" s="142"/>
      <c r="L1311" s="141">
        <v>0</v>
      </c>
      <c r="M1311" s="142">
        <v>43684</v>
      </c>
      <c r="N1311" s="142" t="s">
        <v>265</v>
      </c>
      <c r="O1311" s="143" t="s">
        <v>340</v>
      </c>
      <c r="P1311" s="141" t="s">
        <v>26</v>
      </c>
      <c r="Q1311" s="143" t="s">
        <v>120</v>
      </c>
      <c r="R1311" s="143" t="s">
        <v>3429</v>
      </c>
      <c r="S1311" s="144" t="s">
        <v>1426</v>
      </c>
      <c r="T1311" s="144" t="s">
        <v>801</v>
      </c>
      <c r="U1311" s="145">
        <v>9000</v>
      </c>
      <c r="V1311" s="145">
        <v>9720</v>
      </c>
      <c r="W1311" s="145"/>
      <c r="X1311" s="145">
        <v>0</v>
      </c>
      <c r="Y1311" s="145">
        <v>9000</v>
      </c>
      <c r="Z1311" s="145">
        <v>9720</v>
      </c>
      <c r="AA1311" s="142"/>
      <c r="AB1311" s="142"/>
      <c r="AC1311" s="142"/>
      <c r="AD1311" s="141">
        <v>0</v>
      </c>
      <c r="AE1311" s="141"/>
      <c r="AF1311" s="141"/>
      <c r="AG1311" s="141">
        <v>0</v>
      </c>
      <c r="AH1311" s="141"/>
      <c r="AI1311" s="141"/>
      <c r="AJ1311" s="141">
        <v>0</v>
      </c>
      <c r="AK1311" s="141"/>
      <c r="AL1311" s="141"/>
      <c r="AM1311" s="141"/>
      <c r="AN1311" s="141" t="s">
        <v>338</v>
      </c>
      <c r="AO1311" s="142"/>
      <c r="AP1311" s="141"/>
      <c r="AQ1311" s="141"/>
      <c r="AR1311" s="142"/>
      <c r="AS1311" s="141"/>
      <c r="AT1311" s="142"/>
      <c r="AU1311" s="141"/>
      <c r="AV1311" s="142"/>
      <c r="AW1311" s="146"/>
      <c r="AX1311" s="146"/>
      <c r="AY1311" s="147">
        <v>8640</v>
      </c>
      <c r="AZ1311" s="147">
        <f>ROUNDDOWN(AY1311+(AY1311*MASTER!$A$2/100),0)</f>
        <v>9331</v>
      </c>
      <c r="BA1311" s="141"/>
      <c r="BB1311" s="145"/>
      <c r="BC1311" s="145">
        <v>0</v>
      </c>
      <c r="BD1311" s="141"/>
      <c r="BE1311" s="141"/>
      <c r="BF1311" s="145"/>
      <c r="BG1311" s="145">
        <v>0</v>
      </c>
      <c r="BH1311" s="141"/>
      <c r="BI1311" s="141"/>
      <c r="BJ1311" s="145"/>
      <c r="BK1311" s="145">
        <v>0</v>
      </c>
      <c r="BL1311" s="141"/>
      <c r="BM1311" s="145"/>
      <c r="BN1311" s="145"/>
      <c r="BO1311" s="145"/>
      <c r="BP1311" s="145"/>
      <c r="BQ1311" s="145"/>
      <c r="BR1311" s="145"/>
      <c r="BS1311" s="145">
        <v>0</v>
      </c>
      <c r="BT1311" s="148"/>
      <c r="BU1311" s="148"/>
      <c r="BV1311" s="149">
        <v>0</v>
      </c>
      <c r="BW1311" s="149">
        <v>0</v>
      </c>
      <c r="BX1311" s="149">
        <v>43684</v>
      </c>
      <c r="BY1311" s="149">
        <v>0</v>
      </c>
      <c r="BZ1311" s="150" t="s">
        <v>338</v>
      </c>
      <c r="CA1311" s="141"/>
      <c r="CB1311" s="141"/>
      <c r="CC1311" s="141"/>
      <c r="CD1311" s="144" t="s">
        <v>3430</v>
      </c>
      <c r="CE1311" s="142"/>
      <c r="CF1311" s="142"/>
      <c r="CG1311" s="142"/>
      <c r="CH1311" s="142"/>
      <c r="CI1311" s="142"/>
      <c r="CJ1311" s="142"/>
      <c r="CK1311" s="145"/>
    </row>
    <row r="1312" spans="1:89" x14ac:dyDescent="0.15">
      <c r="A1312" s="84">
        <v>1</v>
      </c>
      <c r="B1312" s="85">
        <v>43696</v>
      </c>
      <c r="C1312" s="85">
        <v>43702</v>
      </c>
      <c r="F1312" s="85" t="s">
        <v>338</v>
      </c>
      <c r="H1312" s="85" t="s">
        <v>338</v>
      </c>
      <c r="J1312" s="84">
        <v>2</v>
      </c>
      <c r="L1312" s="84">
        <v>0</v>
      </c>
      <c r="M1312" s="85">
        <v>43684</v>
      </c>
      <c r="N1312" s="85" t="s">
        <v>265</v>
      </c>
      <c r="O1312" s="86" t="s">
        <v>340</v>
      </c>
      <c r="P1312" s="84" t="s">
        <v>271</v>
      </c>
      <c r="Q1312" s="86" t="s">
        <v>120</v>
      </c>
      <c r="R1312" s="86" t="s">
        <v>3411</v>
      </c>
      <c r="S1312" s="87" t="s">
        <v>351</v>
      </c>
      <c r="T1312" s="87" t="s">
        <v>3412</v>
      </c>
      <c r="U1312" s="88">
        <v>1200000</v>
      </c>
      <c r="V1312" s="88">
        <v>1296000</v>
      </c>
      <c r="W1312" s="88">
        <v>1200000</v>
      </c>
      <c r="X1312" s="88">
        <v>1296000</v>
      </c>
      <c r="Z1312" s="88">
        <v>0</v>
      </c>
      <c r="AD1312" s="84">
        <v>0</v>
      </c>
      <c r="AG1312" s="84">
        <v>0</v>
      </c>
      <c r="AJ1312" s="84">
        <v>0</v>
      </c>
      <c r="AR1312" s="85">
        <v>43686</v>
      </c>
      <c r="AS1312" s="84">
        <v>6001702339</v>
      </c>
      <c r="AT1312" s="85">
        <v>43686</v>
      </c>
      <c r="AU1312" s="84" t="s">
        <v>3436</v>
      </c>
      <c r="AV1312" s="85">
        <v>43702</v>
      </c>
      <c r="AW1312" s="123">
        <v>43708</v>
      </c>
      <c r="AX1312" s="123">
        <v>43728</v>
      </c>
      <c r="AY1312" s="140">
        <v>1200000</v>
      </c>
      <c r="AZ1312" s="132">
        <f>ROUNDDOWN(AY1312+(AY1312*MASTER!$A$2/100),0)</f>
        <v>1296000</v>
      </c>
      <c r="BC1312" s="88">
        <v>0</v>
      </c>
      <c r="BG1312" s="88">
        <v>0</v>
      </c>
      <c r="BK1312" s="88">
        <v>0</v>
      </c>
      <c r="BS1312" s="88">
        <v>0</v>
      </c>
      <c r="BV1312" s="89">
        <v>1296000</v>
      </c>
      <c r="BW1312" s="89">
        <v>0</v>
      </c>
      <c r="BX1312" s="89">
        <v>43684</v>
      </c>
      <c r="BY1312" s="89">
        <v>1296000</v>
      </c>
      <c r="BZ1312" s="112">
        <v>100</v>
      </c>
      <c r="CK1312" s="88">
        <v>0</v>
      </c>
    </row>
    <row r="1313" spans="1:89" x14ac:dyDescent="0.15">
      <c r="A1313" s="84">
        <v>2</v>
      </c>
      <c r="B1313" s="85">
        <v>43844</v>
      </c>
      <c r="C1313" s="85">
        <v>43861</v>
      </c>
      <c r="D1313" s="85">
        <v>43858</v>
      </c>
      <c r="E1313" s="85">
        <v>43859</v>
      </c>
      <c r="F1313" s="85">
        <v>43861</v>
      </c>
      <c r="G1313" s="85">
        <v>43858</v>
      </c>
      <c r="H1313" s="85">
        <v>43857</v>
      </c>
      <c r="I1313" s="84" t="s">
        <v>401</v>
      </c>
      <c r="J1313" s="84">
        <v>1</v>
      </c>
      <c r="L1313" s="84">
        <v>0</v>
      </c>
      <c r="M1313" s="85">
        <v>43684</v>
      </c>
      <c r="N1313" s="85" t="s">
        <v>265</v>
      </c>
      <c r="O1313" s="86" t="s">
        <v>340</v>
      </c>
      <c r="P1313" s="84" t="s">
        <v>26</v>
      </c>
      <c r="Q1313" s="86" t="s">
        <v>120</v>
      </c>
      <c r="R1313" s="86" t="s">
        <v>3955</v>
      </c>
      <c r="S1313" s="87" t="s">
        <v>3406</v>
      </c>
      <c r="T1313" s="87" t="s">
        <v>3466</v>
      </c>
      <c r="U1313" s="88">
        <v>3378400</v>
      </c>
      <c r="V1313" s="88">
        <v>3648672</v>
      </c>
      <c r="W1313" s="88">
        <v>3309400</v>
      </c>
      <c r="X1313" s="88">
        <v>3574152</v>
      </c>
      <c r="Y1313" s="88">
        <v>69000</v>
      </c>
      <c r="Z1313" s="88">
        <v>74520</v>
      </c>
      <c r="AA1313" s="85">
        <v>43851</v>
      </c>
      <c r="AB1313" s="85">
        <v>43854</v>
      </c>
      <c r="AC1313" s="85">
        <v>43854</v>
      </c>
      <c r="AD1313" s="84">
        <v>0</v>
      </c>
      <c r="AG1313" s="84">
        <v>0</v>
      </c>
      <c r="AJ1313" s="84">
        <v>0</v>
      </c>
      <c r="AM1313" s="84" t="s">
        <v>290</v>
      </c>
      <c r="AN1313" s="84" t="s">
        <v>3956</v>
      </c>
      <c r="AR1313" s="85">
        <v>43686</v>
      </c>
      <c r="AS1313" s="84">
        <v>6001702338</v>
      </c>
      <c r="AT1313" s="85">
        <v>43686</v>
      </c>
      <c r="AU1313" s="84" t="s">
        <v>3502</v>
      </c>
      <c r="AV1313" s="85">
        <v>43861</v>
      </c>
      <c r="AW1313" s="123">
        <v>43861</v>
      </c>
      <c r="AX1313" s="123">
        <v>43881</v>
      </c>
      <c r="AY1313" s="132">
        <v>3243264</v>
      </c>
      <c r="AZ1313" s="132">
        <f>ROUNDDOWN(AY1313+(AY1313*0.1),0)</f>
        <v>3567590</v>
      </c>
      <c r="BA1313" s="84" t="s">
        <v>400</v>
      </c>
      <c r="BB1313" s="88">
        <v>1636000</v>
      </c>
      <c r="BC1313" s="88">
        <v>1766880</v>
      </c>
      <c r="BD1313" s="84" t="s">
        <v>1233</v>
      </c>
      <c r="BG1313" s="88">
        <v>0</v>
      </c>
      <c r="BI1313" s="84" t="s">
        <v>276</v>
      </c>
      <c r="BJ1313" s="88">
        <v>44850</v>
      </c>
      <c r="BK1313" s="88">
        <v>48438</v>
      </c>
      <c r="BL1313" s="84" t="s">
        <v>1233</v>
      </c>
      <c r="BS1313" s="88">
        <v>0</v>
      </c>
      <c r="BV1313" s="89">
        <v>3574152</v>
      </c>
      <c r="BW1313" s="89">
        <v>1815318</v>
      </c>
      <c r="BX1313" s="89">
        <v>43684</v>
      </c>
      <c r="BY1313" s="89">
        <v>1758834</v>
      </c>
      <c r="BZ1313" s="112">
        <v>49.209826554662477</v>
      </c>
      <c r="CC1313" s="84">
        <v>2019</v>
      </c>
      <c r="CK1313" s="88">
        <v>0</v>
      </c>
    </row>
    <row r="1314" spans="1:89" x14ac:dyDescent="0.15">
      <c r="A1314" s="84">
        <v>2</v>
      </c>
      <c r="B1314" s="85">
        <v>43787</v>
      </c>
      <c r="C1314" s="85">
        <v>43798</v>
      </c>
      <c r="D1314" s="85">
        <v>43808</v>
      </c>
      <c r="E1314" s="85">
        <v>43808</v>
      </c>
      <c r="F1314" s="85">
        <v>43805</v>
      </c>
      <c r="G1314" s="85">
        <v>43801</v>
      </c>
      <c r="H1314" s="85">
        <v>43801</v>
      </c>
      <c r="I1314" s="84" t="s">
        <v>401</v>
      </c>
      <c r="J1314" s="84">
        <v>1</v>
      </c>
      <c r="L1314" s="84">
        <v>0</v>
      </c>
      <c r="M1314" s="85">
        <v>43684</v>
      </c>
      <c r="N1314" s="85" t="s">
        <v>265</v>
      </c>
      <c r="O1314" s="86" t="s">
        <v>340</v>
      </c>
      <c r="P1314" s="84" t="s">
        <v>26</v>
      </c>
      <c r="Q1314" s="86" t="s">
        <v>120</v>
      </c>
      <c r="R1314" s="86" t="s">
        <v>3922</v>
      </c>
      <c r="S1314" s="87" t="s">
        <v>3398</v>
      </c>
      <c r="T1314" s="87" t="s">
        <v>3466</v>
      </c>
      <c r="U1314" s="88">
        <v>3373200</v>
      </c>
      <c r="V1314" s="88">
        <v>3643056</v>
      </c>
      <c r="W1314" s="88">
        <v>3304200</v>
      </c>
      <c r="X1314" s="88">
        <v>3568536</v>
      </c>
      <c r="Y1314" s="88">
        <v>69000</v>
      </c>
      <c r="Z1314" s="88">
        <v>74520</v>
      </c>
      <c r="AA1314" s="85">
        <v>43795</v>
      </c>
      <c r="AB1314" s="85">
        <v>43798</v>
      </c>
      <c r="AC1314" s="85">
        <v>43798</v>
      </c>
      <c r="AD1314" s="84">
        <v>0</v>
      </c>
      <c r="AG1314" s="84">
        <v>0</v>
      </c>
      <c r="AJ1314" s="84">
        <v>0</v>
      </c>
      <c r="AM1314" s="84" t="s">
        <v>290</v>
      </c>
      <c r="AN1314" s="84" t="s">
        <v>3923</v>
      </c>
      <c r="AR1314" s="85">
        <v>43686</v>
      </c>
      <c r="AS1314" s="84">
        <v>6001702335</v>
      </c>
      <c r="AT1314" s="85">
        <v>43686</v>
      </c>
      <c r="AU1314" s="84" t="s">
        <v>3501</v>
      </c>
      <c r="AV1314" s="85">
        <v>43798</v>
      </c>
      <c r="AW1314" s="123">
        <v>43799</v>
      </c>
      <c r="AX1314" s="123">
        <v>43819</v>
      </c>
      <c r="AY1314" s="132">
        <v>3238272</v>
      </c>
      <c r="AZ1314" s="132">
        <f>ROUNDDOWN(AY1314+(AY1314*0.1),0)</f>
        <v>3562099</v>
      </c>
      <c r="BA1314" s="84" t="s">
        <v>400</v>
      </c>
      <c r="BB1314" s="88">
        <v>1546000</v>
      </c>
      <c r="BC1314" s="88">
        <f>ROUNDDOWN(BB1314+(BB1314*0.1),0)</f>
        <v>1700600</v>
      </c>
      <c r="BD1314" s="84" t="s">
        <v>190</v>
      </c>
      <c r="BG1314" s="88">
        <v>0</v>
      </c>
      <c r="BI1314" s="84" t="s">
        <v>276</v>
      </c>
      <c r="BJ1314" s="88">
        <v>44850</v>
      </c>
      <c r="BK1314" s="88">
        <f>ROUNDDOWN(BJ1314+(BJ1314*0.1),0)</f>
        <v>49335</v>
      </c>
      <c r="BL1314" s="84" t="s">
        <v>863</v>
      </c>
      <c r="BS1314" s="88">
        <v>0</v>
      </c>
      <c r="BV1314" s="89">
        <v>3568536</v>
      </c>
      <c r="BW1314" s="89">
        <v>1718118</v>
      </c>
      <c r="BX1314" s="89">
        <v>43684</v>
      </c>
      <c r="BY1314" s="89">
        <v>1850418</v>
      </c>
      <c r="BZ1314" s="112">
        <v>51.853701349797234</v>
      </c>
      <c r="CC1314" s="84">
        <v>2019</v>
      </c>
      <c r="CK1314" s="88">
        <v>0</v>
      </c>
    </row>
    <row r="1315" spans="1:89" x14ac:dyDescent="0.15">
      <c r="A1315" s="84">
        <v>2</v>
      </c>
      <c r="B1315" s="85">
        <v>43706</v>
      </c>
      <c r="C1315" s="85">
        <v>43710</v>
      </c>
      <c r="D1315" s="85">
        <v>43796</v>
      </c>
      <c r="E1315" s="85">
        <v>43741</v>
      </c>
      <c r="F1315" s="85">
        <v>43717</v>
      </c>
      <c r="G1315" s="85">
        <v>43710</v>
      </c>
      <c r="H1315" s="85">
        <v>43713</v>
      </c>
      <c r="I1315" s="84" t="s">
        <v>1191</v>
      </c>
      <c r="J1315" s="84">
        <v>1</v>
      </c>
      <c r="L1315" s="84">
        <v>0</v>
      </c>
      <c r="M1315" s="85">
        <v>43684</v>
      </c>
      <c r="N1315" s="85" t="s">
        <v>265</v>
      </c>
      <c r="O1315" s="86" t="s">
        <v>340</v>
      </c>
      <c r="P1315" s="84" t="s">
        <v>26</v>
      </c>
      <c r="Q1315" s="86" t="s">
        <v>120</v>
      </c>
      <c r="R1315" s="86" t="s">
        <v>3546</v>
      </c>
      <c r="S1315" s="87" t="s">
        <v>3547</v>
      </c>
      <c r="T1315" s="87" t="s">
        <v>797</v>
      </c>
      <c r="U1315" s="88">
        <v>67000</v>
      </c>
      <c r="V1315" s="88">
        <v>72360</v>
      </c>
      <c r="W1315" s="88">
        <v>47000</v>
      </c>
      <c r="X1315" s="88">
        <v>50760</v>
      </c>
      <c r="Y1315" s="88">
        <v>20000</v>
      </c>
      <c r="Z1315" s="88">
        <v>21600</v>
      </c>
      <c r="AA1315" s="85">
        <v>43709</v>
      </c>
      <c r="AB1315" s="85">
        <v>43710</v>
      </c>
      <c r="AC1315" s="85">
        <v>43710</v>
      </c>
      <c r="AD1315" s="84">
        <v>0</v>
      </c>
      <c r="AG1315" s="84">
        <v>0</v>
      </c>
      <c r="AJ1315" s="84">
        <v>0</v>
      </c>
      <c r="AM1315" s="84" t="s">
        <v>290</v>
      </c>
      <c r="AN1315" s="84" t="s">
        <v>3548</v>
      </c>
      <c r="AR1315" s="85">
        <v>43705</v>
      </c>
      <c r="AS1315" s="84">
        <v>6001706491</v>
      </c>
      <c r="AT1315" s="85">
        <v>43705</v>
      </c>
      <c r="AU1315" s="84" t="s">
        <v>3542</v>
      </c>
      <c r="AV1315" s="85">
        <v>43710</v>
      </c>
      <c r="AW1315" s="123">
        <v>43738</v>
      </c>
      <c r="AX1315" s="123">
        <v>43758</v>
      </c>
      <c r="AY1315" s="132">
        <v>64320</v>
      </c>
      <c r="AZ1315" s="132">
        <v>69466</v>
      </c>
      <c r="BA1315" s="84" t="s">
        <v>287</v>
      </c>
      <c r="BB1315" s="88">
        <v>23000</v>
      </c>
      <c r="BC1315" s="88">
        <v>24840</v>
      </c>
      <c r="BD1315" s="84" t="s">
        <v>3431</v>
      </c>
      <c r="BG1315" s="88">
        <v>0</v>
      </c>
      <c r="BI1315" s="84" t="s">
        <v>434</v>
      </c>
      <c r="BJ1315" s="88">
        <v>13000</v>
      </c>
      <c r="BK1315" s="88">
        <v>14040</v>
      </c>
      <c r="BL1315" s="84" t="s">
        <v>3431</v>
      </c>
      <c r="BS1315" s="88">
        <v>0</v>
      </c>
      <c r="BV1315" s="89">
        <v>50760</v>
      </c>
      <c r="BW1315" s="89">
        <v>38880</v>
      </c>
      <c r="BX1315" s="89">
        <v>43684</v>
      </c>
      <c r="BY1315" s="89">
        <v>11880</v>
      </c>
      <c r="BZ1315" s="112">
        <v>23.404255319148938</v>
      </c>
      <c r="CK1315" s="88">
        <v>0</v>
      </c>
    </row>
    <row r="1316" spans="1:89" x14ac:dyDescent="0.15">
      <c r="A1316" s="84">
        <v>2</v>
      </c>
      <c r="B1316" s="85">
        <v>43704</v>
      </c>
      <c r="C1316" s="85">
        <v>43712</v>
      </c>
      <c r="D1316" s="85">
        <v>43748</v>
      </c>
      <c r="E1316" s="85">
        <v>43718</v>
      </c>
      <c r="F1316" s="85">
        <v>43719</v>
      </c>
      <c r="G1316" s="85">
        <v>43713</v>
      </c>
      <c r="H1316" s="85">
        <v>43715</v>
      </c>
      <c r="I1316" s="84" t="s">
        <v>401</v>
      </c>
      <c r="J1316" s="84">
        <v>1</v>
      </c>
      <c r="L1316" s="84">
        <v>0</v>
      </c>
      <c r="M1316" s="85">
        <v>43684</v>
      </c>
      <c r="N1316" s="85" t="s">
        <v>265</v>
      </c>
      <c r="O1316" s="86" t="s">
        <v>340</v>
      </c>
      <c r="P1316" s="84" t="s">
        <v>26</v>
      </c>
      <c r="Q1316" s="86" t="s">
        <v>120</v>
      </c>
      <c r="R1316" s="86" t="s">
        <v>3525</v>
      </c>
      <c r="S1316" s="87" t="s">
        <v>1467</v>
      </c>
      <c r="T1316" s="87" t="s">
        <v>636</v>
      </c>
      <c r="U1316" s="88">
        <v>50000</v>
      </c>
      <c r="V1316" s="88">
        <v>54000</v>
      </c>
      <c r="W1316" s="88">
        <v>47000</v>
      </c>
      <c r="X1316" s="88">
        <v>50760</v>
      </c>
      <c r="Y1316" s="88">
        <v>3000</v>
      </c>
      <c r="Z1316" s="88">
        <v>3240</v>
      </c>
      <c r="AA1316" s="85">
        <v>43710</v>
      </c>
      <c r="AB1316" s="85">
        <v>43712</v>
      </c>
      <c r="AC1316" s="85">
        <v>43712</v>
      </c>
      <c r="AD1316" s="84">
        <v>0</v>
      </c>
      <c r="AG1316" s="84">
        <v>0</v>
      </c>
      <c r="AJ1316" s="84">
        <v>0</v>
      </c>
      <c r="AM1316" s="84" t="s">
        <v>290</v>
      </c>
      <c r="AN1316" s="84" t="s">
        <v>3526</v>
      </c>
      <c r="AR1316" s="85">
        <v>43700</v>
      </c>
      <c r="AS1316" s="84">
        <v>6001705161</v>
      </c>
      <c r="AT1316" s="85">
        <v>43700</v>
      </c>
      <c r="AU1316" s="84" t="s">
        <v>3507</v>
      </c>
      <c r="AV1316" s="85">
        <v>43712</v>
      </c>
      <c r="AW1316" s="123">
        <v>43738</v>
      </c>
      <c r="AX1316" s="123">
        <v>43758</v>
      </c>
      <c r="AY1316" s="132">
        <v>48000</v>
      </c>
      <c r="AZ1316" s="132">
        <f>ROUNDDOWN(AY1316+(AY1316*MASTER!$A$2/100),0)</f>
        <v>51840</v>
      </c>
      <c r="BA1316" s="84" t="s">
        <v>286</v>
      </c>
      <c r="BB1316" s="88">
        <v>26000</v>
      </c>
      <c r="BC1316" s="88">
        <v>28080</v>
      </c>
      <c r="BD1316" s="84" t="s">
        <v>3431</v>
      </c>
      <c r="BG1316" s="88">
        <v>0</v>
      </c>
      <c r="BI1316" s="84" t="s">
        <v>434</v>
      </c>
      <c r="BJ1316" s="88">
        <v>1950</v>
      </c>
      <c r="BK1316" s="88">
        <v>2106</v>
      </c>
      <c r="BL1316" s="84" t="s">
        <v>3431</v>
      </c>
      <c r="BS1316" s="88">
        <v>0</v>
      </c>
      <c r="BV1316" s="89">
        <v>50760</v>
      </c>
      <c r="BW1316" s="89">
        <v>30186</v>
      </c>
      <c r="BX1316" s="89">
        <v>43684</v>
      </c>
      <c r="BY1316" s="89">
        <v>20574</v>
      </c>
      <c r="BZ1316" s="112">
        <v>40.531914893617021</v>
      </c>
      <c r="CK1316" s="88">
        <v>0</v>
      </c>
    </row>
    <row r="1317" spans="1:89" x14ac:dyDescent="0.15">
      <c r="A1317" s="84">
        <v>1</v>
      </c>
      <c r="C1317" s="85" t="s">
        <v>338</v>
      </c>
      <c r="F1317" s="85" t="s">
        <v>338</v>
      </c>
      <c r="H1317" s="85" t="s">
        <v>338</v>
      </c>
      <c r="J1317" s="84">
        <v>2</v>
      </c>
      <c r="L1317" s="84">
        <v>0</v>
      </c>
      <c r="M1317" s="85">
        <v>43684</v>
      </c>
      <c r="N1317" s="85" t="s">
        <v>264</v>
      </c>
      <c r="O1317" s="86" t="s">
        <v>340</v>
      </c>
      <c r="P1317" s="84" t="s">
        <v>272</v>
      </c>
      <c r="Q1317" s="86" t="s">
        <v>120</v>
      </c>
      <c r="R1317" s="86" t="s">
        <v>3418</v>
      </c>
      <c r="S1317" s="87" t="s">
        <v>387</v>
      </c>
      <c r="T1317" s="87" t="s">
        <v>3419</v>
      </c>
      <c r="U1317" s="88">
        <v>100000</v>
      </c>
      <c r="V1317" s="88">
        <v>108000</v>
      </c>
      <c r="W1317" s="88">
        <v>100000</v>
      </c>
      <c r="X1317" s="88">
        <v>108000</v>
      </c>
      <c r="Y1317" s="88">
        <v>0</v>
      </c>
      <c r="Z1317" s="88">
        <v>0</v>
      </c>
      <c r="AD1317" s="84">
        <v>0</v>
      </c>
      <c r="AG1317" s="84">
        <v>0</v>
      </c>
      <c r="AJ1317" s="84">
        <v>0</v>
      </c>
      <c r="AR1317" s="85">
        <v>43697</v>
      </c>
      <c r="AS1317" s="84">
        <v>6001703473</v>
      </c>
      <c r="AT1317" s="85">
        <v>43697</v>
      </c>
      <c r="AU1317" s="84" t="s">
        <v>3487</v>
      </c>
      <c r="AV1317" s="85">
        <v>43707</v>
      </c>
      <c r="AW1317" s="123">
        <v>43708</v>
      </c>
      <c r="AX1317" s="123">
        <v>43728</v>
      </c>
      <c r="AY1317" s="140">
        <v>100000</v>
      </c>
      <c r="AZ1317" s="132">
        <f>ROUNDDOWN(AY1317+(AY1317*MASTER!$A$2/100),0)</f>
        <v>108000</v>
      </c>
      <c r="BC1317" s="88">
        <v>0</v>
      </c>
      <c r="BG1317" s="88">
        <v>0</v>
      </c>
      <c r="BK1317" s="88">
        <v>0</v>
      </c>
      <c r="BS1317" s="88">
        <v>0</v>
      </c>
      <c r="BV1317" s="89">
        <v>108000</v>
      </c>
      <c r="BW1317" s="89">
        <v>0</v>
      </c>
      <c r="BX1317" s="89">
        <v>43684</v>
      </c>
      <c r="BY1317" s="89">
        <v>108000</v>
      </c>
      <c r="BZ1317" s="112">
        <v>100</v>
      </c>
    </row>
    <row r="1318" spans="1:89" s="151" customFormat="1" x14ac:dyDescent="0.15">
      <c r="A1318" s="141">
        <v>3</v>
      </c>
      <c r="B1318" s="142"/>
      <c r="C1318" s="142" t="s">
        <v>338</v>
      </c>
      <c r="D1318" s="142"/>
      <c r="E1318" s="142"/>
      <c r="F1318" s="142" t="s">
        <v>338</v>
      </c>
      <c r="G1318" s="142"/>
      <c r="H1318" s="142" t="s">
        <v>338</v>
      </c>
      <c r="I1318" s="141"/>
      <c r="J1318" s="141">
        <v>2</v>
      </c>
      <c r="K1318" s="142"/>
      <c r="L1318" s="141">
        <v>0</v>
      </c>
      <c r="M1318" s="142">
        <v>43685</v>
      </c>
      <c r="N1318" s="142" t="s">
        <v>265</v>
      </c>
      <c r="O1318" s="143" t="s">
        <v>340</v>
      </c>
      <c r="P1318" s="141" t="s">
        <v>26</v>
      </c>
      <c r="Q1318" s="143" t="s">
        <v>120</v>
      </c>
      <c r="R1318" s="143" t="s">
        <v>3433</v>
      </c>
      <c r="S1318" s="144" t="s">
        <v>3434</v>
      </c>
      <c r="T1318" s="144" t="s">
        <v>3435</v>
      </c>
      <c r="U1318" s="145">
        <v>55000</v>
      </c>
      <c r="V1318" s="145">
        <v>59400</v>
      </c>
      <c r="W1318" s="145">
        <v>55000</v>
      </c>
      <c r="X1318" s="145">
        <v>59400</v>
      </c>
      <c r="Y1318" s="145"/>
      <c r="Z1318" s="145">
        <v>0</v>
      </c>
      <c r="AA1318" s="142">
        <v>43697</v>
      </c>
      <c r="AB1318" s="142">
        <v>43697</v>
      </c>
      <c r="AC1318" s="142"/>
      <c r="AD1318" s="141">
        <v>0</v>
      </c>
      <c r="AE1318" s="141"/>
      <c r="AF1318" s="141"/>
      <c r="AG1318" s="141">
        <v>0</v>
      </c>
      <c r="AH1318" s="141"/>
      <c r="AI1318" s="141"/>
      <c r="AJ1318" s="141">
        <v>0</v>
      </c>
      <c r="AK1318" s="141"/>
      <c r="AL1318" s="141"/>
      <c r="AM1318" s="141"/>
      <c r="AN1318" s="141" t="s">
        <v>338</v>
      </c>
      <c r="AO1318" s="142"/>
      <c r="AP1318" s="141"/>
      <c r="AQ1318" s="141"/>
      <c r="AR1318" s="142"/>
      <c r="AS1318" s="141"/>
      <c r="AT1318" s="142"/>
      <c r="AU1318" s="141"/>
      <c r="AV1318" s="142"/>
      <c r="AW1318" s="146"/>
      <c r="AX1318" s="146"/>
      <c r="AY1318" s="147">
        <v>52800</v>
      </c>
      <c r="AZ1318" s="147">
        <f>ROUNDDOWN(AY1318+(AY1318*MASTER!$A$2/100),0)</f>
        <v>57024</v>
      </c>
      <c r="BA1318" s="141"/>
      <c r="BB1318" s="145"/>
      <c r="BC1318" s="145">
        <v>0</v>
      </c>
      <c r="BD1318" s="141"/>
      <c r="BE1318" s="141"/>
      <c r="BF1318" s="145"/>
      <c r="BG1318" s="145">
        <v>0</v>
      </c>
      <c r="BH1318" s="141"/>
      <c r="BI1318" s="141"/>
      <c r="BJ1318" s="145"/>
      <c r="BK1318" s="145">
        <v>0</v>
      </c>
      <c r="BL1318" s="141"/>
      <c r="BM1318" s="145"/>
      <c r="BN1318" s="145"/>
      <c r="BO1318" s="145"/>
      <c r="BP1318" s="145"/>
      <c r="BQ1318" s="145"/>
      <c r="BR1318" s="145"/>
      <c r="BS1318" s="145">
        <v>0</v>
      </c>
      <c r="BT1318" s="148"/>
      <c r="BU1318" s="148"/>
      <c r="BV1318" s="149">
        <v>59400</v>
      </c>
      <c r="BW1318" s="149">
        <v>0</v>
      </c>
      <c r="BX1318" s="149">
        <v>43685</v>
      </c>
      <c r="BY1318" s="149">
        <v>59400</v>
      </c>
      <c r="BZ1318" s="150">
        <v>100</v>
      </c>
      <c r="CA1318" s="141"/>
      <c r="CB1318" s="141"/>
      <c r="CC1318" s="141"/>
      <c r="CD1318" s="144" t="s">
        <v>3652</v>
      </c>
      <c r="CE1318" s="142"/>
      <c r="CF1318" s="142"/>
      <c r="CG1318" s="142"/>
      <c r="CH1318" s="142"/>
      <c r="CI1318" s="142"/>
      <c r="CJ1318" s="142"/>
      <c r="CK1318" s="145">
        <v>0</v>
      </c>
    </row>
    <row r="1319" spans="1:89" x14ac:dyDescent="0.15">
      <c r="A1319" s="84">
        <v>2</v>
      </c>
      <c r="B1319" s="85">
        <v>43714</v>
      </c>
      <c r="C1319" s="85">
        <v>43714</v>
      </c>
      <c r="D1319" s="85">
        <v>43685</v>
      </c>
      <c r="E1319" s="85">
        <v>43685</v>
      </c>
      <c r="F1319" s="85" t="s">
        <v>338</v>
      </c>
      <c r="G1319" s="85">
        <v>43685</v>
      </c>
      <c r="H1319" s="85" t="s">
        <v>338</v>
      </c>
      <c r="I1319" s="84" t="s">
        <v>380</v>
      </c>
      <c r="J1319" s="84">
        <v>2</v>
      </c>
      <c r="L1319" s="84">
        <v>0</v>
      </c>
      <c r="M1319" s="85">
        <v>43685</v>
      </c>
      <c r="N1319" s="85" t="s">
        <v>265</v>
      </c>
      <c r="O1319" s="86" t="s">
        <v>340</v>
      </c>
      <c r="P1319" s="84" t="s">
        <v>6</v>
      </c>
      <c r="Q1319" s="86" t="s">
        <v>120</v>
      </c>
      <c r="R1319" s="86" t="s">
        <v>3634</v>
      </c>
      <c r="S1319" s="87" t="s">
        <v>1060</v>
      </c>
      <c r="T1319" s="87" t="s">
        <v>342</v>
      </c>
      <c r="U1319" s="88">
        <v>35000</v>
      </c>
      <c r="V1319" s="88">
        <v>37800</v>
      </c>
      <c r="W1319" s="88">
        <v>35000</v>
      </c>
      <c r="X1319" s="88">
        <v>37800</v>
      </c>
      <c r="Z1319" s="88">
        <v>0</v>
      </c>
      <c r="AA1319" s="85">
        <v>43681</v>
      </c>
      <c r="AB1319" s="85">
        <v>43681</v>
      </c>
      <c r="AD1319" s="84">
        <v>0</v>
      </c>
      <c r="AG1319" s="84">
        <v>0</v>
      </c>
      <c r="AJ1319" s="84">
        <v>0</v>
      </c>
      <c r="AN1319" s="84" t="s">
        <v>338</v>
      </c>
      <c r="AR1319" s="85">
        <v>43713</v>
      </c>
      <c r="AS1319" s="84">
        <v>6001708835</v>
      </c>
      <c r="AT1319" s="85">
        <v>43713</v>
      </c>
      <c r="AU1319" s="84" t="s">
        <v>3627</v>
      </c>
      <c r="AV1319" s="85">
        <v>43714</v>
      </c>
      <c r="AW1319" s="123">
        <v>43738</v>
      </c>
      <c r="AX1319" s="123">
        <v>43758</v>
      </c>
      <c r="AY1319" s="132">
        <v>33600</v>
      </c>
      <c r="AZ1319" s="132">
        <f>ROUNDDOWN(AY1319+(AY1319*MASTER!$A$2/100),0)</f>
        <v>36288</v>
      </c>
      <c r="BA1319" s="84" t="s">
        <v>778</v>
      </c>
      <c r="BC1319" s="88">
        <v>0</v>
      </c>
      <c r="BG1319" s="88">
        <v>0</v>
      </c>
      <c r="BK1319" s="88">
        <v>0</v>
      </c>
      <c r="BS1319" s="88">
        <v>0</v>
      </c>
      <c r="BV1319" s="89">
        <v>37800</v>
      </c>
      <c r="BW1319" s="89">
        <v>0</v>
      </c>
      <c r="BX1319" s="89">
        <v>43685</v>
      </c>
      <c r="BY1319" s="89">
        <v>37800</v>
      </c>
      <c r="BZ1319" s="112">
        <v>100</v>
      </c>
      <c r="CK1319" s="88">
        <v>0</v>
      </c>
    </row>
    <row r="1320" spans="1:89" x14ac:dyDescent="0.15">
      <c r="A1320" s="84">
        <v>2</v>
      </c>
      <c r="B1320" s="85">
        <v>43738</v>
      </c>
      <c r="C1320" s="85">
        <v>43747</v>
      </c>
      <c r="D1320" s="85">
        <v>43753</v>
      </c>
      <c r="E1320" s="85">
        <v>43756</v>
      </c>
      <c r="F1320" s="85">
        <v>43754</v>
      </c>
      <c r="G1320" s="85">
        <v>43754</v>
      </c>
      <c r="H1320" s="85">
        <v>43750</v>
      </c>
      <c r="I1320" s="84" t="s">
        <v>1191</v>
      </c>
      <c r="J1320" s="84">
        <v>1</v>
      </c>
      <c r="L1320" s="84">
        <v>0</v>
      </c>
      <c r="M1320" s="85">
        <v>43685</v>
      </c>
      <c r="N1320" s="85" t="s">
        <v>265</v>
      </c>
      <c r="O1320" s="86" t="s">
        <v>340</v>
      </c>
      <c r="P1320" s="84" t="s">
        <v>26</v>
      </c>
      <c r="Q1320" s="86" t="s">
        <v>120</v>
      </c>
      <c r="R1320" s="86" t="s">
        <v>3720</v>
      </c>
      <c r="S1320" s="87" t="s">
        <v>1033</v>
      </c>
      <c r="T1320" s="87" t="s">
        <v>3721</v>
      </c>
      <c r="U1320" s="88">
        <v>299000</v>
      </c>
      <c r="V1320" s="88">
        <v>322920</v>
      </c>
      <c r="W1320" s="88">
        <v>186000</v>
      </c>
      <c r="X1320" s="88">
        <v>200880</v>
      </c>
      <c r="Y1320" s="88">
        <v>113000</v>
      </c>
      <c r="Z1320" s="88">
        <v>122040</v>
      </c>
      <c r="AA1320" s="85">
        <v>43745</v>
      </c>
      <c r="AB1320" s="85">
        <v>43747</v>
      </c>
      <c r="AC1320" s="85">
        <v>43747</v>
      </c>
      <c r="AD1320" s="84">
        <v>0</v>
      </c>
      <c r="AG1320" s="84">
        <v>0</v>
      </c>
      <c r="AJ1320" s="84">
        <v>0</v>
      </c>
      <c r="AN1320" s="84" t="s">
        <v>338</v>
      </c>
      <c r="AR1320" s="85">
        <v>43714</v>
      </c>
      <c r="AS1320" s="84">
        <v>6001709588</v>
      </c>
      <c r="AT1320" s="85">
        <v>43714</v>
      </c>
      <c r="AU1320" s="84" t="s">
        <v>3641</v>
      </c>
      <c r="AV1320" s="85">
        <v>43747</v>
      </c>
      <c r="AW1320" s="123">
        <v>43769</v>
      </c>
      <c r="AX1320" s="123">
        <v>43789</v>
      </c>
      <c r="AY1320" s="132">
        <v>287040</v>
      </c>
      <c r="AZ1320" s="132">
        <f>ROUNDDOWN(AY1320+(AY1320*0.1),0)</f>
        <v>315744</v>
      </c>
      <c r="BA1320" s="84" t="s">
        <v>778</v>
      </c>
      <c r="BC1320" s="88">
        <v>0</v>
      </c>
      <c r="BG1320" s="88">
        <v>0</v>
      </c>
      <c r="BI1320" s="84" t="s">
        <v>276</v>
      </c>
      <c r="BJ1320" s="88">
        <v>103664</v>
      </c>
      <c r="BK1320" s="88">
        <f>ROUNDDOWN(BJ1320+(BJ1320*0.1),0)</f>
        <v>114030</v>
      </c>
      <c r="BL1320" s="84" t="s">
        <v>430</v>
      </c>
      <c r="BS1320" s="88">
        <v>0</v>
      </c>
      <c r="BV1320" s="89">
        <v>200880</v>
      </c>
      <c r="BW1320" s="89">
        <v>111957.12</v>
      </c>
      <c r="BX1320" s="89">
        <v>43685</v>
      </c>
      <c r="BY1320" s="89">
        <v>88922.880000000005</v>
      </c>
      <c r="BZ1320" s="112">
        <v>44.266666666666673</v>
      </c>
      <c r="CC1320" s="84">
        <v>2019</v>
      </c>
      <c r="CK1320" s="88">
        <v>0</v>
      </c>
    </row>
    <row r="1321" spans="1:89" x14ac:dyDescent="0.15">
      <c r="A1321" s="84">
        <v>2</v>
      </c>
      <c r="B1321" s="85">
        <v>43717</v>
      </c>
      <c r="C1321" s="85">
        <v>43718</v>
      </c>
      <c r="F1321" s="85" t="s">
        <v>338</v>
      </c>
      <c r="H1321" s="85" t="s">
        <v>338</v>
      </c>
      <c r="I1321" s="84" t="s">
        <v>2642</v>
      </c>
      <c r="J1321" s="84">
        <v>2</v>
      </c>
      <c r="L1321" s="84">
        <v>0</v>
      </c>
      <c r="M1321" s="85">
        <v>43685</v>
      </c>
      <c r="N1321" s="85" t="s">
        <v>265</v>
      </c>
      <c r="O1321" s="86" t="s">
        <v>340</v>
      </c>
      <c r="P1321" s="84" t="s">
        <v>6</v>
      </c>
      <c r="Q1321" s="86" t="s">
        <v>120</v>
      </c>
      <c r="R1321" s="86" t="s">
        <v>3647</v>
      </c>
      <c r="S1321" s="87" t="s">
        <v>3648</v>
      </c>
      <c r="T1321" s="87" t="s">
        <v>3649</v>
      </c>
      <c r="U1321" s="88">
        <v>35000</v>
      </c>
      <c r="V1321" s="88">
        <v>37800</v>
      </c>
      <c r="W1321" s="88">
        <v>35000</v>
      </c>
      <c r="X1321" s="88">
        <v>37800</v>
      </c>
      <c r="Z1321" s="88">
        <v>0</v>
      </c>
      <c r="AA1321" s="85">
        <v>43697</v>
      </c>
      <c r="AB1321" s="85">
        <v>43697</v>
      </c>
      <c r="AD1321" s="84">
        <v>0</v>
      </c>
      <c r="AG1321" s="84">
        <v>0</v>
      </c>
      <c r="AJ1321" s="84">
        <v>0</v>
      </c>
      <c r="AN1321" s="84" t="s">
        <v>338</v>
      </c>
      <c r="AR1321" s="85">
        <v>43714</v>
      </c>
      <c r="AS1321" s="84">
        <v>6001709588</v>
      </c>
      <c r="AT1321" s="85">
        <v>43714</v>
      </c>
      <c r="AU1321" s="84" t="s">
        <v>3641</v>
      </c>
      <c r="AV1321" s="85">
        <v>43718</v>
      </c>
      <c r="AW1321" s="123">
        <v>43738</v>
      </c>
      <c r="AX1321" s="123">
        <v>43758</v>
      </c>
      <c r="AY1321" s="132">
        <v>33600</v>
      </c>
      <c r="AZ1321" s="132">
        <f>ROUNDDOWN(AY1321+(AY1321*MASTER!$A$2/100),0)</f>
        <v>36288</v>
      </c>
      <c r="BA1321" s="84" t="s">
        <v>109</v>
      </c>
      <c r="BC1321" s="88">
        <v>0</v>
      </c>
      <c r="BG1321" s="88">
        <v>0</v>
      </c>
      <c r="BK1321" s="88">
        <v>0</v>
      </c>
      <c r="BS1321" s="88">
        <v>0</v>
      </c>
      <c r="BV1321" s="89">
        <v>37800</v>
      </c>
      <c r="BW1321" s="89">
        <v>0</v>
      </c>
      <c r="BX1321" s="89">
        <v>43685</v>
      </c>
      <c r="BY1321" s="89">
        <v>37800</v>
      </c>
      <c r="BZ1321" s="112">
        <v>100</v>
      </c>
      <c r="CK1321" s="88">
        <v>0</v>
      </c>
    </row>
    <row r="1322" spans="1:89" x14ac:dyDescent="0.15">
      <c r="A1322" s="84">
        <v>2</v>
      </c>
      <c r="B1322" s="85">
        <v>43738</v>
      </c>
      <c r="C1322" s="85">
        <v>43746</v>
      </c>
      <c r="D1322" s="85">
        <v>43796</v>
      </c>
      <c r="E1322" s="85">
        <v>43753</v>
      </c>
      <c r="F1322" s="85">
        <v>43754</v>
      </c>
      <c r="G1322" s="85">
        <v>43748</v>
      </c>
      <c r="H1322" s="85">
        <v>43750</v>
      </c>
      <c r="I1322" s="84" t="s">
        <v>401</v>
      </c>
      <c r="J1322" s="84">
        <v>1</v>
      </c>
      <c r="L1322" s="84">
        <v>0</v>
      </c>
      <c r="M1322" s="85">
        <v>43686</v>
      </c>
      <c r="N1322" s="85" t="s">
        <v>265</v>
      </c>
      <c r="O1322" s="86" t="s">
        <v>340</v>
      </c>
      <c r="P1322" s="84" t="s">
        <v>26</v>
      </c>
      <c r="Q1322" s="86" t="s">
        <v>120</v>
      </c>
      <c r="R1322" s="86" t="s">
        <v>3850</v>
      </c>
      <c r="S1322" s="87" t="s">
        <v>489</v>
      </c>
      <c r="T1322" s="87" t="s">
        <v>828</v>
      </c>
      <c r="U1322" s="88">
        <v>95000</v>
      </c>
      <c r="V1322" s="88">
        <v>102600</v>
      </c>
      <c r="W1322" s="88">
        <v>80000</v>
      </c>
      <c r="X1322" s="88">
        <v>86400</v>
      </c>
      <c r="Y1322" s="88">
        <v>15000</v>
      </c>
      <c r="Z1322" s="88">
        <v>16200</v>
      </c>
      <c r="AA1322" s="85">
        <v>43746</v>
      </c>
      <c r="AB1322" s="85">
        <v>43747</v>
      </c>
      <c r="AC1322" s="85">
        <v>43747</v>
      </c>
      <c r="AD1322" s="84">
        <v>0</v>
      </c>
      <c r="AG1322" s="84">
        <v>0</v>
      </c>
      <c r="AJ1322" s="84">
        <v>0</v>
      </c>
      <c r="AN1322" s="84" t="s">
        <v>338</v>
      </c>
      <c r="AR1322" s="85">
        <v>43697</v>
      </c>
      <c r="AS1322" s="84">
        <v>6001703474</v>
      </c>
      <c r="AT1322" s="85">
        <v>43697</v>
      </c>
      <c r="AU1322" s="84" t="s">
        <v>3488</v>
      </c>
      <c r="AV1322" s="85">
        <v>43746</v>
      </c>
      <c r="AW1322" s="123">
        <v>43769</v>
      </c>
      <c r="AX1322" s="123">
        <v>43789</v>
      </c>
      <c r="AY1322" s="132">
        <v>91200</v>
      </c>
      <c r="AZ1322" s="132">
        <f>ROUNDDOWN(AY1322+(AY1322*0.1),0)</f>
        <v>100320</v>
      </c>
      <c r="BA1322" s="84" t="s">
        <v>287</v>
      </c>
      <c r="BB1322" s="88">
        <v>23000</v>
      </c>
      <c r="BC1322" s="88">
        <v>24840</v>
      </c>
      <c r="BD1322" s="84" t="s">
        <v>188</v>
      </c>
      <c r="BG1322" s="88">
        <v>0</v>
      </c>
      <c r="BI1322" s="84" t="s">
        <v>434</v>
      </c>
      <c r="BJ1322" s="88">
        <v>9750</v>
      </c>
      <c r="BK1322" s="88">
        <v>10530</v>
      </c>
      <c r="BL1322" s="84" t="s">
        <v>188</v>
      </c>
      <c r="BS1322" s="88">
        <v>0</v>
      </c>
      <c r="BV1322" s="89">
        <v>86400</v>
      </c>
      <c r="BW1322" s="89">
        <v>35370</v>
      </c>
      <c r="BX1322" s="89">
        <v>43686</v>
      </c>
      <c r="BY1322" s="89">
        <v>51030</v>
      </c>
      <c r="BZ1322" s="112">
        <v>59.062499999999993</v>
      </c>
      <c r="CC1322" s="84">
        <v>2019</v>
      </c>
      <c r="CK1322" s="88">
        <v>0</v>
      </c>
    </row>
    <row r="1323" spans="1:89" x14ac:dyDescent="0.15">
      <c r="A1323" s="84">
        <v>2</v>
      </c>
      <c r="B1323" s="85">
        <v>43703</v>
      </c>
      <c r="C1323" s="85">
        <v>43704</v>
      </c>
      <c r="D1323" s="85">
        <v>43699</v>
      </c>
      <c r="E1323" s="85">
        <v>43699</v>
      </c>
      <c r="F1323" s="85" t="s">
        <v>338</v>
      </c>
      <c r="G1323" s="85">
        <v>43699</v>
      </c>
      <c r="H1323" s="85" t="s">
        <v>338</v>
      </c>
      <c r="I1323" s="84" t="s">
        <v>380</v>
      </c>
      <c r="J1323" s="84">
        <v>2</v>
      </c>
      <c r="L1323" s="84">
        <v>0</v>
      </c>
      <c r="M1323" s="85">
        <v>43696</v>
      </c>
      <c r="N1323" s="85" t="s">
        <v>265</v>
      </c>
      <c r="O1323" s="86" t="s">
        <v>340</v>
      </c>
      <c r="P1323" s="84" t="s">
        <v>6</v>
      </c>
      <c r="Q1323" s="86" t="s">
        <v>120</v>
      </c>
      <c r="R1323" s="86" t="s">
        <v>3440</v>
      </c>
      <c r="S1323" s="87" t="s">
        <v>1979</v>
      </c>
      <c r="T1323" s="87" t="s">
        <v>342</v>
      </c>
      <c r="U1323" s="88">
        <v>35000</v>
      </c>
      <c r="V1323" s="88">
        <v>37800</v>
      </c>
      <c r="W1323" s="88">
        <v>35000</v>
      </c>
      <c r="X1323" s="88">
        <v>37800</v>
      </c>
      <c r="Z1323" s="88">
        <v>0</v>
      </c>
      <c r="AA1323" s="85">
        <v>43698</v>
      </c>
      <c r="AB1323" s="85">
        <v>43698</v>
      </c>
      <c r="AD1323" s="84">
        <v>0</v>
      </c>
      <c r="AG1323" s="84">
        <v>0</v>
      </c>
      <c r="AJ1323" s="84">
        <v>0</v>
      </c>
      <c r="AN1323" s="84" t="s">
        <v>338</v>
      </c>
      <c r="AR1323" s="85">
        <v>43699</v>
      </c>
      <c r="AS1323" s="84">
        <v>6001704687</v>
      </c>
      <c r="AT1323" s="85">
        <v>43699</v>
      </c>
      <c r="AU1323" s="84" t="s">
        <v>3497</v>
      </c>
      <c r="AV1323" s="85">
        <v>43704</v>
      </c>
      <c r="AW1323" s="123">
        <v>43708</v>
      </c>
      <c r="AX1323" s="123">
        <v>43728</v>
      </c>
      <c r="AY1323" s="132">
        <v>33600</v>
      </c>
      <c r="AZ1323" s="132">
        <f>ROUNDDOWN(AY1323+(AY1323*MASTER!$A$2/100),0)</f>
        <v>36288</v>
      </c>
      <c r="BA1323" s="84" t="s">
        <v>287</v>
      </c>
      <c r="BB1323" s="88">
        <v>40000</v>
      </c>
      <c r="BC1323" s="88">
        <v>43200</v>
      </c>
      <c r="BD1323" s="84" t="s">
        <v>3431</v>
      </c>
      <c r="BG1323" s="88">
        <v>0</v>
      </c>
      <c r="BK1323" s="88">
        <v>0</v>
      </c>
      <c r="BS1323" s="88">
        <v>0</v>
      </c>
      <c r="BV1323" s="89">
        <v>37800</v>
      </c>
      <c r="BW1323" s="89">
        <v>43200</v>
      </c>
      <c r="BX1323" s="89">
        <v>43696</v>
      </c>
      <c r="BY1323" s="89">
        <v>-5400</v>
      </c>
      <c r="BZ1323" s="112">
        <v>-14.285714285714285</v>
      </c>
      <c r="CK1323" s="88">
        <v>0</v>
      </c>
    </row>
    <row r="1324" spans="1:89" x14ac:dyDescent="0.15">
      <c r="A1324" s="84">
        <v>1</v>
      </c>
      <c r="B1324" s="85">
        <v>43705</v>
      </c>
      <c r="C1324" s="85">
        <v>43706</v>
      </c>
      <c r="F1324" s="85" t="s">
        <v>338</v>
      </c>
      <c r="H1324" s="85" t="s">
        <v>338</v>
      </c>
      <c r="J1324" s="84">
        <v>2</v>
      </c>
      <c r="L1324" s="84">
        <v>0</v>
      </c>
      <c r="M1324" s="85">
        <v>43696</v>
      </c>
      <c r="N1324" s="85" t="s">
        <v>265</v>
      </c>
      <c r="O1324" s="86" t="s">
        <v>340</v>
      </c>
      <c r="P1324" s="84" t="s">
        <v>26</v>
      </c>
      <c r="Q1324" s="86" t="s">
        <v>120</v>
      </c>
      <c r="R1324" s="86" t="s">
        <v>3441</v>
      </c>
      <c r="S1324" s="87" t="s">
        <v>351</v>
      </c>
      <c r="T1324" s="87" t="s">
        <v>3442</v>
      </c>
      <c r="U1324" s="88">
        <v>62500</v>
      </c>
      <c r="V1324" s="88">
        <v>67500</v>
      </c>
      <c r="W1324" s="88">
        <v>62500</v>
      </c>
      <c r="X1324" s="88">
        <v>67500</v>
      </c>
      <c r="Z1324" s="88">
        <v>0</v>
      </c>
      <c r="AA1324" s="85">
        <v>43685</v>
      </c>
      <c r="AB1324" s="85">
        <v>43699</v>
      </c>
      <c r="AD1324" s="84">
        <v>0</v>
      </c>
      <c r="AG1324" s="84">
        <v>0</v>
      </c>
      <c r="AJ1324" s="84">
        <v>0</v>
      </c>
      <c r="AR1324" s="85">
        <v>43704</v>
      </c>
      <c r="AS1324" s="84">
        <v>6001706118</v>
      </c>
      <c r="AT1324" s="85">
        <v>43704</v>
      </c>
      <c r="AU1324" s="84" t="s">
        <v>3535</v>
      </c>
      <c r="AV1324" s="85">
        <v>43706</v>
      </c>
      <c r="AW1324" s="123">
        <v>43708</v>
      </c>
      <c r="AX1324" s="123">
        <v>43728</v>
      </c>
      <c r="AY1324" s="132">
        <v>60000</v>
      </c>
      <c r="AZ1324" s="132">
        <f>ROUNDDOWN(AY1324+(AY1324*MASTER!$A$2/100),0)</f>
        <v>64800</v>
      </c>
      <c r="BC1324" s="88">
        <v>0</v>
      </c>
      <c r="BG1324" s="88">
        <v>0</v>
      </c>
      <c r="BK1324" s="88">
        <v>0</v>
      </c>
      <c r="BS1324" s="88">
        <v>0</v>
      </c>
      <c r="BV1324" s="89">
        <v>67500</v>
      </c>
      <c r="BW1324" s="89">
        <v>0</v>
      </c>
      <c r="BX1324" s="89">
        <v>43696</v>
      </c>
      <c r="BY1324" s="89">
        <v>67500</v>
      </c>
      <c r="BZ1324" s="112">
        <v>100</v>
      </c>
    </row>
    <row r="1325" spans="1:89" x14ac:dyDescent="0.15">
      <c r="A1325" s="84">
        <v>1</v>
      </c>
      <c r="B1325" s="85">
        <v>43705</v>
      </c>
      <c r="C1325" s="85">
        <v>43714</v>
      </c>
      <c r="F1325" s="85" t="s">
        <v>338</v>
      </c>
      <c r="H1325" s="85" t="s">
        <v>338</v>
      </c>
      <c r="J1325" s="84">
        <v>2</v>
      </c>
      <c r="L1325" s="84">
        <v>0</v>
      </c>
      <c r="M1325" s="85">
        <v>43696</v>
      </c>
      <c r="N1325" s="85" t="s">
        <v>265</v>
      </c>
      <c r="O1325" s="86" t="s">
        <v>340</v>
      </c>
      <c r="P1325" s="84" t="s">
        <v>26</v>
      </c>
      <c r="Q1325" s="86" t="s">
        <v>120</v>
      </c>
      <c r="R1325" s="86" t="s">
        <v>3443</v>
      </c>
      <c r="S1325" s="87" t="s">
        <v>351</v>
      </c>
      <c r="T1325" s="87" t="s">
        <v>3444</v>
      </c>
      <c r="U1325" s="88">
        <v>50000</v>
      </c>
      <c r="V1325" s="88">
        <v>54000</v>
      </c>
      <c r="W1325" s="88">
        <v>50000</v>
      </c>
      <c r="X1325" s="88">
        <v>54000</v>
      </c>
      <c r="Z1325" s="88">
        <v>0</v>
      </c>
      <c r="AA1325" s="85">
        <v>43696</v>
      </c>
      <c r="AD1325" s="84">
        <v>0</v>
      </c>
      <c r="AG1325" s="84">
        <v>0</v>
      </c>
      <c r="AJ1325" s="84">
        <v>0</v>
      </c>
      <c r="AR1325" s="85">
        <v>43704</v>
      </c>
      <c r="AS1325" s="84">
        <v>6001706118</v>
      </c>
      <c r="AT1325" s="85">
        <v>43704</v>
      </c>
      <c r="AU1325" s="84" t="s">
        <v>3535</v>
      </c>
      <c r="AV1325" s="85">
        <v>43714</v>
      </c>
      <c r="AW1325" s="123">
        <v>43738</v>
      </c>
      <c r="AX1325" s="123">
        <v>43758</v>
      </c>
      <c r="AY1325" s="132">
        <v>48000</v>
      </c>
      <c r="AZ1325" s="132">
        <f>ROUNDDOWN(AY1325+(AY1325*MASTER!$A$2/100),0)</f>
        <v>51840</v>
      </c>
      <c r="BC1325" s="88">
        <v>0</v>
      </c>
      <c r="BG1325" s="88">
        <v>0</v>
      </c>
      <c r="BK1325" s="88">
        <v>0</v>
      </c>
      <c r="BS1325" s="88">
        <v>0</v>
      </c>
      <c r="BV1325" s="89">
        <v>54000</v>
      </c>
      <c r="BW1325" s="89">
        <v>0</v>
      </c>
      <c r="BX1325" s="89">
        <v>43696</v>
      </c>
      <c r="BY1325" s="89">
        <v>54000</v>
      </c>
      <c r="BZ1325" s="112">
        <v>100</v>
      </c>
    </row>
    <row r="1326" spans="1:89" x14ac:dyDescent="0.15">
      <c r="A1326" s="84">
        <v>2</v>
      </c>
      <c r="B1326" s="85">
        <v>43703</v>
      </c>
      <c r="C1326" s="85">
        <v>43704</v>
      </c>
      <c r="D1326" s="85">
        <v>43705</v>
      </c>
      <c r="E1326" s="85">
        <v>43705</v>
      </c>
      <c r="F1326" s="85" t="s">
        <v>338</v>
      </c>
      <c r="G1326" s="85">
        <v>43705</v>
      </c>
      <c r="H1326" s="85" t="s">
        <v>338</v>
      </c>
      <c r="I1326" s="84" t="s">
        <v>380</v>
      </c>
      <c r="J1326" s="84">
        <v>2</v>
      </c>
      <c r="L1326" s="84">
        <v>0</v>
      </c>
      <c r="M1326" s="85">
        <v>43696</v>
      </c>
      <c r="N1326" s="85" t="s">
        <v>265</v>
      </c>
      <c r="O1326" s="86" t="s">
        <v>340</v>
      </c>
      <c r="P1326" s="84" t="s">
        <v>6</v>
      </c>
      <c r="Q1326" s="86" t="s">
        <v>120</v>
      </c>
      <c r="R1326" s="86" t="s">
        <v>3445</v>
      </c>
      <c r="S1326" s="87" t="s">
        <v>3446</v>
      </c>
      <c r="T1326" s="87" t="s">
        <v>3447</v>
      </c>
      <c r="U1326" s="88">
        <v>35000</v>
      </c>
      <c r="V1326" s="88">
        <v>37800</v>
      </c>
      <c r="W1326" s="88">
        <v>35000</v>
      </c>
      <c r="X1326" s="88">
        <v>37800</v>
      </c>
      <c r="Z1326" s="88">
        <v>0</v>
      </c>
      <c r="AA1326" s="85">
        <v>43700</v>
      </c>
      <c r="AD1326" s="84">
        <v>0</v>
      </c>
      <c r="AG1326" s="84">
        <v>0</v>
      </c>
      <c r="AJ1326" s="84">
        <v>0</v>
      </c>
      <c r="AR1326" s="85">
        <v>43700</v>
      </c>
      <c r="AS1326" s="84">
        <v>6001705161</v>
      </c>
      <c r="AT1326" s="85">
        <v>43700</v>
      </c>
      <c r="AU1326" s="84" t="s">
        <v>3507</v>
      </c>
      <c r="AV1326" s="85">
        <v>43704</v>
      </c>
      <c r="AW1326" s="123">
        <v>43708</v>
      </c>
      <c r="AX1326" s="123">
        <v>43728</v>
      </c>
      <c r="AY1326" s="132">
        <v>33600</v>
      </c>
      <c r="AZ1326" s="132">
        <f>ROUNDDOWN(AY1326+(AY1326*MASTER!$A$2/100),0)</f>
        <v>36288</v>
      </c>
      <c r="BA1326" s="84" t="s">
        <v>109</v>
      </c>
      <c r="BC1326" s="88">
        <v>0</v>
      </c>
      <c r="BG1326" s="88">
        <v>0</v>
      </c>
      <c r="BK1326" s="88">
        <v>0</v>
      </c>
      <c r="BS1326" s="88">
        <v>0</v>
      </c>
      <c r="BV1326" s="89">
        <v>37800</v>
      </c>
      <c r="BW1326" s="89">
        <v>0</v>
      </c>
      <c r="BX1326" s="89">
        <v>43696</v>
      </c>
      <c r="BY1326" s="89">
        <v>37800</v>
      </c>
      <c r="BZ1326" s="112">
        <v>100</v>
      </c>
    </row>
    <row r="1327" spans="1:89" x14ac:dyDescent="0.15">
      <c r="A1327" s="84">
        <v>1</v>
      </c>
      <c r="B1327" s="85">
        <v>43703</v>
      </c>
      <c r="C1327" s="85">
        <v>43704</v>
      </c>
      <c r="F1327" s="85" t="s">
        <v>338</v>
      </c>
      <c r="G1327" s="85">
        <v>43699</v>
      </c>
      <c r="H1327" s="85" t="s">
        <v>338</v>
      </c>
      <c r="J1327" s="84">
        <v>2</v>
      </c>
      <c r="L1327" s="84">
        <v>0</v>
      </c>
      <c r="M1327" s="85">
        <v>43696</v>
      </c>
      <c r="N1327" s="85" t="s">
        <v>265</v>
      </c>
      <c r="O1327" s="86" t="s">
        <v>340</v>
      </c>
      <c r="P1327" s="84" t="s">
        <v>6</v>
      </c>
      <c r="Q1327" s="86" t="s">
        <v>120</v>
      </c>
      <c r="R1327" s="86" t="s">
        <v>3687</v>
      </c>
      <c r="S1327" s="87" t="s">
        <v>3688</v>
      </c>
      <c r="T1327" s="87" t="s">
        <v>342</v>
      </c>
      <c r="U1327" s="88">
        <v>35000</v>
      </c>
      <c r="V1327" s="88">
        <v>37800</v>
      </c>
      <c r="W1327" s="88">
        <v>35000</v>
      </c>
      <c r="X1327" s="88">
        <v>37800</v>
      </c>
      <c r="Z1327" s="88">
        <v>0</v>
      </c>
      <c r="AA1327" s="85">
        <v>43698</v>
      </c>
      <c r="AD1327" s="84">
        <v>0</v>
      </c>
      <c r="AG1327" s="84">
        <v>0</v>
      </c>
      <c r="AJ1327" s="84">
        <v>0</v>
      </c>
      <c r="AR1327" s="85">
        <v>43699</v>
      </c>
      <c r="AS1327" s="84">
        <v>6001704687</v>
      </c>
      <c r="AT1327" s="85">
        <v>43699</v>
      </c>
      <c r="AU1327" s="84" t="s">
        <v>3497</v>
      </c>
      <c r="AV1327" s="85">
        <v>43704</v>
      </c>
      <c r="AW1327" s="123">
        <v>43708</v>
      </c>
      <c r="AX1327" s="123">
        <v>43728</v>
      </c>
      <c r="AY1327" s="132">
        <v>33600</v>
      </c>
      <c r="AZ1327" s="132">
        <f>ROUNDDOWN(AY1327+(AY1327*MASTER!$A$2/100),0)</f>
        <v>36288</v>
      </c>
      <c r="BA1327" s="84" t="s">
        <v>486</v>
      </c>
      <c r="BB1327" s="88">
        <v>42000</v>
      </c>
      <c r="BC1327" s="88">
        <v>45360</v>
      </c>
      <c r="BD1327" s="84" t="s">
        <v>3515</v>
      </c>
      <c r="BG1327" s="88">
        <v>0</v>
      </c>
      <c r="BK1327" s="88">
        <v>0</v>
      </c>
      <c r="BS1327" s="88">
        <v>0</v>
      </c>
      <c r="BV1327" s="89">
        <v>37800</v>
      </c>
      <c r="BW1327" s="89">
        <v>45360</v>
      </c>
      <c r="BX1327" s="89">
        <v>43696</v>
      </c>
      <c r="BY1327" s="89">
        <v>-7560</v>
      </c>
      <c r="BZ1327" s="112">
        <v>-20</v>
      </c>
      <c r="CK1327" s="88">
        <v>0</v>
      </c>
    </row>
    <row r="1328" spans="1:89" x14ac:dyDescent="0.15">
      <c r="A1328" s="84">
        <v>2</v>
      </c>
      <c r="B1328" s="85">
        <v>43703</v>
      </c>
      <c r="C1328" s="85">
        <v>43704</v>
      </c>
      <c r="D1328" s="85">
        <v>43698</v>
      </c>
      <c r="E1328" s="85">
        <v>43698</v>
      </c>
      <c r="F1328" s="85" t="s">
        <v>338</v>
      </c>
      <c r="G1328" s="85">
        <v>43698</v>
      </c>
      <c r="H1328" s="85" t="s">
        <v>338</v>
      </c>
      <c r="I1328" s="84" t="s">
        <v>380</v>
      </c>
      <c r="J1328" s="84">
        <v>2</v>
      </c>
      <c r="L1328" s="84">
        <v>0</v>
      </c>
      <c r="M1328" s="85">
        <v>43696</v>
      </c>
      <c r="N1328" s="85" t="s">
        <v>265</v>
      </c>
      <c r="O1328" s="86" t="s">
        <v>340</v>
      </c>
      <c r="P1328" s="84" t="s">
        <v>6</v>
      </c>
      <c r="Q1328" s="86" t="s">
        <v>120</v>
      </c>
      <c r="R1328" s="86" t="s">
        <v>3448</v>
      </c>
      <c r="S1328" s="87" t="s">
        <v>1619</v>
      </c>
      <c r="T1328" s="87" t="s">
        <v>342</v>
      </c>
      <c r="U1328" s="88">
        <v>35000</v>
      </c>
      <c r="V1328" s="88">
        <v>37800</v>
      </c>
      <c r="W1328" s="88">
        <v>35000</v>
      </c>
      <c r="X1328" s="88">
        <v>37800</v>
      </c>
      <c r="Z1328" s="88">
        <v>0</v>
      </c>
      <c r="AA1328" s="85">
        <v>43697</v>
      </c>
      <c r="AB1328" s="85">
        <v>43697</v>
      </c>
      <c r="AD1328" s="84">
        <v>0</v>
      </c>
      <c r="AG1328" s="84">
        <v>0</v>
      </c>
      <c r="AJ1328" s="84">
        <v>0</v>
      </c>
      <c r="AR1328" s="85">
        <v>43699</v>
      </c>
      <c r="AS1328" s="84">
        <v>6001704687</v>
      </c>
      <c r="AT1328" s="85">
        <v>43699</v>
      </c>
      <c r="AU1328" s="84" t="s">
        <v>3497</v>
      </c>
      <c r="AV1328" s="85">
        <v>43704</v>
      </c>
      <c r="AW1328" s="123">
        <v>43708</v>
      </c>
      <c r="AX1328" s="123">
        <v>43728</v>
      </c>
      <c r="AY1328" s="132">
        <v>33600</v>
      </c>
      <c r="AZ1328" s="132">
        <f>ROUNDDOWN(AY1328+(AY1328*MASTER!$A$2/100),0)</f>
        <v>36288</v>
      </c>
      <c r="BA1328" s="84" t="s">
        <v>286</v>
      </c>
      <c r="BB1328" s="88">
        <v>22000</v>
      </c>
      <c r="BC1328" s="88">
        <v>23760</v>
      </c>
      <c r="BD1328" s="84" t="s">
        <v>2849</v>
      </c>
      <c r="BG1328" s="88">
        <v>0</v>
      </c>
      <c r="BK1328" s="88">
        <v>0</v>
      </c>
      <c r="BS1328" s="88">
        <v>0</v>
      </c>
      <c r="BV1328" s="89">
        <v>37800</v>
      </c>
      <c r="BW1328" s="89">
        <v>23760</v>
      </c>
      <c r="BX1328" s="89">
        <v>43696</v>
      </c>
      <c r="BY1328" s="89">
        <v>14040</v>
      </c>
      <c r="BZ1328" s="112">
        <v>37.142857142857146</v>
      </c>
    </row>
    <row r="1329" spans="1:89" x14ac:dyDescent="0.15">
      <c r="A1329" s="84">
        <v>1</v>
      </c>
      <c r="B1329" s="85">
        <v>43703</v>
      </c>
      <c r="C1329" s="85">
        <v>43704</v>
      </c>
      <c r="F1329" s="85" t="s">
        <v>338</v>
      </c>
      <c r="H1329" s="85" t="s">
        <v>338</v>
      </c>
      <c r="J1329" s="84">
        <v>3</v>
      </c>
      <c r="L1329" s="84">
        <v>0</v>
      </c>
      <c r="M1329" s="85">
        <v>43696</v>
      </c>
      <c r="N1329" s="85" t="s">
        <v>265</v>
      </c>
      <c r="O1329" s="86" t="s">
        <v>340</v>
      </c>
      <c r="P1329" s="84" t="s">
        <v>6</v>
      </c>
      <c r="Q1329" s="86" t="s">
        <v>120</v>
      </c>
      <c r="R1329" s="86" t="s">
        <v>3456</v>
      </c>
      <c r="S1329" s="87" t="s">
        <v>2021</v>
      </c>
      <c r="T1329" s="87" t="s">
        <v>3455</v>
      </c>
      <c r="U1329" s="88">
        <v>9000</v>
      </c>
      <c r="V1329" s="88">
        <v>9720</v>
      </c>
      <c r="X1329" s="88">
        <v>0</v>
      </c>
      <c r="Y1329" s="88">
        <v>9000</v>
      </c>
      <c r="Z1329" s="88">
        <v>9720</v>
      </c>
      <c r="AD1329" s="84">
        <v>0</v>
      </c>
      <c r="AG1329" s="84">
        <v>0</v>
      </c>
      <c r="AJ1329" s="84">
        <v>0</v>
      </c>
      <c r="AR1329" s="85">
        <v>43700</v>
      </c>
      <c r="AS1329" s="84">
        <v>6001705161</v>
      </c>
      <c r="AT1329" s="85">
        <v>43700</v>
      </c>
      <c r="AU1329" s="84" t="s">
        <v>3507</v>
      </c>
      <c r="AV1329" s="85">
        <v>43704</v>
      </c>
      <c r="AW1329" s="123">
        <v>43708</v>
      </c>
      <c r="AX1329" s="123">
        <v>43728</v>
      </c>
      <c r="AY1329" s="132">
        <v>8640</v>
      </c>
      <c r="AZ1329" s="132">
        <f>ROUNDDOWN(AY1329+(AY1329*MASTER!$A$2/100),0)</f>
        <v>9331</v>
      </c>
      <c r="BC1329" s="88">
        <v>0</v>
      </c>
      <c r="BG1329" s="88">
        <v>0</v>
      </c>
      <c r="BK1329" s="88">
        <v>0</v>
      </c>
      <c r="BS1329" s="88">
        <v>0</v>
      </c>
      <c r="BV1329" s="89">
        <v>0</v>
      </c>
      <c r="BW1329" s="89">
        <v>0</v>
      </c>
      <c r="BX1329" s="89">
        <v>43696</v>
      </c>
      <c r="BY1329" s="89">
        <v>0</v>
      </c>
      <c r="BZ1329" s="112" t="s">
        <v>338</v>
      </c>
    </row>
    <row r="1330" spans="1:89" x14ac:dyDescent="0.15">
      <c r="A1330" s="84">
        <v>1</v>
      </c>
      <c r="B1330" s="85">
        <v>43725</v>
      </c>
      <c r="C1330" s="85">
        <v>43735</v>
      </c>
      <c r="F1330" s="85" t="s">
        <v>338</v>
      </c>
      <c r="H1330" s="85" t="s">
        <v>338</v>
      </c>
      <c r="J1330" s="84">
        <v>2</v>
      </c>
      <c r="L1330" s="84">
        <v>0</v>
      </c>
      <c r="M1330" s="85">
        <v>43696</v>
      </c>
      <c r="N1330" s="85" t="s">
        <v>265</v>
      </c>
      <c r="O1330" s="86" t="s">
        <v>340</v>
      </c>
      <c r="P1330" s="84" t="s">
        <v>272</v>
      </c>
      <c r="Q1330" s="86" t="s">
        <v>120</v>
      </c>
      <c r="R1330" s="86" t="s">
        <v>3457</v>
      </c>
      <c r="S1330" s="87" t="s">
        <v>2248</v>
      </c>
      <c r="T1330" s="87" t="s">
        <v>3575</v>
      </c>
      <c r="U1330" s="88">
        <v>3000</v>
      </c>
      <c r="V1330" s="88">
        <v>3240</v>
      </c>
      <c r="W1330" s="88">
        <v>3000</v>
      </c>
      <c r="X1330" s="88">
        <v>3240</v>
      </c>
      <c r="Z1330" s="88">
        <v>0</v>
      </c>
      <c r="AA1330" s="85">
        <v>43682</v>
      </c>
      <c r="AD1330" s="84">
        <v>0</v>
      </c>
      <c r="AG1330" s="84">
        <v>0</v>
      </c>
      <c r="AJ1330" s="84">
        <v>0</v>
      </c>
      <c r="AR1330" s="85">
        <v>43711</v>
      </c>
      <c r="AS1330" s="84">
        <v>6001708122</v>
      </c>
      <c r="AT1330" s="85">
        <v>43711</v>
      </c>
      <c r="AU1330" s="84" t="s">
        <v>3614</v>
      </c>
      <c r="AV1330" s="85">
        <v>43735</v>
      </c>
      <c r="AW1330" s="123">
        <v>43738</v>
      </c>
      <c r="AX1330" s="123">
        <v>43758</v>
      </c>
      <c r="AY1330" s="132">
        <v>2880</v>
      </c>
      <c r="AZ1330" s="132">
        <f>ROUNDDOWN(AY1330+(AY1330*MASTER!$A$2/100),0)</f>
        <v>3110</v>
      </c>
      <c r="BC1330" s="88">
        <v>0</v>
      </c>
      <c r="BG1330" s="88">
        <v>0</v>
      </c>
      <c r="BK1330" s="88">
        <v>0</v>
      </c>
      <c r="BS1330" s="88">
        <v>0</v>
      </c>
      <c r="BV1330" s="89">
        <v>3240</v>
      </c>
      <c r="BW1330" s="89">
        <v>0</v>
      </c>
      <c r="BX1330" s="89">
        <v>43696</v>
      </c>
      <c r="BY1330" s="89">
        <v>3240</v>
      </c>
      <c r="BZ1330" s="112">
        <v>100</v>
      </c>
    </row>
    <row r="1331" spans="1:89" x14ac:dyDescent="0.15">
      <c r="A1331" s="84">
        <v>1</v>
      </c>
      <c r="B1331" s="85">
        <v>43777</v>
      </c>
      <c r="C1331" s="85">
        <v>43787</v>
      </c>
      <c r="F1331" s="85" t="s">
        <v>338</v>
      </c>
      <c r="H1331" s="85" t="s">
        <v>338</v>
      </c>
      <c r="J1331" s="84">
        <v>2</v>
      </c>
      <c r="L1331" s="84">
        <v>0</v>
      </c>
      <c r="M1331" s="85">
        <v>43696</v>
      </c>
      <c r="N1331" s="85" t="s">
        <v>265</v>
      </c>
      <c r="O1331" s="86" t="s">
        <v>340</v>
      </c>
      <c r="P1331" s="84" t="s">
        <v>272</v>
      </c>
      <c r="Q1331" s="86" t="s">
        <v>120</v>
      </c>
      <c r="R1331" s="86" t="s">
        <v>3458</v>
      </c>
      <c r="S1331" s="87" t="s">
        <v>1047</v>
      </c>
      <c r="T1331" s="87" t="s">
        <v>393</v>
      </c>
      <c r="U1331" s="88">
        <v>3000</v>
      </c>
      <c r="V1331" s="88">
        <v>3240</v>
      </c>
      <c r="W1331" s="88">
        <v>3000</v>
      </c>
      <c r="X1331" s="88">
        <v>3240</v>
      </c>
      <c r="Z1331" s="88">
        <v>0</v>
      </c>
      <c r="AA1331" s="85">
        <v>43682</v>
      </c>
      <c r="AD1331" s="84">
        <v>0</v>
      </c>
      <c r="AG1331" s="84">
        <v>0</v>
      </c>
      <c r="AJ1331" s="84">
        <v>0</v>
      </c>
      <c r="AR1331" s="85">
        <v>43761</v>
      </c>
      <c r="AS1331" s="84">
        <v>6001723164</v>
      </c>
      <c r="AT1331" s="85">
        <v>43761</v>
      </c>
      <c r="AU1331" s="84" t="s">
        <v>3925</v>
      </c>
      <c r="AV1331" s="85">
        <v>43787</v>
      </c>
      <c r="AW1331" s="123">
        <v>43799</v>
      </c>
      <c r="AX1331" s="123">
        <v>43819</v>
      </c>
      <c r="AY1331" s="132">
        <v>2880</v>
      </c>
      <c r="AZ1331" s="132">
        <f>ROUNDDOWN(AY1331+(AY1331*[1]MASTER!$A$2/100),0)</f>
        <v>3168</v>
      </c>
      <c r="BC1331" s="88">
        <v>0</v>
      </c>
      <c r="BG1331" s="88">
        <v>0</v>
      </c>
      <c r="BK1331" s="88">
        <v>0</v>
      </c>
      <c r="BS1331" s="88">
        <v>0</v>
      </c>
      <c r="BV1331" s="89">
        <v>3240</v>
      </c>
      <c r="BW1331" s="89">
        <v>0</v>
      </c>
      <c r="BX1331" s="89">
        <v>43696</v>
      </c>
      <c r="BY1331" s="89">
        <v>3240</v>
      </c>
      <c r="BZ1331" s="112">
        <v>100</v>
      </c>
      <c r="CC1331" s="84">
        <v>2019</v>
      </c>
    </row>
    <row r="1332" spans="1:89" x14ac:dyDescent="0.15">
      <c r="A1332" s="84">
        <v>1</v>
      </c>
      <c r="B1332" s="85">
        <v>43699</v>
      </c>
      <c r="C1332" s="85">
        <v>43700</v>
      </c>
      <c r="F1332" s="85" t="s">
        <v>338</v>
      </c>
      <c r="H1332" s="85" t="s">
        <v>338</v>
      </c>
      <c r="J1332" s="84">
        <v>2</v>
      </c>
      <c r="L1332" s="84">
        <v>0</v>
      </c>
      <c r="M1332" s="85">
        <v>43696</v>
      </c>
      <c r="N1332" s="85" t="s">
        <v>265</v>
      </c>
      <c r="O1332" s="86" t="s">
        <v>340</v>
      </c>
      <c r="P1332" s="84" t="s">
        <v>272</v>
      </c>
      <c r="Q1332" s="86" t="s">
        <v>120</v>
      </c>
      <c r="R1332" s="86" t="s">
        <v>3461</v>
      </c>
      <c r="S1332" s="87" t="s">
        <v>1620</v>
      </c>
      <c r="T1332" s="87" t="s">
        <v>3459</v>
      </c>
      <c r="U1332" s="88">
        <v>3000</v>
      </c>
      <c r="V1332" s="88">
        <v>3240</v>
      </c>
      <c r="W1332" s="88">
        <v>3000</v>
      </c>
      <c r="X1332" s="88">
        <v>3240</v>
      </c>
      <c r="Z1332" s="88">
        <v>0</v>
      </c>
      <c r="AA1332" s="85">
        <v>43682</v>
      </c>
      <c r="AD1332" s="84">
        <v>0</v>
      </c>
      <c r="AG1332" s="84">
        <v>0</v>
      </c>
      <c r="AJ1332" s="84">
        <v>0</v>
      </c>
      <c r="AR1332" s="85">
        <v>43698</v>
      </c>
      <c r="AS1332" s="84">
        <v>6001704000</v>
      </c>
      <c r="AT1332" s="85">
        <v>43698</v>
      </c>
      <c r="AU1332" s="84" t="s">
        <v>3492</v>
      </c>
      <c r="AV1332" s="85">
        <v>43700</v>
      </c>
      <c r="AW1332" s="123">
        <v>43708</v>
      </c>
      <c r="AX1332" s="123">
        <v>43728</v>
      </c>
      <c r="AY1332" s="132">
        <v>2880</v>
      </c>
      <c r="AZ1332" s="132">
        <f>ROUNDDOWN(AY1332+(AY1332*MASTER!$A$2/100),0)</f>
        <v>3110</v>
      </c>
      <c r="BC1332" s="88">
        <v>0</v>
      </c>
      <c r="BG1332" s="88">
        <v>0</v>
      </c>
      <c r="BK1332" s="88">
        <v>0</v>
      </c>
      <c r="BS1332" s="88">
        <v>0</v>
      </c>
      <c r="BV1332" s="89">
        <v>3240</v>
      </c>
      <c r="BW1332" s="89">
        <v>0</v>
      </c>
      <c r="BX1332" s="89">
        <v>43696</v>
      </c>
      <c r="BY1332" s="89">
        <v>3240</v>
      </c>
      <c r="BZ1332" s="112">
        <v>100</v>
      </c>
    </row>
    <row r="1333" spans="1:89" x14ac:dyDescent="0.15">
      <c r="A1333" s="84">
        <v>1</v>
      </c>
      <c r="B1333" s="85">
        <v>43699</v>
      </c>
      <c r="C1333" s="85">
        <v>43700</v>
      </c>
      <c r="F1333" s="85" t="s">
        <v>338</v>
      </c>
      <c r="H1333" s="85" t="s">
        <v>338</v>
      </c>
      <c r="J1333" s="84">
        <v>2</v>
      </c>
      <c r="L1333" s="84">
        <v>0</v>
      </c>
      <c r="M1333" s="85">
        <v>43696</v>
      </c>
      <c r="N1333" s="85" t="s">
        <v>265</v>
      </c>
      <c r="O1333" s="86" t="s">
        <v>340</v>
      </c>
      <c r="P1333" s="84" t="s">
        <v>272</v>
      </c>
      <c r="Q1333" s="86" t="s">
        <v>120</v>
      </c>
      <c r="R1333" s="86" t="s">
        <v>3462</v>
      </c>
      <c r="S1333" s="87" t="s">
        <v>1620</v>
      </c>
      <c r="T1333" s="87" t="s">
        <v>3460</v>
      </c>
      <c r="U1333" s="88">
        <v>3000</v>
      </c>
      <c r="V1333" s="88">
        <v>3240</v>
      </c>
      <c r="W1333" s="88">
        <v>3000</v>
      </c>
      <c r="X1333" s="88">
        <v>3240</v>
      </c>
      <c r="Z1333" s="88">
        <v>0</v>
      </c>
      <c r="AA1333" s="85">
        <v>43682</v>
      </c>
      <c r="AD1333" s="84">
        <v>0</v>
      </c>
      <c r="AG1333" s="84">
        <v>0</v>
      </c>
      <c r="AJ1333" s="84">
        <v>0</v>
      </c>
      <c r="AR1333" s="85">
        <v>43698</v>
      </c>
      <c r="AS1333" s="84">
        <v>6001704000</v>
      </c>
      <c r="AT1333" s="85">
        <v>43698</v>
      </c>
      <c r="AU1333" s="84" t="s">
        <v>3492</v>
      </c>
      <c r="AV1333" s="85">
        <v>43700</v>
      </c>
      <c r="AW1333" s="123">
        <v>43708</v>
      </c>
      <c r="AX1333" s="123">
        <v>43728</v>
      </c>
      <c r="AY1333" s="132">
        <v>2880</v>
      </c>
      <c r="AZ1333" s="132">
        <f>ROUNDDOWN(AY1333+(AY1333*MASTER!$A$2/100),0)</f>
        <v>3110</v>
      </c>
      <c r="BC1333" s="88">
        <v>0</v>
      </c>
      <c r="BG1333" s="88">
        <v>0</v>
      </c>
      <c r="BK1333" s="88">
        <v>0</v>
      </c>
      <c r="BS1333" s="88">
        <v>0</v>
      </c>
      <c r="BV1333" s="89">
        <v>3240</v>
      </c>
      <c r="BW1333" s="89">
        <v>0</v>
      </c>
      <c r="BX1333" s="89">
        <v>43696</v>
      </c>
      <c r="BY1333" s="89">
        <v>3240</v>
      </c>
      <c r="BZ1333" s="112">
        <v>100</v>
      </c>
    </row>
    <row r="1334" spans="1:89" x14ac:dyDescent="0.15">
      <c r="A1334" s="84">
        <v>2</v>
      </c>
      <c r="B1334" s="85">
        <v>43712</v>
      </c>
      <c r="C1334" s="85">
        <v>43713</v>
      </c>
      <c r="D1334" s="85">
        <v>43698</v>
      </c>
      <c r="E1334" s="85">
        <v>43698</v>
      </c>
      <c r="F1334" s="85" t="s">
        <v>338</v>
      </c>
      <c r="G1334" s="85">
        <v>43698</v>
      </c>
      <c r="H1334" s="85" t="s">
        <v>338</v>
      </c>
      <c r="I1334" s="84" t="s">
        <v>380</v>
      </c>
      <c r="J1334" s="84">
        <v>2</v>
      </c>
      <c r="L1334" s="84">
        <v>0</v>
      </c>
      <c r="M1334" s="85">
        <v>43696</v>
      </c>
      <c r="N1334" s="85" t="s">
        <v>265</v>
      </c>
      <c r="O1334" s="86" t="s">
        <v>340</v>
      </c>
      <c r="P1334" s="84" t="s">
        <v>6</v>
      </c>
      <c r="Q1334" s="86" t="s">
        <v>120</v>
      </c>
      <c r="R1334" s="86" t="s">
        <v>3472</v>
      </c>
      <c r="S1334" s="87" t="s">
        <v>2878</v>
      </c>
      <c r="T1334" s="87" t="s">
        <v>342</v>
      </c>
      <c r="U1334" s="88">
        <v>35000</v>
      </c>
      <c r="V1334" s="88">
        <v>37800</v>
      </c>
      <c r="W1334" s="88">
        <v>35000</v>
      </c>
      <c r="X1334" s="88">
        <v>37800</v>
      </c>
      <c r="Z1334" s="88">
        <v>0</v>
      </c>
      <c r="AA1334" s="85">
        <v>43697</v>
      </c>
      <c r="AB1334" s="85">
        <v>43697</v>
      </c>
      <c r="AD1334" s="84">
        <v>0</v>
      </c>
      <c r="AG1334" s="84">
        <v>0</v>
      </c>
      <c r="AJ1334" s="84">
        <v>0</v>
      </c>
      <c r="AR1334" s="85">
        <v>43711</v>
      </c>
      <c r="AS1334" s="84">
        <v>6001708122</v>
      </c>
      <c r="AT1334" s="85">
        <v>43711</v>
      </c>
      <c r="AU1334" s="84" t="s">
        <v>3614</v>
      </c>
      <c r="AV1334" s="85">
        <v>43713</v>
      </c>
      <c r="AW1334" s="123">
        <v>43738</v>
      </c>
      <c r="AX1334" s="123">
        <v>43758</v>
      </c>
      <c r="AY1334" s="132">
        <v>33600</v>
      </c>
      <c r="AZ1334" s="132">
        <f>ROUNDDOWN(AY1334+(AY1334*MASTER!$A$2/100),0)</f>
        <v>36288</v>
      </c>
      <c r="BA1334" s="84" t="s">
        <v>287</v>
      </c>
      <c r="BB1334" s="88">
        <v>21000</v>
      </c>
      <c r="BC1334" s="88">
        <v>22680</v>
      </c>
      <c r="BD1334" s="84" t="s">
        <v>2849</v>
      </c>
      <c r="BG1334" s="88">
        <v>0</v>
      </c>
      <c r="BK1334" s="88">
        <v>0</v>
      </c>
      <c r="BS1334" s="88">
        <v>0</v>
      </c>
      <c r="BV1334" s="89">
        <v>37800</v>
      </c>
      <c r="BW1334" s="89">
        <v>22680</v>
      </c>
      <c r="BX1334" s="89">
        <v>43696</v>
      </c>
      <c r="BY1334" s="89">
        <v>15120</v>
      </c>
      <c r="BZ1334" s="112">
        <v>40</v>
      </c>
    </row>
    <row r="1335" spans="1:89" x14ac:dyDescent="0.15">
      <c r="A1335" s="84">
        <v>2</v>
      </c>
      <c r="B1335" s="85">
        <v>43705</v>
      </c>
      <c r="C1335" s="85">
        <v>43706</v>
      </c>
      <c r="D1335" s="85">
        <v>43796</v>
      </c>
      <c r="E1335" s="85">
        <v>43741</v>
      </c>
      <c r="F1335" s="85">
        <v>43713</v>
      </c>
      <c r="G1335" s="85">
        <v>43710</v>
      </c>
      <c r="H1335" s="85">
        <v>43709</v>
      </c>
      <c r="I1335" s="84" t="s">
        <v>1191</v>
      </c>
      <c r="J1335" s="84">
        <v>2</v>
      </c>
      <c r="L1335" s="84">
        <v>0</v>
      </c>
      <c r="M1335" s="85">
        <v>43697</v>
      </c>
      <c r="N1335" s="85" t="s">
        <v>265</v>
      </c>
      <c r="O1335" s="86" t="s">
        <v>340</v>
      </c>
      <c r="P1335" s="84" t="s">
        <v>26</v>
      </c>
      <c r="Q1335" s="86" t="s">
        <v>120</v>
      </c>
      <c r="R1335" s="86" t="s">
        <v>3536</v>
      </c>
      <c r="S1335" s="87" t="s">
        <v>2184</v>
      </c>
      <c r="T1335" s="87" t="s">
        <v>3537</v>
      </c>
      <c r="U1335" s="88">
        <v>47000</v>
      </c>
      <c r="V1335" s="88">
        <v>50760</v>
      </c>
      <c r="W1335" s="88">
        <v>47000</v>
      </c>
      <c r="X1335" s="88">
        <v>50760</v>
      </c>
      <c r="Z1335" s="88">
        <v>0</v>
      </c>
      <c r="AA1335" s="85">
        <v>43705</v>
      </c>
      <c r="AB1335" s="85">
        <v>43706</v>
      </c>
      <c r="AC1335" s="85">
        <v>43706</v>
      </c>
      <c r="AD1335" s="84">
        <v>0</v>
      </c>
      <c r="AG1335" s="84">
        <v>0</v>
      </c>
      <c r="AJ1335" s="84">
        <v>0</v>
      </c>
      <c r="AM1335" s="84" t="s">
        <v>290</v>
      </c>
      <c r="AN1335" s="84" t="s">
        <v>3538</v>
      </c>
      <c r="AR1335" s="85">
        <v>43704</v>
      </c>
      <c r="AS1335" s="84">
        <v>6001706120</v>
      </c>
      <c r="AT1335" s="85">
        <v>43704</v>
      </c>
      <c r="AU1335" s="84" t="s">
        <v>3539</v>
      </c>
      <c r="AV1335" s="85">
        <v>43706</v>
      </c>
      <c r="AW1335" s="123">
        <v>43708</v>
      </c>
      <c r="AX1335" s="123">
        <v>43728</v>
      </c>
      <c r="AY1335" s="132">
        <v>45120</v>
      </c>
      <c r="AZ1335" s="132">
        <v>48730</v>
      </c>
      <c r="BA1335" s="84" t="s">
        <v>287</v>
      </c>
      <c r="BB1335" s="88">
        <v>21000</v>
      </c>
      <c r="BC1335" s="88">
        <v>22680</v>
      </c>
      <c r="BD1335" s="84" t="s">
        <v>3431</v>
      </c>
      <c r="BG1335" s="88">
        <v>0</v>
      </c>
      <c r="BK1335" s="88">
        <v>0</v>
      </c>
      <c r="BS1335" s="88">
        <v>0</v>
      </c>
      <c r="BV1335" s="89">
        <v>50760</v>
      </c>
      <c r="BW1335" s="89">
        <v>22680</v>
      </c>
      <c r="BX1335" s="89">
        <v>43697</v>
      </c>
      <c r="BY1335" s="89">
        <v>28080</v>
      </c>
      <c r="BZ1335" s="112">
        <v>55.319148936170215</v>
      </c>
      <c r="CK1335" s="88">
        <v>0</v>
      </c>
    </row>
    <row r="1336" spans="1:89" x14ac:dyDescent="0.15">
      <c r="A1336" s="84">
        <v>2</v>
      </c>
      <c r="B1336" s="85">
        <v>43706</v>
      </c>
      <c r="C1336" s="85">
        <v>43714</v>
      </c>
      <c r="E1336" s="85">
        <v>43718</v>
      </c>
      <c r="F1336" s="85">
        <v>43721</v>
      </c>
      <c r="G1336" s="85">
        <v>43718</v>
      </c>
      <c r="H1336" s="85">
        <v>43717</v>
      </c>
      <c r="I1336" s="84" t="s">
        <v>401</v>
      </c>
      <c r="J1336" s="84">
        <v>1</v>
      </c>
      <c r="L1336" s="84">
        <v>0</v>
      </c>
      <c r="M1336" s="85">
        <v>43697</v>
      </c>
      <c r="N1336" s="85" t="s">
        <v>265</v>
      </c>
      <c r="O1336" s="86" t="s">
        <v>340</v>
      </c>
      <c r="P1336" s="84" t="s">
        <v>26</v>
      </c>
      <c r="Q1336" s="86" t="s">
        <v>120</v>
      </c>
      <c r="R1336" s="86" t="s">
        <v>3554</v>
      </c>
      <c r="S1336" s="87" t="s">
        <v>1230</v>
      </c>
      <c r="T1336" s="87" t="s">
        <v>721</v>
      </c>
      <c r="U1336" s="88">
        <v>23900</v>
      </c>
      <c r="V1336" s="88">
        <v>25812</v>
      </c>
      <c r="W1336" s="88">
        <v>14700</v>
      </c>
      <c r="X1336" s="88">
        <v>15876</v>
      </c>
      <c r="Y1336" s="88">
        <v>9200</v>
      </c>
      <c r="Z1336" s="88">
        <v>9936</v>
      </c>
      <c r="AA1336" s="85">
        <v>43713</v>
      </c>
      <c r="AB1336" s="85">
        <v>43714</v>
      </c>
      <c r="AC1336" s="85">
        <v>43714</v>
      </c>
      <c r="AD1336" s="84">
        <v>0</v>
      </c>
      <c r="AG1336" s="84">
        <v>0</v>
      </c>
      <c r="AJ1336" s="84">
        <v>0</v>
      </c>
      <c r="AM1336" s="84" t="s">
        <v>290</v>
      </c>
      <c r="AN1336" s="84" t="s">
        <v>3555</v>
      </c>
      <c r="AR1336" s="85">
        <v>43705</v>
      </c>
      <c r="AS1336" s="84">
        <v>6001706491</v>
      </c>
      <c r="AT1336" s="85">
        <v>43705</v>
      </c>
      <c r="AU1336" s="84" t="s">
        <v>3542</v>
      </c>
      <c r="AV1336" s="85">
        <v>43714</v>
      </c>
      <c r="AW1336" s="123">
        <v>43738</v>
      </c>
      <c r="AX1336" s="123">
        <v>43758</v>
      </c>
      <c r="AY1336" s="132">
        <v>22944</v>
      </c>
      <c r="AZ1336" s="132">
        <v>24780</v>
      </c>
      <c r="BA1336" s="84" t="s">
        <v>778</v>
      </c>
      <c r="BC1336" s="88">
        <v>0</v>
      </c>
      <c r="BG1336" s="88">
        <v>0</v>
      </c>
      <c r="BI1336" s="84" t="s">
        <v>276</v>
      </c>
      <c r="BJ1336" s="88">
        <v>5980</v>
      </c>
      <c r="BK1336" s="88">
        <v>6458.4</v>
      </c>
      <c r="BL1336" s="84" t="s">
        <v>3515</v>
      </c>
      <c r="BS1336" s="88">
        <v>0</v>
      </c>
      <c r="BV1336" s="89">
        <v>15876</v>
      </c>
      <c r="BW1336" s="89">
        <v>6458.4</v>
      </c>
      <c r="BX1336" s="89">
        <v>43697</v>
      </c>
      <c r="BY1336" s="89">
        <v>9417.6</v>
      </c>
      <c r="BZ1336" s="112">
        <v>59.319727891156461</v>
      </c>
      <c r="CK1336" s="88">
        <v>0</v>
      </c>
    </row>
    <row r="1337" spans="1:89" x14ac:dyDescent="0.15">
      <c r="A1337" s="84">
        <v>2</v>
      </c>
      <c r="B1337" s="85">
        <v>43714</v>
      </c>
      <c r="C1337" s="85">
        <v>43721</v>
      </c>
      <c r="D1337" s="85">
        <v>43748</v>
      </c>
      <c r="E1337" s="85">
        <v>43725</v>
      </c>
      <c r="F1337" s="85">
        <v>43728</v>
      </c>
      <c r="G1337" s="85">
        <v>43725</v>
      </c>
      <c r="H1337" s="85">
        <v>43724</v>
      </c>
      <c r="I1337" s="84" t="s">
        <v>401</v>
      </c>
      <c r="J1337" s="84">
        <v>1</v>
      </c>
      <c r="L1337" s="84">
        <v>0</v>
      </c>
      <c r="M1337" s="85">
        <v>43697</v>
      </c>
      <c r="N1337" s="85" t="s">
        <v>265</v>
      </c>
      <c r="O1337" s="86" t="s">
        <v>340</v>
      </c>
      <c r="P1337" s="84" t="s">
        <v>26</v>
      </c>
      <c r="Q1337" s="86" t="s">
        <v>120</v>
      </c>
      <c r="R1337" s="86" t="s">
        <v>3638</v>
      </c>
      <c r="S1337" s="87" t="s">
        <v>382</v>
      </c>
      <c r="T1337" s="87" t="s">
        <v>3639</v>
      </c>
      <c r="U1337" s="88">
        <v>59200</v>
      </c>
      <c r="V1337" s="88">
        <v>63936</v>
      </c>
      <c r="W1337" s="88">
        <v>47000</v>
      </c>
      <c r="X1337" s="88">
        <v>50760</v>
      </c>
      <c r="Y1337" s="88">
        <v>12200</v>
      </c>
      <c r="Z1337" s="88">
        <v>13176</v>
      </c>
      <c r="AA1337" s="85">
        <v>43719</v>
      </c>
      <c r="AB1337" s="85">
        <v>43721</v>
      </c>
      <c r="AC1337" s="85">
        <v>43721</v>
      </c>
      <c r="AD1337" s="84">
        <v>0</v>
      </c>
      <c r="AG1337" s="84">
        <v>0</v>
      </c>
      <c r="AJ1337" s="84">
        <v>0</v>
      </c>
      <c r="AM1337" s="84" t="s">
        <v>290</v>
      </c>
      <c r="AN1337" s="84" t="s">
        <v>3640</v>
      </c>
      <c r="AR1337" s="85">
        <v>43711</v>
      </c>
      <c r="AS1337" s="84">
        <v>6001708122</v>
      </c>
      <c r="AT1337" s="85">
        <v>43711</v>
      </c>
      <c r="AU1337" s="84" t="s">
        <v>3614</v>
      </c>
      <c r="AV1337" s="85">
        <v>43721</v>
      </c>
      <c r="AW1337" s="123">
        <v>43738</v>
      </c>
      <c r="AX1337" s="123">
        <v>43758</v>
      </c>
      <c r="AY1337" s="132">
        <v>56832</v>
      </c>
      <c r="AZ1337" s="132">
        <v>61379</v>
      </c>
      <c r="BA1337" s="84" t="s">
        <v>400</v>
      </c>
      <c r="BB1337" s="88">
        <v>44000</v>
      </c>
      <c r="BC1337" s="88">
        <v>47520</v>
      </c>
      <c r="BD1337" s="84" t="s">
        <v>3431</v>
      </c>
      <c r="BG1337" s="88">
        <v>0</v>
      </c>
      <c r="BI1337" s="84" t="s">
        <v>434</v>
      </c>
      <c r="BJ1337" s="88">
        <v>7930</v>
      </c>
      <c r="BK1337" s="88">
        <v>8564.4</v>
      </c>
      <c r="BL1337" s="84" t="s">
        <v>3431</v>
      </c>
      <c r="BS1337" s="88">
        <v>0</v>
      </c>
      <c r="BV1337" s="89">
        <v>50760</v>
      </c>
      <c r="BW1337" s="89">
        <v>56084.4</v>
      </c>
      <c r="BX1337" s="89">
        <v>43697</v>
      </c>
      <c r="BY1337" s="89">
        <v>-5324.4</v>
      </c>
      <c r="BZ1337" s="112">
        <v>-10.489361702127663</v>
      </c>
      <c r="CK1337" s="88">
        <v>0</v>
      </c>
    </row>
    <row r="1338" spans="1:89" x14ac:dyDescent="0.15">
      <c r="A1338" s="84">
        <v>2</v>
      </c>
      <c r="B1338" s="85">
        <v>43733</v>
      </c>
      <c r="C1338" s="85">
        <v>43735</v>
      </c>
      <c r="D1338" s="85">
        <v>43755</v>
      </c>
      <c r="E1338" s="85">
        <v>43735</v>
      </c>
      <c r="F1338" s="85">
        <v>43742</v>
      </c>
      <c r="G1338" s="85">
        <v>43735</v>
      </c>
      <c r="H1338" s="85">
        <v>43738</v>
      </c>
      <c r="I1338" s="84" t="s">
        <v>401</v>
      </c>
      <c r="J1338" s="84">
        <v>2</v>
      </c>
      <c r="L1338" s="84">
        <v>0</v>
      </c>
      <c r="M1338" s="85">
        <v>43697</v>
      </c>
      <c r="N1338" s="85" t="s">
        <v>265</v>
      </c>
      <c r="O1338" s="86" t="s">
        <v>340</v>
      </c>
      <c r="P1338" s="84" t="s">
        <v>26</v>
      </c>
      <c r="Q1338" s="86" t="s">
        <v>120</v>
      </c>
      <c r="R1338" s="86" t="s">
        <v>3766</v>
      </c>
      <c r="S1338" s="87" t="s">
        <v>1569</v>
      </c>
      <c r="T1338" s="87" t="s">
        <v>3767</v>
      </c>
      <c r="U1338" s="88">
        <v>47000</v>
      </c>
      <c r="V1338" s="88">
        <v>50760</v>
      </c>
      <c r="W1338" s="88">
        <v>47000</v>
      </c>
      <c r="X1338" s="88">
        <v>50760</v>
      </c>
      <c r="Z1338" s="88">
        <v>0</v>
      </c>
      <c r="AA1338" s="85">
        <v>43734</v>
      </c>
      <c r="AB1338" s="85">
        <v>43735</v>
      </c>
      <c r="AC1338" s="85">
        <v>43735</v>
      </c>
      <c r="AD1338" s="84">
        <v>0</v>
      </c>
      <c r="AG1338" s="84">
        <v>0</v>
      </c>
      <c r="AJ1338" s="84">
        <v>0</v>
      </c>
      <c r="AM1338" s="84" t="s">
        <v>290</v>
      </c>
      <c r="AN1338" s="84" t="s">
        <v>3768</v>
      </c>
      <c r="AR1338" s="85">
        <v>43728</v>
      </c>
      <c r="AS1338" s="84">
        <v>6001714069</v>
      </c>
      <c r="AT1338" s="85">
        <v>43732</v>
      </c>
      <c r="AU1338" s="84" t="s">
        <v>3771</v>
      </c>
      <c r="AV1338" s="85">
        <v>43735</v>
      </c>
      <c r="AW1338" s="123">
        <v>43738</v>
      </c>
      <c r="AX1338" s="123">
        <v>43758</v>
      </c>
      <c r="AY1338" s="132">
        <v>45120</v>
      </c>
      <c r="AZ1338" s="132">
        <v>48730</v>
      </c>
      <c r="BA1338" s="84" t="s">
        <v>666</v>
      </c>
      <c r="BB1338" s="88">
        <v>28000</v>
      </c>
      <c r="BC1338" s="88">
        <v>30240</v>
      </c>
      <c r="BD1338" s="84" t="s">
        <v>3431</v>
      </c>
      <c r="BG1338" s="88">
        <v>0</v>
      </c>
      <c r="BK1338" s="88">
        <v>0</v>
      </c>
      <c r="BS1338" s="88">
        <v>0</v>
      </c>
      <c r="BV1338" s="89">
        <v>50760</v>
      </c>
      <c r="BW1338" s="89">
        <v>30240</v>
      </c>
      <c r="BX1338" s="89">
        <v>43697</v>
      </c>
      <c r="BY1338" s="89">
        <v>20520</v>
      </c>
      <c r="BZ1338" s="112">
        <v>40.425531914893611</v>
      </c>
      <c r="CK1338" s="88">
        <v>0</v>
      </c>
    </row>
    <row r="1339" spans="1:89" x14ac:dyDescent="0.15">
      <c r="A1339" s="84">
        <v>2</v>
      </c>
      <c r="B1339" s="85">
        <v>43703</v>
      </c>
      <c r="C1339" s="85">
        <v>43704</v>
      </c>
      <c r="D1339" s="85">
        <v>43697</v>
      </c>
      <c r="E1339" s="85">
        <v>43697</v>
      </c>
      <c r="F1339" s="85" t="s">
        <v>338</v>
      </c>
      <c r="G1339" s="85">
        <v>43697</v>
      </c>
      <c r="H1339" s="85" t="s">
        <v>338</v>
      </c>
      <c r="I1339" s="84" t="s">
        <v>380</v>
      </c>
      <c r="J1339" s="84">
        <v>2</v>
      </c>
      <c r="L1339" s="84">
        <v>0</v>
      </c>
      <c r="M1339" s="85">
        <v>43697</v>
      </c>
      <c r="N1339" s="85" t="s">
        <v>265</v>
      </c>
      <c r="O1339" s="86" t="s">
        <v>340</v>
      </c>
      <c r="P1339" s="84" t="s">
        <v>6</v>
      </c>
      <c r="Q1339" s="86" t="s">
        <v>120</v>
      </c>
      <c r="R1339" s="86" t="s">
        <v>3481</v>
      </c>
      <c r="S1339" s="87" t="s">
        <v>2765</v>
      </c>
      <c r="T1339" s="87" t="s">
        <v>342</v>
      </c>
      <c r="U1339" s="88">
        <v>35000</v>
      </c>
      <c r="V1339" s="88">
        <v>37800</v>
      </c>
      <c r="W1339" s="88">
        <v>35000</v>
      </c>
      <c r="X1339" s="88">
        <v>37800</v>
      </c>
      <c r="Z1339" s="88">
        <v>0</v>
      </c>
      <c r="AA1339" s="85">
        <v>43691</v>
      </c>
      <c r="AB1339" s="85">
        <v>43691</v>
      </c>
      <c r="AD1339" s="84">
        <v>0</v>
      </c>
      <c r="AG1339" s="84">
        <v>0</v>
      </c>
      <c r="AJ1339" s="84">
        <v>0</v>
      </c>
      <c r="AN1339" s="84" t="s">
        <v>338</v>
      </c>
      <c r="AR1339" s="85">
        <v>43699</v>
      </c>
      <c r="AS1339" s="84">
        <v>6001704687</v>
      </c>
      <c r="AT1339" s="85">
        <v>43699</v>
      </c>
      <c r="AU1339" s="84" t="s">
        <v>3497</v>
      </c>
      <c r="AV1339" s="85">
        <v>43704</v>
      </c>
      <c r="AW1339" s="123">
        <v>43708</v>
      </c>
      <c r="AX1339" s="123">
        <v>43728</v>
      </c>
      <c r="AY1339" s="132">
        <v>33600</v>
      </c>
      <c r="AZ1339" s="132">
        <f>ROUNDDOWN(AY1339+(AY1339*MASTER!$A$2/100),0)</f>
        <v>36288</v>
      </c>
      <c r="BA1339" s="84" t="s">
        <v>543</v>
      </c>
      <c r="BB1339" s="88">
        <v>21000</v>
      </c>
      <c r="BC1339" s="88">
        <v>22680</v>
      </c>
      <c r="BD1339" s="84" t="s">
        <v>2849</v>
      </c>
      <c r="BG1339" s="88">
        <v>0</v>
      </c>
      <c r="BK1339" s="88">
        <v>0</v>
      </c>
      <c r="BS1339" s="88">
        <v>0</v>
      </c>
      <c r="BV1339" s="89">
        <v>37800</v>
      </c>
      <c r="BW1339" s="89">
        <v>22680</v>
      </c>
      <c r="BX1339" s="89">
        <v>43697</v>
      </c>
      <c r="BY1339" s="89">
        <v>15120</v>
      </c>
      <c r="BZ1339" s="112">
        <v>40</v>
      </c>
      <c r="CK1339" s="88">
        <v>0</v>
      </c>
    </row>
    <row r="1340" spans="1:89" s="151" customFormat="1" x14ac:dyDescent="0.15">
      <c r="A1340" s="141">
        <v>3</v>
      </c>
      <c r="B1340" s="142"/>
      <c r="C1340" s="142" t="s">
        <v>338</v>
      </c>
      <c r="D1340" s="142"/>
      <c r="E1340" s="142"/>
      <c r="F1340" s="142" t="s">
        <v>338</v>
      </c>
      <c r="G1340" s="142"/>
      <c r="H1340" s="142" t="s">
        <v>338</v>
      </c>
      <c r="I1340" s="141"/>
      <c r="J1340" s="141">
        <v>2</v>
      </c>
      <c r="K1340" s="142"/>
      <c r="L1340" s="141">
        <v>0</v>
      </c>
      <c r="M1340" s="142">
        <v>43697</v>
      </c>
      <c r="N1340" s="142" t="s">
        <v>265</v>
      </c>
      <c r="O1340" s="143" t="s">
        <v>340</v>
      </c>
      <c r="P1340" s="141" t="s">
        <v>26</v>
      </c>
      <c r="Q1340" s="143" t="s">
        <v>120</v>
      </c>
      <c r="R1340" s="143" t="s">
        <v>3508</v>
      </c>
      <c r="S1340" s="144" t="s">
        <v>1741</v>
      </c>
      <c r="T1340" s="144" t="s">
        <v>1759</v>
      </c>
      <c r="U1340" s="145">
        <v>57000</v>
      </c>
      <c r="V1340" s="145">
        <v>61560</v>
      </c>
      <c r="W1340" s="145">
        <v>57000</v>
      </c>
      <c r="X1340" s="145">
        <v>61560</v>
      </c>
      <c r="Y1340" s="145"/>
      <c r="Z1340" s="145">
        <v>0</v>
      </c>
      <c r="AA1340" s="142"/>
      <c r="AB1340" s="142"/>
      <c r="AC1340" s="142"/>
      <c r="AD1340" s="141">
        <v>0</v>
      </c>
      <c r="AE1340" s="141"/>
      <c r="AF1340" s="141"/>
      <c r="AG1340" s="141">
        <v>0</v>
      </c>
      <c r="AH1340" s="141"/>
      <c r="AI1340" s="141"/>
      <c r="AJ1340" s="141">
        <v>0</v>
      </c>
      <c r="AK1340" s="141"/>
      <c r="AL1340" s="141"/>
      <c r="AM1340" s="141"/>
      <c r="AN1340" s="141" t="s">
        <v>338</v>
      </c>
      <c r="AO1340" s="142"/>
      <c r="AP1340" s="141"/>
      <c r="AQ1340" s="141"/>
      <c r="AR1340" s="142"/>
      <c r="AS1340" s="141"/>
      <c r="AT1340" s="142"/>
      <c r="AU1340" s="141"/>
      <c r="AV1340" s="142"/>
      <c r="AW1340" s="146"/>
      <c r="AX1340" s="146"/>
      <c r="AY1340" s="147">
        <v>54720</v>
      </c>
      <c r="AZ1340" s="147">
        <f>ROUNDDOWN(AY1340+(AY1340*MASTER!$A$2/100),0)</f>
        <v>59097</v>
      </c>
      <c r="BA1340" s="141"/>
      <c r="BB1340" s="145"/>
      <c r="BC1340" s="145">
        <v>0</v>
      </c>
      <c r="BD1340" s="141"/>
      <c r="BE1340" s="141"/>
      <c r="BF1340" s="145"/>
      <c r="BG1340" s="145">
        <v>0</v>
      </c>
      <c r="BH1340" s="141"/>
      <c r="BI1340" s="141"/>
      <c r="BJ1340" s="145"/>
      <c r="BK1340" s="145">
        <v>0</v>
      </c>
      <c r="BL1340" s="141"/>
      <c r="BM1340" s="145"/>
      <c r="BN1340" s="145"/>
      <c r="BO1340" s="145"/>
      <c r="BP1340" s="145"/>
      <c r="BQ1340" s="145"/>
      <c r="BR1340" s="145"/>
      <c r="BS1340" s="145">
        <v>0</v>
      </c>
      <c r="BT1340" s="148"/>
      <c r="BU1340" s="148"/>
      <c r="BV1340" s="149">
        <v>61560</v>
      </c>
      <c r="BW1340" s="149">
        <v>0</v>
      </c>
      <c r="BX1340" s="149">
        <v>43697</v>
      </c>
      <c r="BY1340" s="149">
        <v>61560</v>
      </c>
      <c r="BZ1340" s="150">
        <v>100</v>
      </c>
      <c r="CA1340" s="141"/>
      <c r="CB1340" s="141"/>
      <c r="CC1340" s="141"/>
      <c r="CD1340" s="144" t="s">
        <v>3939</v>
      </c>
      <c r="CE1340" s="142"/>
      <c r="CF1340" s="142"/>
      <c r="CG1340" s="142"/>
      <c r="CH1340" s="142"/>
      <c r="CI1340" s="142"/>
      <c r="CJ1340" s="142"/>
      <c r="CK1340" s="145">
        <v>0</v>
      </c>
    </row>
    <row r="1341" spans="1:89" x14ac:dyDescent="0.15">
      <c r="A1341" s="84">
        <v>1</v>
      </c>
      <c r="B1341" s="85">
        <v>43699</v>
      </c>
      <c r="C1341" s="85">
        <v>43703</v>
      </c>
      <c r="F1341" s="85" t="s">
        <v>338</v>
      </c>
      <c r="H1341" s="85" t="s">
        <v>338</v>
      </c>
      <c r="J1341" s="84">
        <v>2</v>
      </c>
      <c r="L1341" s="84">
        <v>0</v>
      </c>
      <c r="M1341" s="85">
        <v>43697</v>
      </c>
      <c r="N1341" s="85" t="s">
        <v>265</v>
      </c>
      <c r="O1341" s="86" t="s">
        <v>340</v>
      </c>
      <c r="P1341" s="84" t="s">
        <v>78</v>
      </c>
      <c r="Q1341" s="86" t="s">
        <v>120</v>
      </c>
      <c r="R1341" s="86" t="s">
        <v>3473</v>
      </c>
      <c r="S1341" s="87" t="s">
        <v>407</v>
      </c>
      <c r="T1341" s="87" t="s">
        <v>408</v>
      </c>
      <c r="U1341" s="88">
        <v>8300</v>
      </c>
      <c r="V1341" s="88">
        <v>8964</v>
      </c>
      <c r="W1341" s="88">
        <v>8300</v>
      </c>
      <c r="X1341" s="88">
        <v>8964</v>
      </c>
      <c r="Z1341" s="88">
        <v>0</v>
      </c>
      <c r="AD1341" s="84">
        <v>0</v>
      </c>
      <c r="AG1341" s="84">
        <v>0</v>
      </c>
      <c r="AJ1341" s="84">
        <v>0</v>
      </c>
      <c r="AR1341" s="85">
        <v>43697</v>
      </c>
      <c r="AS1341" s="84">
        <v>6001703445</v>
      </c>
      <c r="AT1341" s="85">
        <v>43698</v>
      </c>
      <c r="AU1341" s="84" t="s">
        <v>3493</v>
      </c>
      <c r="AV1341" s="85">
        <v>43703</v>
      </c>
      <c r="AW1341" s="123">
        <v>43708</v>
      </c>
      <c r="AX1341" s="123">
        <v>43728</v>
      </c>
      <c r="AY1341" s="132">
        <v>7968</v>
      </c>
      <c r="AZ1341" s="132">
        <f>ROUNDDOWN(AY1341+(AY1341*MASTER!$A$2/100),0)</f>
        <v>8605</v>
      </c>
      <c r="BC1341" s="88">
        <v>0</v>
      </c>
      <c r="BG1341" s="88">
        <v>0</v>
      </c>
      <c r="BK1341" s="88">
        <v>0</v>
      </c>
      <c r="BS1341" s="88">
        <v>0</v>
      </c>
      <c r="BV1341" s="89">
        <v>8964</v>
      </c>
      <c r="BW1341" s="89">
        <v>0</v>
      </c>
      <c r="BX1341" s="89">
        <v>43697</v>
      </c>
      <c r="BY1341" s="89">
        <v>8964</v>
      </c>
      <c r="BZ1341" s="112">
        <v>100</v>
      </c>
      <c r="CK1341" s="88">
        <v>0</v>
      </c>
    </row>
    <row r="1342" spans="1:89" x14ac:dyDescent="0.15">
      <c r="A1342" s="84">
        <v>1</v>
      </c>
      <c r="B1342" s="85">
        <v>43699</v>
      </c>
      <c r="C1342" s="85">
        <v>43700</v>
      </c>
      <c r="F1342" s="85" t="s">
        <v>338</v>
      </c>
      <c r="H1342" s="85" t="s">
        <v>338</v>
      </c>
      <c r="J1342" s="84">
        <v>2</v>
      </c>
      <c r="L1342" s="84">
        <v>0</v>
      </c>
      <c r="M1342" s="85">
        <v>43697</v>
      </c>
      <c r="N1342" s="85" t="s">
        <v>265</v>
      </c>
      <c r="O1342" s="86" t="s">
        <v>340</v>
      </c>
      <c r="P1342" s="84" t="s">
        <v>78</v>
      </c>
      <c r="Q1342" s="86" t="s">
        <v>120</v>
      </c>
      <c r="R1342" s="86" t="s">
        <v>3495</v>
      </c>
      <c r="S1342" s="87" t="s">
        <v>341</v>
      </c>
      <c r="T1342" s="87" t="s">
        <v>726</v>
      </c>
      <c r="U1342" s="88">
        <v>65000</v>
      </c>
      <c r="V1342" s="88">
        <v>70200</v>
      </c>
      <c r="W1342" s="88">
        <v>65000</v>
      </c>
      <c r="X1342" s="88">
        <v>70200</v>
      </c>
      <c r="Z1342" s="88">
        <v>0</v>
      </c>
      <c r="AA1342" s="85">
        <v>43687</v>
      </c>
      <c r="AB1342" s="85">
        <v>43688</v>
      </c>
      <c r="AD1342" s="84">
        <v>0</v>
      </c>
      <c r="AG1342" s="84">
        <v>0</v>
      </c>
      <c r="AJ1342" s="84">
        <v>0</v>
      </c>
      <c r="AN1342" s="84" t="s">
        <v>338</v>
      </c>
      <c r="AR1342" s="85">
        <v>43698</v>
      </c>
      <c r="AS1342" s="84">
        <v>6001704000</v>
      </c>
      <c r="AT1342" s="85">
        <v>43698</v>
      </c>
      <c r="AU1342" s="84" t="s">
        <v>3492</v>
      </c>
      <c r="AV1342" s="85">
        <v>43700</v>
      </c>
      <c r="AW1342" s="123">
        <v>43708</v>
      </c>
      <c r="AX1342" s="123">
        <v>43728</v>
      </c>
      <c r="AY1342" s="132">
        <f>ROUNDDOWN((0.96*U1342),0)</f>
        <v>62400</v>
      </c>
      <c r="AZ1342" s="132">
        <f>ROUNDDOWN(AY1342+(AY1342*MASTER!$A$2/100),0)</f>
        <v>67392</v>
      </c>
      <c r="BC1342" s="88">
        <v>0</v>
      </c>
      <c r="BG1342" s="88">
        <v>0</v>
      </c>
      <c r="BK1342" s="88">
        <v>0</v>
      </c>
      <c r="BS1342" s="88">
        <v>0</v>
      </c>
      <c r="BV1342" s="89">
        <v>70200</v>
      </c>
      <c r="BW1342" s="89">
        <v>0</v>
      </c>
      <c r="BX1342" s="89">
        <v>43697</v>
      </c>
      <c r="BY1342" s="89">
        <v>70200</v>
      </c>
      <c r="BZ1342" s="112">
        <v>100</v>
      </c>
      <c r="CK1342" s="88">
        <v>0</v>
      </c>
    </row>
    <row r="1343" spans="1:89" x14ac:dyDescent="0.15">
      <c r="A1343" s="84">
        <v>2</v>
      </c>
      <c r="B1343" s="85">
        <v>43703</v>
      </c>
      <c r="C1343" s="85">
        <v>43704</v>
      </c>
      <c r="D1343" s="85">
        <v>43699</v>
      </c>
      <c r="E1343" s="85">
        <v>43699</v>
      </c>
      <c r="F1343" s="85" t="s">
        <v>338</v>
      </c>
      <c r="G1343" s="85">
        <v>43699</v>
      </c>
      <c r="H1343" s="85" t="s">
        <v>338</v>
      </c>
      <c r="I1343" s="84" t="s">
        <v>380</v>
      </c>
      <c r="J1343" s="84">
        <v>2</v>
      </c>
      <c r="L1343" s="84">
        <v>0</v>
      </c>
      <c r="M1343" s="85">
        <v>43697</v>
      </c>
      <c r="N1343" s="85" t="s">
        <v>265</v>
      </c>
      <c r="O1343" s="86" t="s">
        <v>340</v>
      </c>
      <c r="P1343" s="84" t="s">
        <v>6</v>
      </c>
      <c r="Q1343" s="86" t="s">
        <v>120</v>
      </c>
      <c r="R1343" s="86" t="s">
        <v>3511</v>
      </c>
      <c r="S1343" s="87" t="s">
        <v>685</v>
      </c>
      <c r="T1343" s="87" t="s">
        <v>342</v>
      </c>
      <c r="U1343" s="88">
        <v>35000</v>
      </c>
      <c r="V1343" s="88">
        <v>37800</v>
      </c>
      <c r="W1343" s="88">
        <v>35000</v>
      </c>
      <c r="X1343" s="88">
        <v>37800</v>
      </c>
      <c r="Z1343" s="88">
        <v>0</v>
      </c>
      <c r="AA1343" s="85">
        <v>43697</v>
      </c>
      <c r="AB1343" s="85">
        <v>43697</v>
      </c>
      <c r="AD1343" s="84">
        <v>0</v>
      </c>
      <c r="AG1343" s="84">
        <v>0</v>
      </c>
      <c r="AJ1343" s="84">
        <v>0</v>
      </c>
      <c r="AN1343" s="84" t="s">
        <v>338</v>
      </c>
      <c r="AR1343" s="85">
        <v>43700</v>
      </c>
      <c r="AS1343" s="84">
        <v>6001705161</v>
      </c>
      <c r="AT1343" s="85">
        <v>43700</v>
      </c>
      <c r="AU1343" s="84" t="s">
        <v>3507</v>
      </c>
      <c r="AV1343" s="85">
        <v>43704</v>
      </c>
      <c r="AW1343" s="123">
        <v>43708</v>
      </c>
      <c r="AX1343" s="123">
        <v>43728</v>
      </c>
      <c r="AY1343" s="132">
        <v>33600</v>
      </c>
      <c r="AZ1343" s="132">
        <f>ROUNDDOWN(AY1343+(AY1343*MASTER!$A$2/100),0)</f>
        <v>36288</v>
      </c>
      <c r="BA1343" s="84" t="s">
        <v>400</v>
      </c>
      <c r="BB1343" s="88">
        <v>42000</v>
      </c>
      <c r="BC1343" s="88">
        <v>45360</v>
      </c>
      <c r="BD1343" s="84" t="s">
        <v>2849</v>
      </c>
      <c r="BG1343" s="88">
        <v>0</v>
      </c>
      <c r="BK1343" s="88">
        <v>0</v>
      </c>
      <c r="BS1343" s="88">
        <v>0</v>
      </c>
      <c r="BV1343" s="89">
        <v>37800</v>
      </c>
      <c r="BW1343" s="89">
        <v>45360</v>
      </c>
      <c r="BX1343" s="89">
        <v>43697</v>
      </c>
      <c r="BY1343" s="89">
        <v>-7560</v>
      </c>
      <c r="BZ1343" s="112">
        <v>-20</v>
      </c>
      <c r="CK1343" s="88">
        <v>0</v>
      </c>
    </row>
    <row r="1344" spans="1:89" x14ac:dyDescent="0.15">
      <c r="A1344" s="84">
        <v>2</v>
      </c>
      <c r="B1344" s="85">
        <v>43706</v>
      </c>
      <c r="C1344" s="85">
        <v>43711</v>
      </c>
      <c r="D1344" s="85">
        <v>43796</v>
      </c>
      <c r="E1344" s="85">
        <v>43718</v>
      </c>
      <c r="F1344" s="85">
        <v>43718</v>
      </c>
      <c r="G1344" s="85">
        <v>43712</v>
      </c>
      <c r="H1344" s="85">
        <v>43714</v>
      </c>
      <c r="I1344" s="84" t="s">
        <v>401</v>
      </c>
      <c r="J1344" s="84">
        <v>1</v>
      </c>
      <c r="L1344" s="84">
        <v>0</v>
      </c>
      <c r="M1344" s="85">
        <v>43697</v>
      </c>
      <c r="N1344" s="85" t="s">
        <v>265</v>
      </c>
      <c r="O1344" s="86" t="s">
        <v>340</v>
      </c>
      <c r="P1344" s="84" t="s">
        <v>26</v>
      </c>
      <c r="Q1344" s="86" t="s">
        <v>120</v>
      </c>
      <c r="R1344" s="86" t="s">
        <v>3482</v>
      </c>
      <c r="S1344" s="87" t="s">
        <v>3483</v>
      </c>
      <c r="T1344" s="87" t="s">
        <v>878</v>
      </c>
      <c r="U1344" s="88">
        <v>59200</v>
      </c>
      <c r="V1344" s="88">
        <v>63936</v>
      </c>
      <c r="W1344" s="88">
        <v>47000</v>
      </c>
      <c r="X1344" s="88">
        <v>50760</v>
      </c>
      <c r="Y1344" s="88">
        <v>12200</v>
      </c>
      <c r="Z1344" s="88">
        <v>13176</v>
      </c>
      <c r="AA1344" s="85">
        <v>43710</v>
      </c>
      <c r="AB1344" s="85">
        <v>43711</v>
      </c>
      <c r="AC1344" s="85">
        <v>43711</v>
      </c>
      <c r="AD1344" s="84">
        <v>0</v>
      </c>
      <c r="AG1344" s="84">
        <v>0</v>
      </c>
      <c r="AJ1344" s="84">
        <v>0</v>
      </c>
      <c r="AM1344" s="84" t="s">
        <v>290</v>
      </c>
      <c r="AN1344" s="84" t="s">
        <v>3549</v>
      </c>
      <c r="AR1344" s="85">
        <v>43705</v>
      </c>
      <c r="AS1344" s="84">
        <v>6001706491</v>
      </c>
      <c r="AT1344" s="85">
        <v>43705</v>
      </c>
      <c r="AU1344" s="84" t="s">
        <v>3542</v>
      </c>
      <c r="AV1344" s="85">
        <v>43711</v>
      </c>
      <c r="AW1344" s="123">
        <v>43738</v>
      </c>
      <c r="AX1344" s="123">
        <v>43758</v>
      </c>
      <c r="AY1344" s="132">
        <v>56832</v>
      </c>
      <c r="AZ1344" s="132">
        <v>61379</v>
      </c>
      <c r="BA1344" s="84" t="s">
        <v>287</v>
      </c>
      <c r="BB1344" s="88">
        <v>44000</v>
      </c>
      <c r="BC1344" s="88">
        <v>47520</v>
      </c>
      <c r="BD1344" s="84" t="s">
        <v>3431</v>
      </c>
      <c r="BG1344" s="88">
        <v>0</v>
      </c>
      <c r="BI1344" s="84" t="s">
        <v>434</v>
      </c>
      <c r="BJ1344" s="88">
        <v>7930</v>
      </c>
      <c r="BK1344" s="88">
        <v>8564.4</v>
      </c>
      <c r="BL1344" s="84" t="s">
        <v>3431</v>
      </c>
      <c r="BS1344" s="88">
        <v>0</v>
      </c>
      <c r="BV1344" s="89">
        <v>50760</v>
      </c>
      <c r="BW1344" s="89">
        <v>56084.4</v>
      </c>
      <c r="BX1344" s="89">
        <v>43697</v>
      </c>
      <c r="BY1344" s="89">
        <v>-5324.4</v>
      </c>
      <c r="BZ1344" s="112">
        <v>-10.489361702127663</v>
      </c>
    </row>
    <row r="1345" spans="1:89" x14ac:dyDescent="0.15">
      <c r="A1345" s="84">
        <v>2</v>
      </c>
      <c r="B1345" s="85">
        <v>43706</v>
      </c>
      <c r="C1345" s="85">
        <v>43711</v>
      </c>
      <c r="D1345" s="85">
        <v>43796</v>
      </c>
      <c r="E1345" s="85">
        <v>43725</v>
      </c>
      <c r="F1345" s="85">
        <v>43728</v>
      </c>
      <c r="G1345" s="85">
        <v>43721</v>
      </c>
      <c r="H1345" s="85">
        <v>43724</v>
      </c>
      <c r="I1345" s="84" t="s">
        <v>1191</v>
      </c>
      <c r="J1345" s="84">
        <v>1</v>
      </c>
      <c r="L1345" s="84">
        <v>0</v>
      </c>
      <c r="M1345" s="85">
        <v>43697</v>
      </c>
      <c r="N1345" s="85" t="s">
        <v>265</v>
      </c>
      <c r="O1345" s="86" t="s">
        <v>340</v>
      </c>
      <c r="P1345" s="84" t="s">
        <v>26</v>
      </c>
      <c r="Q1345" s="86" t="s">
        <v>120</v>
      </c>
      <c r="R1345" s="86" t="s">
        <v>3484</v>
      </c>
      <c r="S1345" s="87" t="s">
        <v>3686</v>
      </c>
      <c r="T1345" s="87" t="s">
        <v>878</v>
      </c>
      <c r="U1345" s="88">
        <v>59200</v>
      </c>
      <c r="V1345" s="88">
        <v>63936</v>
      </c>
      <c r="W1345" s="88">
        <v>47000</v>
      </c>
      <c r="X1345" s="88">
        <v>50760</v>
      </c>
      <c r="Y1345" s="88">
        <v>12200</v>
      </c>
      <c r="Z1345" s="88">
        <v>13176</v>
      </c>
      <c r="AA1345" s="85">
        <v>43719</v>
      </c>
      <c r="AB1345" s="85">
        <v>43721</v>
      </c>
      <c r="AC1345" s="85">
        <v>43721</v>
      </c>
      <c r="AD1345" s="84">
        <v>0</v>
      </c>
      <c r="AG1345" s="84">
        <v>0</v>
      </c>
      <c r="AJ1345" s="84">
        <v>0</v>
      </c>
      <c r="AM1345" s="84" t="s">
        <v>290</v>
      </c>
      <c r="AN1345" s="84" t="s">
        <v>3549</v>
      </c>
      <c r="AR1345" s="85">
        <v>43705</v>
      </c>
      <c r="AS1345" s="84">
        <v>6001706491</v>
      </c>
      <c r="AT1345" s="85">
        <v>43705</v>
      </c>
      <c r="AU1345" s="84" t="s">
        <v>3542</v>
      </c>
      <c r="AV1345" s="85">
        <v>43711</v>
      </c>
      <c r="AW1345" s="123">
        <v>43738</v>
      </c>
      <c r="AX1345" s="123">
        <v>43758</v>
      </c>
      <c r="AY1345" s="132">
        <v>56832</v>
      </c>
      <c r="AZ1345" s="132">
        <v>61379</v>
      </c>
      <c r="BA1345" s="84" t="s">
        <v>287</v>
      </c>
      <c r="BB1345" s="88">
        <v>44000</v>
      </c>
      <c r="BC1345" s="88">
        <v>47520</v>
      </c>
      <c r="BD1345" s="84" t="s">
        <v>3431</v>
      </c>
      <c r="BG1345" s="88">
        <v>0</v>
      </c>
      <c r="BI1345" s="84" t="s">
        <v>434</v>
      </c>
      <c r="BJ1345" s="88">
        <v>7930</v>
      </c>
      <c r="BK1345" s="88">
        <v>8564.4</v>
      </c>
      <c r="BL1345" s="84" t="s">
        <v>3431</v>
      </c>
      <c r="BS1345" s="88">
        <v>0</v>
      </c>
      <c r="BV1345" s="89">
        <v>50760</v>
      </c>
      <c r="BW1345" s="89">
        <v>56084.4</v>
      </c>
      <c r="BX1345" s="89">
        <v>43697</v>
      </c>
      <c r="BY1345" s="89">
        <v>-5324.4</v>
      </c>
      <c r="BZ1345" s="112">
        <v>-10.489361702127663</v>
      </c>
    </row>
    <row r="1346" spans="1:89" s="151" customFormat="1" x14ac:dyDescent="0.15">
      <c r="A1346" s="141">
        <v>3</v>
      </c>
      <c r="B1346" s="142"/>
      <c r="C1346" s="142" t="s">
        <v>338</v>
      </c>
      <c r="D1346" s="142"/>
      <c r="E1346" s="142"/>
      <c r="F1346" s="142" t="s">
        <v>338</v>
      </c>
      <c r="G1346" s="142"/>
      <c r="H1346" s="142" t="s">
        <v>338</v>
      </c>
      <c r="I1346" s="141"/>
      <c r="J1346" s="141">
        <v>2</v>
      </c>
      <c r="K1346" s="142"/>
      <c r="L1346" s="141">
        <v>0</v>
      </c>
      <c r="M1346" s="142">
        <v>43697</v>
      </c>
      <c r="N1346" s="142" t="s">
        <v>265</v>
      </c>
      <c r="O1346" s="143" t="s">
        <v>340</v>
      </c>
      <c r="P1346" s="141" t="s">
        <v>6</v>
      </c>
      <c r="Q1346" s="143" t="s">
        <v>120</v>
      </c>
      <c r="R1346" s="143" t="s">
        <v>3485</v>
      </c>
      <c r="S1346" s="144" t="s">
        <v>1591</v>
      </c>
      <c r="T1346" s="144" t="s">
        <v>342</v>
      </c>
      <c r="U1346" s="145">
        <v>35000</v>
      </c>
      <c r="V1346" s="145">
        <v>37800</v>
      </c>
      <c r="W1346" s="145">
        <v>35000</v>
      </c>
      <c r="X1346" s="145">
        <v>37800</v>
      </c>
      <c r="Y1346" s="145"/>
      <c r="Z1346" s="145">
        <v>0</v>
      </c>
      <c r="AA1346" s="142"/>
      <c r="AB1346" s="142"/>
      <c r="AC1346" s="142"/>
      <c r="AD1346" s="141">
        <v>0</v>
      </c>
      <c r="AE1346" s="141"/>
      <c r="AF1346" s="141"/>
      <c r="AG1346" s="141">
        <v>0</v>
      </c>
      <c r="AH1346" s="141"/>
      <c r="AI1346" s="141"/>
      <c r="AJ1346" s="141">
        <v>0</v>
      </c>
      <c r="AK1346" s="141"/>
      <c r="AL1346" s="141"/>
      <c r="AM1346" s="141"/>
      <c r="AN1346" s="141"/>
      <c r="AO1346" s="142"/>
      <c r="AP1346" s="141"/>
      <c r="AQ1346" s="141"/>
      <c r="AR1346" s="142"/>
      <c r="AS1346" s="141"/>
      <c r="AT1346" s="142"/>
      <c r="AU1346" s="141"/>
      <c r="AV1346" s="142"/>
      <c r="AW1346" s="146"/>
      <c r="AX1346" s="146"/>
      <c r="AY1346" s="147">
        <v>33600</v>
      </c>
      <c r="AZ1346" s="147">
        <f>ROUNDDOWN(AY1346+(AY1346*MASTER!$A$2/100),0)</f>
        <v>36288</v>
      </c>
      <c r="BA1346" s="141"/>
      <c r="BB1346" s="145"/>
      <c r="BC1346" s="145">
        <v>0</v>
      </c>
      <c r="BD1346" s="141"/>
      <c r="BE1346" s="141"/>
      <c r="BF1346" s="145"/>
      <c r="BG1346" s="145">
        <v>0</v>
      </c>
      <c r="BH1346" s="141"/>
      <c r="BI1346" s="141"/>
      <c r="BJ1346" s="145"/>
      <c r="BK1346" s="145">
        <v>0</v>
      </c>
      <c r="BL1346" s="141"/>
      <c r="BM1346" s="145"/>
      <c r="BN1346" s="145"/>
      <c r="BO1346" s="145"/>
      <c r="BP1346" s="145"/>
      <c r="BQ1346" s="145"/>
      <c r="BR1346" s="145"/>
      <c r="BS1346" s="145">
        <v>0</v>
      </c>
      <c r="BT1346" s="148"/>
      <c r="BU1346" s="148"/>
      <c r="BV1346" s="149">
        <v>37800</v>
      </c>
      <c r="BW1346" s="149">
        <v>0</v>
      </c>
      <c r="BX1346" s="149">
        <v>43697</v>
      </c>
      <c r="BY1346" s="149">
        <v>37800</v>
      </c>
      <c r="BZ1346" s="150">
        <v>100</v>
      </c>
      <c r="CA1346" s="141"/>
      <c r="CB1346" s="141"/>
      <c r="CC1346" s="141"/>
      <c r="CD1346" s="144" t="s">
        <v>3930</v>
      </c>
      <c r="CE1346" s="142"/>
      <c r="CF1346" s="142"/>
      <c r="CG1346" s="142"/>
      <c r="CH1346" s="142"/>
      <c r="CI1346" s="142"/>
      <c r="CJ1346" s="142"/>
      <c r="CK1346" s="145"/>
    </row>
    <row r="1347" spans="1:89" x14ac:dyDescent="0.15">
      <c r="A1347" s="84">
        <v>2</v>
      </c>
      <c r="B1347" s="85">
        <v>43712</v>
      </c>
      <c r="C1347" s="85">
        <v>43713</v>
      </c>
      <c r="D1347" s="85">
        <v>43711</v>
      </c>
      <c r="E1347" s="85">
        <v>43711</v>
      </c>
      <c r="F1347" s="85" t="s">
        <v>338</v>
      </c>
      <c r="G1347" s="85">
        <v>43711</v>
      </c>
      <c r="H1347" s="85" t="s">
        <v>338</v>
      </c>
      <c r="I1347" s="84" t="s">
        <v>380</v>
      </c>
      <c r="J1347" s="84">
        <v>2</v>
      </c>
      <c r="L1347" s="84">
        <v>0</v>
      </c>
      <c r="M1347" s="85">
        <v>43697</v>
      </c>
      <c r="N1347" s="85" t="s">
        <v>265</v>
      </c>
      <c r="O1347" s="86" t="s">
        <v>340</v>
      </c>
      <c r="P1347" s="84" t="s">
        <v>6</v>
      </c>
      <c r="Q1347" s="86" t="s">
        <v>120</v>
      </c>
      <c r="R1347" s="86" t="s">
        <v>3486</v>
      </c>
      <c r="S1347" s="87" t="s">
        <v>2132</v>
      </c>
      <c r="T1347" s="87" t="s">
        <v>342</v>
      </c>
      <c r="U1347" s="88">
        <v>35000</v>
      </c>
      <c r="V1347" s="88">
        <v>37800</v>
      </c>
      <c r="W1347" s="88">
        <v>35000</v>
      </c>
      <c r="X1347" s="88">
        <v>37800</v>
      </c>
      <c r="Z1347" s="88">
        <v>0</v>
      </c>
      <c r="AA1347" s="85">
        <v>43710</v>
      </c>
      <c r="AB1347" s="85">
        <v>43710</v>
      </c>
      <c r="AD1347" s="84">
        <v>0</v>
      </c>
      <c r="AG1347" s="84">
        <v>0</v>
      </c>
      <c r="AJ1347" s="84">
        <v>0</v>
      </c>
      <c r="AR1347" s="85">
        <v>43711</v>
      </c>
      <c r="AS1347" s="84">
        <v>6001708122</v>
      </c>
      <c r="AT1347" s="85">
        <v>43711</v>
      </c>
      <c r="AU1347" s="84" t="s">
        <v>3614</v>
      </c>
      <c r="AV1347" s="85">
        <v>43713</v>
      </c>
      <c r="AW1347" s="123">
        <v>43738</v>
      </c>
      <c r="AX1347" s="123">
        <v>43758</v>
      </c>
      <c r="AY1347" s="132">
        <v>33600</v>
      </c>
      <c r="AZ1347" s="132">
        <f>ROUNDDOWN(AY1347+(AY1347*MASTER!$A$2/100),0)</f>
        <v>36288</v>
      </c>
      <c r="BA1347" s="84" t="s">
        <v>778</v>
      </c>
      <c r="BC1347" s="88">
        <v>0</v>
      </c>
      <c r="BG1347" s="88">
        <v>0</v>
      </c>
      <c r="BK1347" s="88">
        <v>0</v>
      </c>
      <c r="BS1347" s="88">
        <v>0</v>
      </c>
      <c r="BV1347" s="89">
        <v>37800</v>
      </c>
      <c r="BW1347" s="89">
        <v>0</v>
      </c>
      <c r="BX1347" s="89">
        <v>43697</v>
      </c>
      <c r="BY1347" s="89">
        <v>37800</v>
      </c>
      <c r="BZ1347" s="112">
        <v>100</v>
      </c>
    </row>
    <row r="1348" spans="1:89" x14ac:dyDescent="0.15">
      <c r="A1348" s="84">
        <v>1</v>
      </c>
      <c r="B1348" s="85">
        <v>43712</v>
      </c>
      <c r="C1348" s="85">
        <v>43713</v>
      </c>
      <c r="D1348" s="85">
        <v>43700</v>
      </c>
      <c r="E1348" s="85">
        <v>43700</v>
      </c>
      <c r="F1348" s="85" t="s">
        <v>338</v>
      </c>
      <c r="G1348" s="85">
        <v>43700</v>
      </c>
      <c r="H1348" s="85" t="s">
        <v>338</v>
      </c>
      <c r="I1348" s="84" t="s">
        <v>380</v>
      </c>
      <c r="J1348" s="84">
        <v>2</v>
      </c>
      <c r="L1348" s="84">
        <v>0</v>
      </c>
      <c r="M1348" s="85">
        <v>43698</v>
      </c>
      <c r="N1348" s="85" t="s">
        <v>265</v>
      </c>
      <c r="O1348" s="86" t="s">
        <v>340</v>
      </c>
      <c r="P1348" s="84" t="s">
        <v>6</v>
      </c>
      <c r="Q1348" s="86" t="s">
        <v>120</v>
      </c>
      <c r="R1348" s="86" t="s">
        <v>3489</v>
      </c>
      <c r="S1348" s="87" t="s">
        <v>442</v>
      </c>
      <c r="T1348" s="87" t="s">
        <v>342</v>
      </c>
      <c r="U1348" s="88">
        <v>35000</v>
      </c>
      <c r="V1348" s="88">
        <v>37800</v>
      </c>
      <c r="W1348" s="88">
        <v>35000</v>
      </c>
      <c r="X1348" s="88">
        <v>37800</v>
      </c>
      <c r="Z1348" s="88">
        <v>0</v>
      </c>
      <c r="AA1348" s="85">
        <v>43699</v>
      </c>
      <c r="AB1348" s="85">
        <v>43699</v>
      </c>
      <c r="AD1348" s="84">
        <v>0</v>
      </c>
      <c r="AG1348" s="84">
        <v>0</v>
      </c>
      <c r="AJ1348" s="84">
        <v>0</v>
      </c>
      <c r="AR1348" s="85">
        <v>43711</v>
      </c>
      <c r="AS1348" s="84">
        <v>6001708122</v>
      </c>
      <c r="AT1348" s="85">
        <v>43711</v>
      </c>
      <c r="AU1348" s="84" t="s">
        <v>3614</v>
      </c>
      <c r="AV1348" s="85">
        <v>43713</v>
      </c>
      <c r="AW1348" s="123">
        <v>43738</v>
      </c>
      <c r="AX1348" s="123">
        <v>43758</v>
      </c>
      <c r="AY1348" s="132">
        <v>33600</v>
      </c>
      <c r="AZ1348" s="132">
        <f>ROUNDDOWN(AY1348+(AY1348*MASTER!$A$2/100),0)</f>
        <v>36288</v>
      </c>
      <c r="BA1348" s="84" t="s">
        <v>745</v>
      </c>
      <c r="BB1348" s="88">
        <v>30000</v>
      </c>
      <c r="BC1348" s="88">
        <v>32400</v>
      </c>
      <c r="BD1348" s="84" t="s">
        <v>2849</v>
      </c>
      <c r="BG1348" s="88">
        <v>0</v>
      </c>
      <c r="BK1348" s="88">
        <v>0</v>
      </c>
      <c r="BS1348" s="88">
        <v>0</v>
      </c>
      <c r="BV1348" s="89">
        <v>37800</v>
      </c>
      <c r="BW1348" s="89">
        <v>32400</v>
      </c>
      <c r="BX1348" s="89">
        <v>43698</v>
      </c>
      <c r="BY1348" s="89">
        <v>5400</v>
      </c>
      <c r="BZ1348" s="112">
        <v>14.285714285714285</v>
      </c>
    </row>
    <row r="1349" spans="1:89" x14ac:dyDescent="0.15">
      <c r="A1349" s="84">
        <v>1</v>
      </c>
      <c r="B1349" s="85">
        <v>43712</v>
      </c>
      <c r="C1349" s="85">
        <v>43713</v>
      </c>
      <c r="D1349" s="85">
        <v>43704</v>
      </c>
      <c r="E1349" s="85">
        <v>43704</v>
      </c>
      <c r="F1349" s="85" t="s">
        <v>338</v>
      </c>
      <c r="G1349" s="85">
        <v>43704</v>
      </c>
      <c r="H1349" s="85" t="s">
        <v>338</v>
      </c>
      <c r="I1349" s="84" t="s">
        <v>380</v>
      </c>
      <c r="J1349" s="84">
        <v>2</v>
      </c>
      <c r="L1349" s="84">
        <v>0</v>
      </c>
      <c r="M1349" s="85">
        <v>43698</v>
      </c>
      <c r="N1349" s="85" t="s">
        <v>265</v>
      </c>
      <c r="O1349" s="86" t="s">
        <v>340</v>
      </c>
      <c r="P1349" s="84" t="s">
        <v>6</v>
      </c>
      <c r="Q1349" s="86" t="s">
        <v>120</v>
      </c>
      <c r="R1349" s="86" t="s">
        <v>3494</v>
      </c>
      <c r="S1349" s="87" t="s">
        <v>1307</v>
      </c>
      <c r="T1349" s="87" t="s">
        <v>342</v>
      </c>
      <c r="U1349" s="88">
        <v>35000</v>
      </c>
      <c r="V1349" s="88">
        <v>37800</v>
      </c>
      <c r="W1349" s="88">
        <v>35000</v>
      </c>
      <c r="X1349" s="88">
        <v>37800</v>
      </c>
      <c r="Z1349" s="88">
        <v>0</v>
      </c>
      <c r="AA1349" s="85">
        <v>43703</v>
      </c>
      <c r="AB1349" s="85">
        <v>43703</v>
      </c>
      <c r="AD1349" s="84">
        <v>0</v>
      </c>
      <c r="AG1349" s="84">
        <v>0</v>
      </c>
      <c r="AJ1349" s="84">
        <v>0</v>
      </c>
      <c r="AR1349" s="85">
        <v>43711</v>
      </c>
      <c r="AS1349" s="84">
        <v>6001708122</v>
      </c>
      <c r="AT1349" s="85">
        <v>43711</v>
      </c>
      <c r="AU1349" s="84" t="s">
        <v>3614</v>
      </c>
      <c r="AV1349" s="85">
        <v>43713</v>
      </c>
      <c r="AW1349" s="123">
        <v>43738</v>
      </c>
      <c r="AX1349" s="123">
        <v>43758</v>
      </c>
      <c r="AY1349" s="132">
        <v>33600</v>
      </c>
      <c r="AZ1349" s="132">
        <f>ROUNDDOWN(AY1349+(AY1349*MASTER!$A$2/100),0)</f>
        <v>36288</v>
      </c>
      <c r="BA1349" s="84" t="s">
        <v>287</v>
      </c>
      <c r="BB1349" s="88">
        <v>34000</v>
      </c>
      <c r="BC1349" s="88">
        <v>36720</v>
      </c>
      <c r="BD1349" s="84" t="s">
        <v>3431</v>
      </c>
      <c r="BG1349" s="88">
        <v>0</v>
      </c>
      <c r="BK1349" s="88">
        <v>0</v>
      </c>
      <c r="BS1349" s="88">
        <v>0</v>
      </c>
      <c r="BV1349" s="89">
        <v>37800</v>
      </c>
      <c r="BW1349" s="89">
        <v>36720</v>
      </c>
      <c r="BX1349" s="89">
        <v>43698</v>
      </c>
      <c r="BY1349" s="89">
        <v>1080</v>
      </c>
      <c r="BZ1349" s="112">
        <v>2.8571428571428572</v>
      </c>
    </row>
    <row r="1350" spans="1:89" x14ac:dyDescent="0.15">
      <c r="A1350" s="84">
        <v>2</v>
      </c>
      <c r="B1350" s="85">
        <v>43720</v>
      </c>
      <c r="C1350" s="85">
        <v>43729</v>
      </c>
      <c r="D1350" s="85" t="s">
        <v>374</v>
      </c>
      <c r="E1350" s="85">
        <v>43741</v>
      </c>
      <c r="F1350" s="85">
        <v>43736</v>
      </c>
      <c r="G1350" s="85">
        <v>43732</v>
      </c>
      <c r="H1350" s="85">
        <v>43732</v>
      </c>
      <c r="I1350" s="84" t="s">
        <v>1191</v>
      </c>
      <c r="J1350" s="84">
        <v>1</v>
      </c>
      <c r="L1350" s="84">
        <v>0</v>
      </c>
      <c r="M1350" s="85">
        <v>43699</v>
      </c>
      <c r="N1350" s="85" t="s">
        <v>265</v>
      </c>
      <c r="O1350" s="86" t="s">
        <v>340</v>
      </c>
      <c r="P1350" s="84" t="s">
        <v>26</v>
      </c>
      <c r="Q1350" s="86" t="s">
        <v>120</v>
      </c>
      <c r="R1350" s="86" t="s">
        <v>3679</v>
      </c>
      <c r="S1350" s="87" t="s">
        <v>1060</v>
      </c>
      <c r="T1350" s="87" t="s">
        <v>763</v>
      </c>
      <c r="U1350" s="88">
        <v>23900</v>
      </c>
      <c r="V1350" s="88">
        <v>25812</v>
      </c>
      <c r="W1350" s="88">
        <v>14700</v>
      </c>
      <c r="X1350" s="88">
        <v>15876</v>
      </c>
      <c r="Y1350" s="88">
        <v>9200</v>
      </c>
      <c r="Z1350" s="88">
        <v>9936</v>
      </c>
      <c r="AA1350" s="85">
        <v>43727</v>
      </c>
      <c r="AB1350" s="85">
        <v>43729</v>
      </c>
      <c r="AC1350" s="85">
        <v>43729</v>
      </c>
      <c r="AD1350" s="84">
        <v>0</v>
      </c>
      <c r="AG1350" s="84">
        <v>0</v>
      </c>
      <c r="AJ1350" s="84">
        <v>0</v>
      </c>
      <c r="AM1350" s="84" t="s">
        <v>290</v>
      </c>
      <c r="AN1350" s="84" t="s">
        <v>3680</v>
      </c>
      <c r="AR1350" s="85">
        <v>43719</v>
      </c>
      <c r="AS1350" s="84">
        <v>6001711114</v>
      </c>
      <c r="AT1350" s="85">
        <v>43719</v>
      </c>
      <c r="AU1350" s="84" t="s">
        <v>3672</v>
      </c>
      <c r="AV1350" s="85">
        <v>43729</v>
      </c>
      <c r="AW1350" s="123">
        <v>43738</v>
      </c>
      <c r="AX1350" s="123">
        <v>43758</v>
      </c>
      <c r="AY1350" s="132">
        <v>22944</v>
      </c>
      <c r="AZ1350" s="132">
        <v>24780</v>
      </c>
      <c r="BA1350" s="84" t="s">
        <v>778</v>
      </c>
      <c r="BC1350" s="88">
        <v>0</v>
      </c>
      <c r="BG1350" s="88">
        <v>0</v>
      </c>
      <c r="BI1350" s="84" t="s">
        <v>434</v>
      </c>
      <c r="BJ1350" s="88">
        <v>5980</v>
      </c>
      <c r="BK1350" s="88">
        <v>6458.4</v>
      </c>
      <c r="BL1350" s="84" t="s">
        <v>3431</v>
      </c>
      <c r="BS1350" s="88">
        <v>0</v>
      </c>
      <c r="BV1350" s="89">
        <v>15876</v>
      </c>
      <c r="BW1350" s="89">
        <v>6458.4</v>
      </c>
      <c r="BX1350" s="89">
        <v>43699</v>
      </c>
      <c r="BY1350" s="89">
        <v>9417.6</v>
      </c>
      <c r="BZ1350" s="112">
        <v>59.319727891156461</v>
      </c>
      <c r="CK1350" s="88">
        <v>0</v>
      </c>
    </row>
    <row r="1351" spans="1:89" x14ac:dyDescent="0.15">
      <c r="A1351" s="84">
        <v>2</v>
      </c>
      <c r="B1351" s="85">
        <v>43706</v>
      </c>
      <c r="C1351" s="85">
        <v>43713</v>
      </c>
      <c r="E1351" s="85">
        <v>43718</v>
      </c>
      <c r="F1351" s="85">
        <v>43720</v>
      </c>
      <c r="G1351" s="85">
        <v>43714</v>
      </c>
      <c r="H1351" s="85">
        <v>43716</v>
      </c>
      <c r="I1351" s="84" t="s">
        <v>401</v>
      </c>
      <c r="J1351" s="84">
        <v>1</v>
      </c>
      <c r="L1351" s="84">
        <v>0</v>
      </c>
      <c r="M1351" s="85">
        <v>43699</v>
      </c>
      <c r="N1351" s="85" t="s">
        <v>265</v>
      </c>
      <c r="O1351" s="86" t="s">
        <v>340</v>
      </c>
      <c r="P1351" s="84" t="s">
        <v>26</v>
      </c>
      <c r="Q1351" s="86" t="s">
        <v>120</v>
      </c>
      <c r="R1351" s="86" t="s">
        <v>3552</v>
      </c>
      <c r="S1351" s="87" t="s">
        <v>997</v>
      </c>
      <c r="T1351" s="87" t="s">
        <v>1879</v>
      </c>
      <c r="U1351" s="88">
        <v>56000</v>
      </c>
      <c r="V1351" s="88">
        <v>60480</v>
      </c>
      <c r="W1351" s="88">
        <v>47000</v>
      </c>
      <c r="X1351" s="88">
        <v>50760</v>
      </c>
      <c r="Y1351" s="88">
        <v>9000</v>
      </c>
      <c r="Z1351" s="88">
        <v>9720</v>
      </c>
      <c r="AA1351" s="85">
        <v>43709</v>
      </c>
      <c r="AB1351" s="85">
        <v>43713</v>
      </c>
      <c r="AC1351" s="85">
        <v>43713</v>
      </c>
      <c r="AD1351" s="84">
        <v>0</v>
      </c>
      <c r="AG1351" s="84">
        <v>0</v>
      </c>
      <c r="AJ1351" s="84">
        <v>0</v>
      </c>
      <c r="AM1351" s="84" t="s">
        <v>290</v>
      </c>
      <c r="AN1351" s="84" t="s">
        <v>3553</v>
      </c>
      <c r="AR1351" s="85">
        <v>43705</v>
      </c>
      <c r="AS1351" s="84">
        <v>6001706491</v>
      </c>
      <c r="AT1351" s="85">
        <v>43705</v>
      </c>
      <c r="AU1351" s="84" t="s">
        <v>3542</v>
      </c>
      <c r="AV1351" s="85">
        <v>43713</v>
      </c>
      <c r="AW1351" s="123">
        <v>43738</v>
      </c>
      <c r="AX1351" s="123">
        <v>43758</v>
      </c>
      <c r="AY1351" s="132">
        <v>53760</v>
      </c>
      <c r="AZ1351" s="132">
        <v>58061</v>
      </c>
      <c r="BA1351" s="84" t="s">
        <v>778</v>
      </c>
      <c r="BC1351" s="88">
        <v>0</v>
      </c>
      <c r="BG1351" s="88">
        <v>0</v>
      </c>
      <c r="BI1351" s="84" t="s">
        <v>276</v>
      </c>
      <c r="BJ1351" s="88">
        <v>5850</v>
      </c>
      <c r="BK1351" s="88">
        <v>6318</v>
      </c>
      <c r="BL1351" s="84" t="s">
        <v>3515</v>
      </c>
      <c r="BS1351" s="88">
        <v>0</v>
      </c>
      <c r="BV1351" s="89">
        <v>50760</v>
      </c>
      <c r="BW1351" s="89">
        <v>6318</v>
      </c>
      <c r="BX1351" s="89">
        <v>43699</v>
      </c>
      <c r="BY1351" s="89">
        <v>44442</v>
      </c>
      <c r="BZ1351" s="112">
        <v>87.553191489361708</v>
      </c>
      <c r="CK1351" s="88">
        <v>0</v>
      </c>
    </row>
    <row r="1352" spans="1:89" x14ac:dyDescent="0.15">
      <c r="A1352" s="84">
        <v>2</v>
      </c>
      <c r="B1352" s="85">
        <v>43741</v>
      </c>
      <c r="C1352" s="85">
        <v>43760</v>
      </c>
      <c r="D1352" s="85">
        <v>43774</v>
      </c>
      <c r="E1352" s="85">
        <v>43753</v>
      </c>
      <c r="F1352" s="85">
        <v>43759</v>
      </c>
      <c r="G1352" s="85">
        <v>43753</v>
      </c>
      <c r="H1352" s="85">
        <v>43755</v>
      </c>
      <c r="I1352" s="84" t="s">
        <v>401</v>
      </c>
      <c r="J1352" s="84">
        <v>1</v>
      </c>
      <c r="L1352" s="84">
        <v>0</v>
      </c>
      <c r="M1352" s="85">
        <v>43699</v>
      </c>
      <c r="N1352" s="85" t="s">
        <v>265</v>
      </c>
      <c r="O1352" s="86" t="s">
        <v>340</v>
      </c>
      <c r="P1352" s="84" t="s">
        <v>26</v>
      </c>
      <c r="Q1352" s="86" t="s">
        <v>120</v>
      </c>
      <c r="R1352" s="86" t="s">
        <v>3881</v>
      </c>
      <c r="S1352" s="87" t="s">
        <v>720</v>
      </c>
      <c r="T1352" s="87" t="s">
        <v>889</v>
      </c>
      <c r="U1352" s="88">
        <v>90500</v>
      </c>
      <c r="V1352" s="88">
        <v>97740</v>
      </c>
      <c r="W1352" s="88">
        <v>74500</v>
      </c>
      <c r="X1352" s="88">
        <v>80460</v>
      </c>
      <c r="Y1352" s="88">
        <v>16000</v>
      </c>
      <c r="Z1352" s="88">
        <v>17280</v>
      </c>
      <c r="AA1352" s="85">
        <v>43751</v>
      </c>
      <c r="AB1352" s="85">
        <v>43752</v>
      </c>
      <c r="AC1352" s="85">
        <v>43752</v>
      </c>
      <c r="AD1352" s="84">
        <v>0</v>
      </c>
      <c r="AG1352" s="84">
        <v>0</v>
      </c>
      <c r="AJ1352" s="84">
        <v>0</v>
      </c>
      <c r="AN1352" s="84" t="s">
        <v>338</v>
      </c>
      <c r="AR1352" s="85">
        <v>43705</v>
      </c>
      <c r="AS1352" s="84">
        <v>6001706491</v>
      </c>
      <c r="AT1352" s="85">
        <v>43705</v>
      </c>
      <c r="AU1352" s="84" t="s">
        <v>3542</v>
      </c>
      <c r="AV1352" s="85">
        <v>43760</v>
      </c>
      <c r="AW1352" s="123">
        <v>43769</v>
      </c>
      <c r="AX1352" s="123">
        <v>43789</v>
      </c>
      <c r="AY1352" s="132">
        <v>86880</v>
      </c>
      <c r="AZ1352" s="132">
        <f>ROUNDDOWN(AY1352+(AY1352*0.1),0)</f>
        <v>95568</v>
      </c>
      <c r="BA1352" s="84" t="s">
        <v>543</v>
      </c>
      <c r="BB1352" s="88">
        <v>26000</v>
      </c>
      <c r="BC1352" s="88">
        <v>28080</v>
      </c>
      <c r="BD1352" s="84" t="s">
        <v>188</v>
      </c>
      <c r="BG1352" s="88">
        <v>0</v>
      </c>
      <c r="BI1352" s="84" t="s">
        <v>434</v>
      </c>
      <c r="BJ1352" s="88">
        <v>10400</v>
      </c>
      <c r="BK1352" s="88">
        <f>ROUNDDOWN(BJ1352+(BJ1352*0.1),0)</f>
        <v>11440</v>
      </c>
      <c r="BL1352" s="84" t="s">
        <v>188</v>
      </c>
      <c r="BS1352" s="88">
        <v>0</v>
      </c>
      <c r="BV1352" s="89">
        <v>80460</v>
      </c>
      <c r="BW1352" s="89">
        <v>39312</v>
      </c>
      <c r="BX1352" s="89">
        <v>43699</v>
      </c>
      <c r="BY1352" s="89">
        <v>41148</v>
      </c>
      <c r="BZ1352" s="112">
        <v>51.140939597315437</v>
      </c>
      <c r="CC1352" s="84">
        <v>2019</v>
      </c>
      <c r="CK1352" s="88">
        <v>0</v>
      </c>
    </row>
    <row r="1353" spans="1:89" x14ac:dyDescent="0.15">
      <c r="A1353" s="84">
        <v>1</v>
      </c>
      <c r="B1353" s="85">
        <v>43712</v>
      </c>
      <c r="C1353" s="85">
        <v>43713</v>
      </c>
      <c r="D1353" s="85">
        <v>43704</v>
      </c>
      <c r="E1353" s="85">
        <v>43704</v>
      </c>
      <c r="F1353" s="85" t="s">
        <v>338</v>
      </c>
      <c r="G1353" s="85">
        <v>43704</v>
      </c>
      <c r="H1353" s="85" t="s">
        <v>338</v>
      </c>
      <c r="I1353" s="84" t="s">
        <v>380</v>
      </c>
      <c r="J1353" s="84">
        <v>2</v>
      </c>
      <c r="L1353" s="84">
        <v>0</v>
      </c>
      <c r="M1353" s="85">
        <v>43699</v>
      </c>
      <c r="N1353" s="85" t="s">
        <v>265</v>
      </c>
      <c r="O1353" s="86" t="s">
        <v>340</v>
      </c>
      <c r="P1353" s="84" t="s">
        <v>6</v>
      </c>
      <c r="Q1353" s="86" t="s">
        <v>120</v>
      </c>
      <c r="R1353" s="86" t="s">
        <v>3496</v>
      </c>
      <c r="S1353" s="87" t="s">
        <v>341</v>
      </c>
      <c r="T1353" s="87" t="s">
        <v>342</v>
      </c>
      <c r="U1353" s="88">
        <v>35000</v>
      </c>
      <c r="V1353" s="88">
        <v>37800</v>
      </c>
      <c r="W1353" s="88">
        <v>35000</v>
      </c>
      <c r="X1353" s="88">
        <v>37800</v>
      </c>
      <c r="Z1353" s="88">
        <v>0</v>
      </c>
      <c r="AA1353" s="85">
        <v>43703</v>
      </c>
      <c r="AB1353" s="85">
        <v>43703</v>
      </c>
      <c r="AD1353" s="84">
        <v>0</v>
      </c>
      <c r="AG1353" s="84">
        <v>0</v>
      </c>
      <c r="AJ1353" s="84">
        <v>0</v>
      </c>
      <c r="AR1353" s="85">
        <v>43711</v>
      </c>
      <c r="AS1353" s="84">
        <v>6001708122</v>
      </c>
      <c r="AT1353" s="85">
        <v>43711</v>
      </c>
      <c r="AU1353" s="84" t="s">
        <v>3614</v>
      </c>
      <c r="AV1353" s="85">
        <v>43713</v>
      </c>
      <c r="AW1353" s="123">
        <v>43738</v>
      </c>
      <c r="AX1353" s="123">
        <v>43758</v>
      </c>
      <c r="AY1353" s="132">
        <v>33600</v>
      </c>
      <c r="AZ1353" s="132">
        <f>ROUNDDOWN(AY1353+(AY1353*MASTER!$A$2/100),0)</f>
        <v>36288</v>
      </c>
      <c r="BA1353" s="84" t="s">
        <v>287</v>
      </c>
      <c r="BB1353" s="88">
        <v>23000</v>
      </c>
      <c r="BC1353" s="88">
        <v>24840</v>
      </c>
      <c r="BD1353" s="84" t="s">
        <v>3431</v>
      </c>
      <c r="BG1353" s="88">
        <v>0</v>
      </c>
      <c r="BK1353" s="88">
        <v>0</v>
      </c>
      <c r="BS1353" s="88">
        <v>0</v>
      </c>
      <c r="BV1353" s="89">
        <v>37800</v>
      </c>
      <c r="BW1353" s="89">
        <v>24840</v>
      </c>
      <c r="BX1353" s="89">
        <v>43699</v>
      </c>
      <c r="BY1353" s="89">
        <v>12960</v>
      </c>
      <c r="BZ1353" s="112">
        <v>34.285714285714285</v>
      </c>
    </row>
    <row r="1354" spans="1:89" x14ac:dyDescent="0.15">
      <c r="A1354" s="84">
        <v>2</v>
      </c>
      <c r="C1354" s="85" t="s">
        <v>338</v>
      </c>
      <c r="F1354" s="85" t="s">
        <v>338</v>
      </c>
      <c r="H1354" s="85" t="s">
        <v>338</v>
      </c>
      <c r="J1354" s="84">
        <v>4</v>
      </c>
      <c r="L1354" s="84">
        <v>0</v>
      </c>
      <c r="M1354" s="85">
        <v>43699</v>
      </c>
      <c r="N1354" s="85" t="s">
        <v>265</v>
      </c>
      <c r="O1354" s="86" t="s">
        <v>340</v>
      </c>
      <c r="P1354" s="84" t="s">
        <v>272</v>
      </c>
      <c r="Q1354" s="86" t="s">
        <v>120</v>
      </c>
      <c r="R1354" s="86" t="s">
        <v>3498</v>
      </c>
      <c r="S1354" s="87" t="s">
        <v>351</v>
      </c>
      <c r="T1354" s="87" t="s">
        <v>529</v>
      </c>
      <c r="U1354" s="88">
        <v>0</v>
      </c>
      <c r="V1354" s="88">
        <v>0</v>
      </c>
      <c r="W1354" s="88">
        <v>0</v>
      </c>
      <c r="X1354" s="88">
        <v>0</v>
      </c>
      <c r="Y1354" s="88">
        <v>0</v>
      </c>
      <c r="Z1354" s="88">
        <v>0</v>
      </c>
      <c r="AA1354" s="85">
        <v>43667</v>
      </c>
      <c r="AB1354" s="85">
        <v>43697</v>
      </c>
      <c r="AD1354" s="84">
        <v>0</v>
      </c>
      <c r="AG1354" s="84">
        <v>0</v>
      </c>
      <c r="AJ1354" s="84">
        <v>0</v>
      </c>
      <c r="AN1354" s="84" t="s">
        <v>338</v>
      </c>
      <c r="AY1354" s="132">
        <v>0</v>
      </c>
      <c r="AZ1354" s="132">
        <f>ROUNDDOWN(AY1354+(AY1354*MASTER!$A$2/100),0)</f>
        <v>0</v>
      </c>
      <c r="BA1354" s="84" t="s">
        <v>14</v>
      </c>
      <c r="BB1354" s="88">
        <v>401200</v>
      </c>
      <c r="BC1354" s="88">
        <v>433296</v>
      </c>
      <c r="BD1354" s="84" t="s">
        <v>2849</v>
      </c>
      <c r="BG1354" s="88">
        <v>0</v>
      </c>
      <c r="BK1354" s="88">
        <v>0</v>
      </c>
      <c r="BS1354" s="88">
        <v>0</v>
      </c>
      <c r="BV1354" s="89">
        <v>0</v>
      </c>
      <c r="BW1354" s="89">
        <v>433296</v>
      </c>
      <c r="BX1354" s="89">
        <v>43699</v>
      </c>
      <c r="BY1354" s="89">
        <v>-433296</v>
      </c>
      <c r="BZ1354" s="112" t="s">
        <v>338</v>
      </c>
    </row>
    <row r="1355" spans="1:89" x14ac:dyDescent="0.15">
      <c r="A1355" s="84">
        <v>2</v>
      </c>
      <c r="C1355" s="85" t="s">
        <v>338</v>
      </c>
      <c r="F1355" s="85" t="s">
        <v>338</v>
      </c>
      <c r="H1355" s="85" t="s">
        <v>338</v>
      </c>
      <c r="J1355" s="84">
        <v>4</v>
      </c>
      <c r="L1355" s="84">
        <v>0</v>
      </c>
      <c r="M1355" s="85">
        <v>43699</v>
      </c>
      <c r="N1355" s="85" t="s">
        <v>265</v>
      </c>
      <c r="O1355" s="86" t="s">
        <v>340</v>
      </c>
      <c r="P1355" s="84" t="s">
        <v>272</v>
      </c>
      <c r="Q1355" s="86" t="s">
        <v>120</v>
      </c>
      <c r="R1355" s="86" t="s">
        <v>3499</v>
      </c>
      <c r="S1355" s="87" t="s">
        <v>562</v>
      </c>
      <c r="T1355" s="87" t="s">
        <v>3500</v>
      </c>
      <c r="U1355" s="88">
        <v>0</v>
      </c>
      <c r="V1355" s="88">
        <v>0</v>
      </c>
      <c r="W1355" s="88">
        <v>0</v>
      </c>
      <c r="X1355" s="88">
        <v>0</v>
      </c>
      <c r="Y1355" s="88">
        <v>0</v>
      </c>
      <c r="Z1355" s="88">
        <v>0</v>
      </c>
      <c r="AA1355" s="85">
        <v>43682</v>
      </c>
      <c r="AB1355" s="85">
        <v>43683</v>
      </c>
      <c r="AD1355" s="84">
        <v>0</v>
      </c>
      <c r="AG1355" s="84">
        <v>0</v>
      </c>
      <c r="AJ1355" s="84">
        <v>0</v>
      </c>
      <c r="AN1355" s="84" t="s">
        <v>338</v>
      </c>
      <c r="AY1355" s="132">
        <f>ROUNDDOWN((0.96*U1355),0)</f>
        <v>0</v>
      </c>
      <c r="AZ1355" s="132">
        <f>ROUNDDOWN(AY1355+(AY1355*MASTER!$A$2/100),0)</f>
        <v>0</v>
      </c>
      <c r="BA1355" s="84" t="s">
        <v>14</v>
      </c>
      <c r="BB1355" s="88">
        <v>50000</v>
      </c>
      <c r="BC1355" s="88">
        <v>54000</v>
      </c>
      <c r="BD1355" s="84" t="s">
        <v>3158</v>
      </c>
      <c r="BG1355" s="88">
        <v>0</v>
      </c>
      <c r="BK1355" s="88">
        <v>0</v>
      </c>
      <c r="BS1355" s="88">
        <v>0</v>
      </c>
      <c r="BV1355" s="89">
        <v>0</v>
      </c>
      <c r="BW1355" s="89">
        <v>54000</v>
      </c>
      <c r="BX1355" s="89">
        <v>43699</v>
      </c>
      <c r="BY1355" s="89">
        <v>-54000</v>
      </c>
      <c r="BZ1355" s="112" t="s">
        <v>338</v>
      </c>
    </row>
    <row r="1356" spans="1:89" s="151" customFormat="1" x14ac:dyDescent="0.15">
      <c r="A1356" s="141">
        <v>3</v>
      </c>
      <c r="B1356" s="142"/>
      <c r="C1356" s="142" t="s">
        <v>338</v>
      </c>
      <c r="D1356" s="142"/>
      <c r="E1356" s="142"/>
      <c r="F1356" s="142" t="s">
        <v>338</v>
      </c>
      <c r="G1356" s="142"/>
      <c r="H1356" s="142" t="s">
        <v>338</v>
      </c>
      <c r="I1356" s="141"/>
      <c r="J1356" s="141">
        <v>1</v>
      </c>
      <c r="K1356" s="142"/>
      <c r="L1356" s="141">
        <v>0</v>
      </c>
      <c r="M1356" s="142">
        <v>43700</v>
      </c>
      <c r="N1356" s="142" t="s">
        <v>265</v>
      </c>
      <c r="O1356" s="143" t="s">
        <v>340</v>
      </c>
      <c r="P1356" s="141" t="s">
        <v>26</v>
      </c>
      <c r="Q1356" s="143" t="s">
        <v>120</v>
      </c>
      <c r="R1356" s="143" t="s">
        <v>3503</v>
      </c>
      <c r="S1356" s="144" t="s">
        <v>3504</v>
      </c>
      <c r="T1356" s="144" t="s">
        <v>3505</v>
      </c>
      <c r="U1356" s="145">
        <v>59000</v>
      </c>
      <c r="V1356" s="145">
        <v>63720</v>
      </c>
      <c r="W1356" s="145">
        <v>47000</v>
      </c>
      <c r="X1356" s="145">
        <v>50760</v>
      </c>
      <c r="Y1356" s="145">
        <v>12000</v>
      </c>
      <c r="Z1356" s="145">
        <v>12960</v>
      </c>
      <c r="AA1356" s="142"/>
      <c r="AB1356" s="142"/>
      <c r="AC1356" s="142"/>
      <c r="AD1356" s="141">
        <v>0</v>
      </c>
      <c r="AE1356" s="141"/>
      <c r="AF1356" s="141"/>
      <c r="AG1356" s="141">
        <v>0</v>
      </c>
      <c r="AH1356" s="141"/>
      <c r="AI1356" s="141"/>
      <c r="AJ1356" s="141">
        <v>0</v>
      </c>
      <c r="AK1356" s="141"/>
      <c r="AL1356" s="141"/>
      <c r="AM1356" s="141" t="s">
        <v>290</v>
      </c>
      <c r="AN1356" s="141" t="s">
        <v>3506</v>
      </c>
      <c r="AO1356" s="142"/>
      <c r="AP1356" s="141"/>
      <c r="AQ1356" s="141"/>
      <c r="AR1356" s="142"/>
      <c r="AS1356" s="141"/>
      <c r="AT1356" s="142"/>
      <c r="AU1356" s="141"/>
      <c r="AV1356" s="142"/>
      <c r="AW1356" s="146"/>
      <c r="AX1356" s="146"/>
      <c r="AY1356" s="147">
        <v>56640</v>
      </c>
      <c r="AZ1356" s="147">
        <f>ROUNDDOWN(AY1356+(AY1356*MASTER!$A$2/100),0)</f>
        <v>61171</v>
      </c>
      <c r="BA1356" s="141"/>
      <c r="BB1356" s="145"/>
      <c r="BC1356" s="145">
        <v>0</v>
      </c>
      <c r="BD1356" s="141"/>
      <c r="BE1356" s="141"/>
      <c r="BF1356" s="145"/>
      <c r="BG1356" s="145">
        <v>0</v>
      </c>
      <c r="BH1356" s="141"/>
      <c r="BI1356" s="141"/>
      <c r="BJ1356" s="145"/>
      <c r="BK1356" s="145">
        <v>0</v>
      </c>
      <c r="BL1356" s="141"/>
      <c r="BM1356" s="145"/>
      <c r="BN1356" s="145"/>
      <c r="BO1356" s="145"/>
      <c r="BP1356" s="145"/>
      <c r="BQ1356" s="145"/>
      <c r="BR1356" s="145"/>
      <c r="BS1356" s="145">
        <v>0</v>
      </c>
      <c r="BT1356" s="148"/>
      <c r="BU1356" s="148"/>
      <c r="BV1356" s="149">
        <v>50760</v>
      </c>
      <c r="BW1356" s="149">
        <v>0</v>
      </c>
      <c r="BX1356" s="149">
        <v>43700</v>
      </c>
      <c r="BY1356" s="149">
        <v>50760</v>
      </c>
      <c r="BZ1356" s="150">
        <v>100</v>
      </c>
      <c r="CA1356" s="141"/>
      <c r="CB1356" s="141"/>
      <c r="CC1356" s="141"/>
      <c r="CD1356" s="144" t="s">
        <v>3761</v>
      </c>
      <c r="CE1356" s="142"/>
      <c r="CF1356" s="142"/>
      <c r="CG1356" s="142"/>
      <c r="CH1356" s="142"/>
      <c r="CI1356" s="142"/>
      <c r="CJ1356" s="142"/>
      <c r="CK1356" s="145">
        <v>0</v>
      </c>
    </row>
    <row r="1357" spans="1:89" x14ac:dyDescent="0.15">
      <c r="A1357" s="84">
        <v>1</v>
      </c>
      <c r="B1357" s="85">
        <v>43706</v>
      </c>
      <c r="C1357" s="85">
        <v>43712</v>
      </c>
      <c r="F1357" s="85" t="s">
        <v>338</v>
      </c>
      <c r="H1357" s="85" t="s">
        <v>338</v>
      </c>
      <c r="J1357" s="84">
        <v>2</v>
      </c>
      <c r="L1357" s="84">
        <v>0</v>
      </c>
      <c r="M1357" s="85">
        <v>43700</v>
      </c>
      <c r="N1357" s="85" t="s">
        <v>265</v>
      </c>
      <c r="O1357" s="86" t="s">
        <v>340</v>
      </c>
      <c r="P1357" s="84" t="s">
        <v>78</v>
      </c>
      <c r="Q1357" s="86" t="s">
        <v>120</v>
      </c>
      <c r="R1357" s="86" t="s">
        <v>3558</v>
      </c>
      <c r="S1357" s="87" t="s">
        <v>1426</v>
      </c>
      <c r="T1357" s="87" t="s">
        <v>726</v>
      </c>
      <c r="U1357" s="88">
        <v>65000</v>
      </c>
      <c r="V1357" s="88">
        <v>70200</v>
      </c>
      <c r="W1357" s="88">
        <v>65000</v>
      </c>
      <c r="X1357" s="88">
        <v>70200</v>
      </c>
      <c r="Z1357" s="88">
        <v>0</v>
      </c>
      <c r="AA1357" s="85">
        <v>43711</v>
      </c>
      <c r="AB1357" s="85">
        <v>43712</v>
      </c>
      <c r="AD1357" s="84">
        <v>0</v>
      </c>
      <c r="AG1357" s="84">
        <v>0</v>
      </c>
      <c r="AJ1357" s="84">
        <v>0</v>
      </c>
      <c r="AN1357" s="84" t="s">
        <v>338</v>
      </c>
      <c r="AR1357" s="85">
        <v>43705</v>
      </c>
      <c r="AS1357" s="84">
        <v>6001706491</v>
      </c>
      <c r="AT1357" s="85">
        <v>43705</v>
      </c>
      <c r="AU1357" s="84" t="s">
        <v>3542</v>
      </c>
      <c r="AV1357" s="85">
        <v>43712</v>
      </c>
      <c r="AW1357" s="123">
        <v>43738</v>
      </c>
      <c r="AX1357" s="123">
        <v>43758</v>
      </c>
      <c r="AY1357" s="132">
        <v>62400</v>
      </c>
      <c r="AZ1357" s="132">
        <f>ROUNDDOWN(AY1357+(AY1357*MASTER!$A$2/100),0)</f>
        <v>67392</v>
      </c>
      <c r="BC1357" s="88">
        <v>0</v>
      </c>
      <c r="BG1357" s="88">
        <v>0</v>
      </c>
      <c r="BK1357" s="88">
        <v>0</v>
      </c>
      <c r="BS1357" s="88">
        <v>0</v>
      </c>
      <c r="BV1357" s="89">
        <v>70200</v>
      </c>
      <c r="BW1357" s="89">
        <v>0</v>
      </c>
      <c r="BX1357" s="89">
        <v>43700</v>
      </c>
      <c r="BY1357" s="89">
        <v>70200</v>
      </c>
      <c r="BZ1357" s="112">
        <v>100</v>
      </c>
      <c r="CK1357" s="88">
        <v>0</v>
      </c>
    </row>
    <row r="1358" spans="1:89" x14ac:dyDescent="0.15">
      <c r="A1358" s="84">
        <v>1</v>
      </c>
      <c r="B1358" s="85">
        <v>43711</v>
      </c>
      <c r="C1358" s="85">
        <v>43713</v>
      </c>
      <c r="F1358" s="85" t="s">
        <v>338</v>
      </c>
      <c r="H1358" s="85" t="s">
        <v>338</v>
      </c>
      <c r="J1358" s="84">
        <v>2</v>
      </c>
      <c r="L1358" s="84">
        <v>0</v>
      </c>
      <c r="M1358" s="85">
        <v>43700</v>
      </c>
      <c r="N1358" s="85" t="s">
        <v>265</v>
      </c>
      <c r="O1358" s="86" t="s">
        <v>340</v>
      </c>
      <c r="P1358" s="84" t="s">
        <v>78</v>
      </c>
      <c r="Q1358" s="86" t="s">
        <v>120</v>
      </c>
      <c r="R1358" s="86" t="s">
        <v>3556</v>
      </c>
      <c r="S1358" s="87" t="s">
        <v>900</v>
      </c>
      <c r="T1358" s="87" t="s">
        <v>726</v>
      </c>
      <c r="U1358" s="88">
        <v>65000</v>
      </c>
      <c r="V1358" s="88">
        <v>70200</v>
      </c>
      <c r="W1358" s="88">
        <v>65000</v>
      </c>
      <c r="X1358" s="88">
        <v>70200</v>
      </c>
      <c r="Z1358" s="88">
        <v>0</v>
      </c>
      <c r="AA1358" s="85">
        <v>43712</v>
      </c>
      <c r="AB1358" s="85">
        <v>43713</v>
      </c>
      <c r="AD1358" s="84">
        <v>0</v>
      </c>
      <c r="AG1358" s="84">
        <v>0</v>
      </c>
      <c r="AJ1358" s="84">
        <v>0</v>
      </c>
      <c r="AN1358" s="84" t="s">
        <v>338</v>
      </c>
      <c r="AR1358" s="85">
        <v>43707</v>
      </c>
      <c r="AS1358" s="84">
        <v>6001707275</v>
      </c>
      <c r="AT1358" s="85">
        <v>43707</v>
      </c>
      <c r="AU1358" s="84" t="s">
        <v>3587</v>
      </c>
      <c r="AV1358" s="85">
        <v>43713</v>
      </c>
      <c r="AW1358" s="123">
        <v>43738</v>
      </c>
      <c r="AX1358" s="123">
        <v>43758</v>
      </c>
      <c r="AY1358" s="132">
        <v>62400</v>
      </c>
      <c r="AZ1358" s="132">
        <f>ROUNDDOWN(AY1358+(AY1358*MASTER!$A$2/100),0)</f>
        <v>67392</v>
      </c>
      <c r="BC1358" s="88">
        <v>0</v>
      </c>
      <c r="BG1358" s="88">
        <v>0</v>
      </c>
      <c r="BK1358" s="88">
        <v>0</v>
      </c>
      <c r="BS1358" s="88">
        <v>0</v>
      </c>
      <c r="BV1358" s="89">
        <v>70200</v>
      </c>
      <c r="BW1358" s="89">
        <v>0</v>
      </c>
      <c r="BX1358" s="89">
        <v>43700</v>
      </c>
      <c r="BY1358" s="89">
        <v>70200</v>
      </c>
      <c r="BZ1358" s="112">
        <v>100</v>
      </c>
      <c r="CK1358" s="88">
        <v>0</v>
      </c>
    </row>
    <row r="1359" spans="1:89" x14ac:dyDescent="0.15">
      <c r="A1359" s="84">
        <v>1</v>
      </c>
      <c r="B1359" s="85">
        <v>43706</v>
      </c>
      <c r="C1359" s="85">
        <v>43714</v>
      </c>
      <c r="F1359" s="85" t="s">
        <v>338</v>
      </c>
      <c r="H1359" s="85" t="s">
        <v>338</v>
      </c>
      <c r="J1359" s="84">
        <v>2</v>
      </c>
      <c r="L1359" s="84">
        <v>0</v>
      </c>
      <c r="M1359" s="85">
        <v>43700</v>
      </c>
      <c r="N1359" s="85" t="s">
        <v>265</v>
      </c>
      <c r="O1359" s="86" t="s">
        <v>340</v>
      </c>
      <c r="P1359" s="84" t="s">
        <v>78</v>
      </c>
      <c r="Q1359" s="86" t="s">
        <v>120</v>
      </c>
      <c r="R1359" s="86" t="s">
        <v>3557</v>
      </c>
      <c r="S1359" s="87" t="s">
        <v>908</v>
      </c>
      <c r="T1359" s="87" t="s">
        <v>726</v>
      </c>
      <c r="U1359" s="88">
        <v>65000</v>
      </c>
      <c r="V1359" s="88">
        <v>70200</v>
      </c>
      <c r="W1359" s="88">
        <v>65000</v>
      </c>
      <c r="X1359" s="88">
        <v>70200</v>
      </c>
      <c r="Z1359" s="88">
        <v>0</v>
      </c>
      <c r="AA1359" s="85">
        <v>43713</v>
      </c>
      <c r="AB1359" s="85">
        <v>43714</v>
      </c>
      <c r="AD1359" s="84">
        <v>0</v>
      </c>
      <c r="AG1359" s="84">
        <v>0</v>
      </c>
      <c r="AJ1359" s="84">
        <v>0</v>
      </c>
      <c r="AN1359" s="84" t="s">
        <v>338</v>
      </c>
      <c r="AR1359" s="85">
        <v>43705</v>
      </c>
      <c r="AS1359" s="84">
        <v>6001706491</v>
      </c>
      <c r="AT1359" s="85">
        <v>43705</v>
      </c>
      <c r="AU1359" s="84" t="s">
        <v>3542</v>
      </c>
      <c r="AV1359" s="85">
        <v>43714</v>
      </c>
      <c r="AW1359" s="123">
        <v>43738</v>
      </c>
      <c r="AX1359" s="123">
        <v>43758</v>
      </c>
      <c r="AY1359" s="132">
        <v>62400</v>
      </c>
      <c r="AZ1359" s="132">
        <f>ROUNDDOWN(AY1359+(AY1359*MASTER!$A$2/100),0)</f>
        <v>67392</v>
      </c>
      <c r="BC1359" s="88">
        <v>0</v>
      </c>
      <c r="BG1359" s="88">
        <v>0</v>
      </c>
      <c r="BK1359" s="88">
        <v>0</v>
      </c>
      <c r="BS1359" s="88">
        <v>0</v>
      </c>
      <c r="BV1359" s="89">
        <v>70200</v>
      </c>
      <c r="BW1359" s="89">
        <v>0</v>
      </c>
      <c r="BX1359" s="89">
        <v>43700</v>
      </c>
      <c r="BY1359" s="89">
        <v>70200</v>
      </c>
      <c r="BZ1359" s="112">
        <v>100</v>
      </c>
      <c r="CK1359" s="88">
        <v>0</v>
      </c>
    </row>
    <row r="1360" spans="1:89" x14ac:dyDescent="0.15">
      <c r="A1360" s="84">
        <v>1</v>
      </c>
      <c r="B1360" s="85">
        <v>43706</v>
      </c>
      <c r="C1360" s="85">
        <v>43715</v>
      </c>
      <c r="F1360" s="85" t="s">
        <v>338</v>
      </c>
      <c r="H1360" s="85" t="s">
        <v>338</v>
      </c>
      <c r="J1360" s="84">
        <v>2</v>
      </c>
      <c r="L1360" s="84">
        <v>0</v>
      </c>
      <c r="M1360" s="85">
        <v>43700</v>
      </c>
      <c r="N1360" s="85" t="s">
        <v>265</v>
      </c>
      <c r="O1360" s="86" t="s">
        <v>340</v>
      </c>
      <c r="P1360" s="84" t="s">
        <v>78</v>
      </c>
      <c r="Q1360" s="86" t="s">
        <v>120</v>
      </c>
      <c r="R1360" s="86" t="s">
        <v>3559</v>
      </c>
      <c r="S1360" s="87" t="s">
        <v>2405</v>
      </c>
      <c r="T1360" s="87" t="s">
        <v>726</v>
      </c>
      <c r="U1360" s="88">
        <v>65000</v>
      </c>
      <c r="V1360" s="88">
        <v>70200</v>
      </c>
      <c r="W1360" s="88">
        <v>65000</v>
      </c>
      <c r="X1360" s="88">
        <v>70200</v>
      </c>
      <c r="Z1360" s="88">
        <v>0</v>
      </c>
      <c r="AA1360" s="85">
        <v>43714</v>
      </c>
      <c r="AB1360" s="85">
        <v>43715</v>
      </c>
      <c r="AD1360" s="84">
        <v>0</v>
      </c>
      <c r="AG1360" s="84">
        <v>0</v>
      </c>
      <c r="AJ1360" s="84">
        <v>0</v>
      </c>
      <c r="AN1360" s="84" t="s">
        <v>338</v>
      </c>
      <c r="AR1360" s="85">
        <v>43705</v>
      </c>
      <c r="AS1360" s="84">
        <v>6001706491</v>
      </c>
      <c r="AT1360" s="85">
        <v>43705</v>
      </c>
      <c r="AU1360" s="84" t="s">
        <v>3542</v>
      </c>
      <c r="AV1360" s="85">
        <v>43715</v>
      </c>
      <c r="AW1360" s="123">
        <v>43738</v>
      </c>
      <c r="AX1360" s="123">
        <v>43758</v>
      </c>
      <c r="AY1360" s="132">
        <v>62400</v>
      </c>
      <c r="AZ1360" s="132">
        <f>ROUNDDOWN(AY1360+(AY1360*MASTER!$A$2/100),0)</f>
        <v>67392</v>
      </c>
      <c r="BC1360" s="88">
        <v>0</v>
      </c>
      <c r="BG1360" s="88">
        <v>0</v>
      </c>
      <c r="BK1360" s="88">
        <v>0</v>
      </c>
      <c r="BS1360" s="88">
        <v>0</v>
      </c>
      <c r="BV1360" s="89">
        <v>70200</v>
      </c>
      <c r="BW1360" s="89">
        <v>0</v>
      </c>
      <c r="BX1360" s="89">
        <v>43700</v>
      </c>
      <c r="BY1360" s="89">
        <v>70200</v>
      </c>
      <c r="BZ1360" s="112">
        <v>100</v>
      </c>
      <c r="CK1360" s="88">
        <v>0</v>
      </c>
    </row>
    <row r="1361" spans="1:89" x14ac:dyDescent="0.15">
      <c r="A1361" s="84">
        <v>1</v>
      </c>
      <c r="B1361" s="85">
        <v>43706</v>
      </c>
      <c r="C1361" s="85">
        <v>43717</v>
      </c>
      <c r="F1361" s="85" t="s">
        <v>338</v>
      </c>
      <c r="H1361" s="85" t="s">
        <v>338</v>
      </c>
      <c r="J1361" s="84">
        <v>2</v>
      </c>
      <c r="L1361" s="84">
        <v>0</v>
      </c>
      <c r="M1361" s="85">
        <v>43700</v>
      </c>
      <c r="N1361" s="85" t="s">
        <v>265</v>
      </c>
      <c r="O1361" s="86" t="s">
        <v>340</v>
      </c>
      <c r="P1361" s="84" t="s">
        <v>78</v>
      </c>
      <c r="Q1361" s="86" t="s">
        <v>120</v>
      </c>
      <c r="R1361" s="86" t="s">
        <v>3560</v>
      </c>
      <c r="S1361" s="87" t="s">
        <v>3561</v>
      </c>
      <c r="T1361" s="87" t="s">
        <v>726</v>
      </c>
      <c r="U1361" s="88">
        <v>65000</v>
      </c>
      <c r="V1361" s="88">
        <v>70200</v>
      </c>
      <c r="W1361" s="88">
        <v>65000</v>
      </c>
      <c r="X1361" s="88">
        <v>70200</v>
      </c>
      <c r="Z1361" s="88">
        <v>0</v>
      </c>
      <c r="AA1361" s="85">
        <v>43716</v>
      </c>
      <c r="AB1361" s="85">
        <v>43717</v>
      </c>
      <c r="AD1361" s="84">
        <v>0</v>
      </c>
      <c r="AG1361" s="84">
        <v>0</v>
      </c>
      <c r="AJ1361" s="84">
        <v>0</v>
      </c>
      <c r="AN1361" s="84" t="s">
        <v>338</v>
      </c>
      <c r="AR1361" s="85">
        <v>43705</v>
      </c>
      <c r="AS1361" s="84">
        <v>6001706491</v>
      </c>
      <c r="AT1361" s="85">
        <v>43705</v>
      </c>
      <c r="AU1361" s="84" t="s">
        <v>3542</v>
      </c>
      <c r="AV1361" s="85">
        <v>43717</v>
      </c>
      <c r="AW1361" s="123">
        <v>43738</v>
      </c>
      <c r="AX1361" s="123">
        <v>43758</v>
      </c>
      <c r="AY1361" s="132">
        <v>62400</v>
      </c>
      <c r="AZ1361" s="132">
        <f>ROUNDDOWN(AY1361+(AY1361*MASTER!$A$2/100),0)</f>
        <v>67392</v>
      </c>
      <c r="BC1361" s="88">
        <v>0</v>
      </c>
      <c r="BG1361" s="88">
        <v>0</v>
      </c>
      <c r="BK1361" s="88">
        <v>0</v>
      </c>
      <c r="BS1361" s="88">
        <v>0</v>
      </c>
      <c r="BV1361" s="89">
        <v>70200</v>
      </c>
      <c r="BW1361" s="89">
        <v>0</v>
      </c>
      <c r="BX1361" s="89">
        <v>43700</v>
      </c>
      <c r="BY1361" s="89">
        <v>70200</v>
      </c>
      <c r="BZ1361" s="112">
        <v>100</v>
      </c>
      <c r="CK1361" s="88">
        <v>0</v>
      </c>
    </row>
    <row r="1362" spans="1:89" x14ac:dyDescent="0.15">
      <c r="A1362" s="84">
        <v>1</v>
      </c>
      <c r="B1362" s="85">
        <v>43706</v>
      </c>
      <c r="C1362" s="85">
        <v>43718</v>
      </c>
      <c r="F1362" s="85" t="s">
        <v>338</v>
      </c>
      <c r="H1362" s="85" t="s">
        <v>338</v>
      </c>
      <c r="J1362" s="84">
        <v>2</v>
      </c>
      <c r="L1362" s="84">
        <v>0</v>
      </c>
      <c r="M1362" s="85">
        <v>43700</v>
      </c>
      <c r="N1362" s="85" t="s">
        <v>265</v>
      </c>
      <c r="O1362" s="86" t="s">
        <v>340</v>
      </c>
      <c r="P1362" s="84" t="s">
        <v>78</v>
      </c>
      <c r="Q1362" s="86" t="s">
        <v>120</v>
      </c>
      <c r="R1362" s="86" t="s">
        <v>3562</v>
      </c>
      <c r="S1362" s="87" t="s">
        <v>2993</v>
      </c>
      <c r="T1362" s="87" t="s">
        <v>726</v>
      </c>
      <c r="U1362" s="88">
        <v>65000</v>
      </c>
      <c r="V1362" s="88">
        <v>70200</v>
      </c>
      <c r="W1362" s="88">
        <v>65000</v>
      </c>
      <c r="X1362" s="88">
        <v>70200</v>
      </c>
      <c r="Z1362" s="88">
        <v>0</v>
      </c>
      <c r="AA1362" s="85">
        <v>43717</v>
      </c>
      <c r="AB1362" s="85">
        <v>43718</v>
      </c>
      <c r="AD1362" s="84">
        <v>0</v>
      </c>
      <c r="AG1362" s="84">
        <v>0</v>
      </c>
      <c r="AJ1362" s="84">
        <v>0</v>
      </c>
      <c r="AN1362" s="84" t="s">
        <v>338</v>
      </c>
      <c r="AR1362" s="85">
        <v>43705</v>
      </c>
      <c r="AS1362" s="84">
        <v>6001706491</v>
      </c>
      <c r="AT1362" s="85">
        <v>43705</v>
      </c>
      <c r="AU1362" s="84" t="s">
        <v>3542</v>
      </c>
      <c r="AV1362" s="85">
        <v>43718</v>
      </c>
      <c r="AW1362" s="123">
        <v>43738</v>
      </c>
      <c r="AX1362" s="123">
        <v>43758</v>
      </c>
      <c r="AY1362" s="132">
        <v>62400</v>
      </c>
      <c r="AZ1362" s="132">
        <f>ROUNDDOWN(AY1362+(AY1362*MASTER!$A$2/100),0)</f>
        <v>67392</v>
      </c>
      <c r="BC1362" s="88">
        <v>0</v>
      </c>
      <c r="BG1362" s="88">
        <v>0</v>
      </c>
      <c r="BK1362" s="88">
        <v>0</v>
      </c>
      <c r="BS1362" s="88">
        <v>0</v>
      </c>
      <c r="BV1362" s="89">
        <v>70200</v>
      </c>
      <c r="BW1362" s="89">
        <v>0</v>
      </c>
      <c r="BX1362" s="89">
        <v>43700</v>
      </c>
      <c r="BY1362" s="89">
        <v>70200</v>
      </c>
      <c r="BZ1362" s="112">
        <v>100</v>
      </c>
      <c r="CK1362" s="88">
        <v>0</v>
      </c>
    </row>
    <row r="1363" spans="1:89" x14ac:dyDescent="0.15">
      <c r="A1363" s="84">
        <v>1</v>
      </c>
      <c r="B1363" s="85">
        <v>43706</v>
      </c>
      <c r="C1363" s="85">
        <v>43719</v>
      </c>
      <c r="F1363" s="85" t="s">
        <v>338</v>
      </c>
      <c r="H1363" s="85" t="s">
        <v>338</v>
      </c>
      <c r="J1363" s="84">
        <v>2</v>
      </c>
      <c r="L1363" s="84">
        <v>0</v>
      </c>
      <c r="M1363" s="85">
        <v>43700</v>
      </c>
      <c r="N1363" s="85" t="s">
        <v>265</v>
      </c>
      <c r="O1363" s="86" t="s">
        <v>340</v>
      </c>
      <c r="P1363" s="84" t="s">
        <v>78</v>
      </c>
      <c r="Q1363" s="86" t="s">
        <v>120</v>
      </c>
      <c r="R1363" s="86" t="s">
        <v>3563</v>
      </c>
      <c r="S1363" s="87" t="s">
        <v>978</v>
      </c>
      <c r="T1363" s="87" t="s">
        <v>726</v>
      </c>
      <c r="U1363" s="88">
        <v>65000</v>
      </c>
      <c r="V1363" s="88">
        <v>70200</v>
      </c>
      <c r="W1363" s="88">
        <v>65000</v>
      </c>
      <c r="X1363" s="88">
        <v>70200</v>
      </c>
      <c r="Z1363" s="88">
        <v>0</v>
      </c>
      <c r="AA1363" s="85">
        <v>43718</v>
      </c>
      <c r="AB1363" s="85">
        <v>43719</v>
      </c>
      <c r="AD1363" s="84">
        <v>0</v>
      </c>
      <c r="AG1363" s="84">
        <v>0</v>
      </c>
      <c r="AJ1363" s="84">
        <v>0</v>
      </c>
      <c r="AN1363" s="84" t="s">
        <v>338</v>
      </c>
      <c r="AR1363" s="85">
        <v>43705</v>
      </c>
      <c r="AS1363" s="84">
        <v>6001706491</v>
      </c>
      <c r="AT1363" s="85">
        <v>43705</v>
      </c>
      <c r="AU1363" s="84" t="s">
        <v>3542</v>
      </c>
      <c r="AV1363" s="85">
        <v>43719</v>
      </c>
      <c r="AW1363" s="123">
        <v>43738</v>
      </c>
      <c r="AX1363" s="123">
        <v>43758</v>
      </c>
      <c r="AY1363" s="132">
        <v>62400</v>
      </c>
      <c r="AZ1363" s="132">
        <f>ROUNDDOWN(AY1363+(AY1363*MASTER!$A$2/100),0)</f>
        <v>67392</v>
      </c>
      <c r="BC1363" s="88">
        <v>0</v>
      </c>
      <c r="BG1363" s="88">
        <v>0</v>
      </c>
      <c r="BK1363" s="88">
        <v>0</v>
      </c>
      <c r="BS1363" s="88">
        <v>0</v>
      </c>
      <c r="BV1363" s="89">
        <v>70200</v>
      </c>
      <c r="BW1363" s="89">
        <v>0</v>
      </c>
      <c r="BX1363" s="89">
        <v>43700</v>
      </c>
      <c r="BY1363" s="89">
        <v>70200</v>
      </c>
      <c r="BZ1363" s="112">
        <v>100</v>
      </c>
      <c r="CK1363" s="88">
        <v>0</v>
      </c>
    </row>
    <row r="1364" spans="1:89" x14ac:dyDescent="0.15">
      <c r="A1364" s="84">
        <v>1</v>
      </c>
      <c r="B1364" s="85">
        <v>43706</v>
      </c>
      <c r="C1364" s="85">
        <v>43720</v>
      </c>
      <c r="F1364" s="85" t="s">
        <v>338</v>
      </c>
      <c r="H1364" s="85" t="s">
        <v>338</v>
      </c>
      <c r="J1364" s="84">
        <v>2</v>
      </c>
      <c r="L1364" s="84">
        <v>0</v>
      </c>
      <c r="M1364" s="85">
        <v>43700</v>
      </c>
      <c r="N1364" s="85" t="s">
        <v>265</v>
      </c>
      <c r="O1364" s="86" t="s">
        <v>340</v>
      </c>
      <c r="P1364" s="84" t="s">
        <v>78</v>
      </c>
      <c r="Q1364" s="86" t="s">
        <v>120</v>
      </c>
      <c r="R1364" s="86" t="s">
        <v>3569</v>
      </c>
      <c r="S1364" s="87" t="s">
        <v>2870</v>
      </c>
      <c r="T1364" s="87" t="s">
        <v>726</v>
      </c>
      <c r="U1364" s="88">
        <v>65000</v>
      </c>
      <c r="V1364" s="88">
        <v>70200</v>
      </c>
      <c r="W1364" s="88">
        <v>65000</v>
      </c>
      <c r="X1364" s="88">
        <v>70200</v>
      </c>
      <c r="Z1364" s="88">
        <v>0</v>
      </c>
      <c r="AA1364" s="85">
        <v>43719</v>
      </c>
      <c r="AB1364" s="85">
        <v>43720</v>
      </c>
      <c r="AD1364" s="84">
        <v>0</v>
      </c>
      <c r="AG1364" s="84">
        <v>0</v>
      </c>
      <c r="AJ1364" s="84">
        <v>0</v>
      </c>
      <c r="AN1364" s="84" t="s">
        <v>338</v>
      </c>
      <c r="AR1364" s="85">
        <v>43705</v>
      </c>
      <c r="AS1364" s="84">
        <v>6001706491</v>
      </c>
      <c r="AT1364" s="85">
        <v>43705</v>
      </c>
      <c r="AU1364" s="84" t="s">
        <v>3542</v>
      </c>
      <c r="AV1364" s="85">
        <v>43720</v>
      </c>
      <c r="AW1364" s="123">
        <v>43738</v>
      </c>
      <c r="AX1364" s="123">
        <v>43758</v>
      </c>
      <c r="AY1364" s="132">
        <v>62400</v>
      </c>
      <c r="AZ1364" s="132">
        <f>ROUNDDOWN(AY1364+(AY1364*MASTER!$A$2/100),0)</f>
        <v>67392</v>
      </c>
      <c r="BC1364" s="88">
        <v>0</v>
      </c>
      <c r="BG1364" s="88">
        <v>0</v>
      </c>
      <c r="BK1364" s="88">
        <v>0</v>
      </c>
      <c r="BS1364" s="88">
        <v>0</v>
      </c>
      <c r="BV1364" s="89">
        <v>70200</v>
      </c>
      <c r="BW1364" s="89">
        <v>0</v>
      </c>
      <c r="BX1364" s="89">
        <v>43700</v>
      </c>
      <c r="BY1364" s="89">
        <v>70200</v>
      </c>
      <c r="BZ1364" s="112">
        <v>100</v>
      </c>
      <c r="CK1364" s="88">
        <v>0</v>
      </c>
    </row>
    <row r="1365" spans="1:89" x14ac:dyDescent="0.15">
      <c r="A1365" s="84">
        <v>1</v>
      </c>
      <c r="B1365" s="85">
        <v>43706</v>
      </c>
      <c r="C1365" s="85">
        <v>43722</v>
      </c>
      <c r="F1365" s="85" t="s">
        <v>338</v>
      </c>
      <c r="H1365" s="85" t="s">
        <v>338</v>
      </c>
      <c r="J1365" s="84">
        <v>2</v>
      </c>
      <c r="L1365" s="84">
        <v>0</v>
      </c>
      <c r="M1365" s="85">
        <v>43700</v>
      </c>
      <c r="N1365" s="85" t="s">
        <v>265</v>
      </c>
      <c r="O1365" s="86" t="s">
        <v>340</v>
      </c>
      <c r="P1365" s="84" t="s">
        <v>78</v>
      </c>
      <c r="Q1365" s="86" t="s">
        <v>120</v>
      </c>
      <c r="R1365" s="86" t="s">
        <v>3570</v>
      </c>
      <c r="S1365" s="87" t="s">
        <v>3547</v>
      </c>
      <c r="T1365" s="87" t="s">
        <v>3571</v>
      </c>
      <c r="U1365" s="88">
        <v>65000</v>
      </c>
      <c r="V1365" s="88">
        <v>70200</v>
      </c>
      <c r="W1365" s="88">
        <v>65000</v>
      </c>
      <c r="X1365" s="88">
        <v>70200</v>
      </c>
      <c r="Z1365" s="88">
        <v>0</v>
      </c>
      <c r="AA1365" s="85">
        <v>43721</v>
      </c>
      <c r="AB1365" s="85">
        <v>43722</v>
      </c>
      <c r="AD1365" s="84">
        <v>0</v>
      </c>
      <c r="AG1365" s="84">
        <v>0</v>
      </c>
      <c r="AJ1365" s="84">
        <v>0</v>
      </c>
      <c r="AN1365" s="84" t="s">
        <v>338</v>
      </c>
      <c r="AR1365" s="85">
        <v>43705</v>
      </c>
      <c r="AS1365" s="84">
        <v>6001706491</v>
      </c>
      <c r="AT1365" s="85">
        <v>43705</v>
      </c>
      <c r="AU1365" s="84" t="s">
        <v>3542</v>
      </c>
      <c r="AV1365" s="85">
        <v>43722</v>
      </c>
      <c r="AW1365" s="123">
        <v>43738</v>
      </c>
      <c r="AX1365" s="123">
        <v>43758</v>
      </c>
      <c r="AY1365" s="132">
        <v>62400</v>
      </c>
      <c r="AZ1365" s="132">
        <f>ROUNDDOWN(AY1365+(AY1365*MASTER!$A$2/100),0)</f>
        <v>67392</v>
      </c>
      <c r="BC1365" s="88">
        <v>0</v>
      </c>
      <c r="BG1365" s="88">
        <v>0</v>
      </c>
      <c r="BK1365" s="88">
        <v>0</v>
      </c>
      <c r="BS1365" s="88">
        <v>0</v>
      </c>
      <c r="BV1365" s="89">
        <v>70200</v>
      </c>
      <c r="BW1365" s="89">
        <v>0</v>
      </c>
      <c r="BX1365" s="89">
        <v>43700</v>
      </c>
      <c r="BY1365" s="89">
        <v>70200</v>
      </c>
      <c r="BZ1365" s="112">
        <v>100</v>
      </c>
      <c r="CK1365" s="88">
        <v>0</v>
      </c>
    </row>
    <row r="1366" spans="1:89" x14ac:dyDescent="0.15">
      <c r="A1366" s="84">
        <v>1</v>
      </c>
      <c r="B1366" s="85">
        <v>43706</v>
      </c>
      <c r="C1366" s="85">
        <v>43723</v>
      </c>
      <c r="F1366" s="85" t="s">
        <v>338</v>
      </c>
      <c r="H1366" s="85" t="s">
        <v>338</v>
      </c>
      <c r="J1366" s="84">
        <v>2</v>
      </c>
      <c r="L1366" s="84">
        <v>0</v>
      </c>
      <c r="M1366" s="85">
        <v>43700</v>
      </c>
      <c r="N1366" s="85" t="s">
        <v>265</v>
      </c>
      <c r="O1366" s="86" t="s">
        <v>340</v>
      </c>
      <c r="P1366" s="84" t="s">
        <v>78</v>
      </c>
      <c r="Q1366" s="86" t="s">
        <v>120</v>
      </c>
      <c r="R1366" s="86" t="s">
        <v>3572</v>
      </c>
      <c r="S1366" s="87" t="s">
        <v>3547</v>
      </c>
      <c r="T1366" s="87" t="s">
        <v>726</v>
      </c>
      <c r="U1366" s="88">
        <v>65000</v>
      </c>
      <c r="V1366" s="88">
        <v>70200</v>
      </c>
      <c r="W1366" s="88">
        <v>65000</v>
      </c>
      <c r="X1366" s="88">
        <v>70200</v>
      </c>
      <c r="Z1366" s="88">
        <v>0</v>
      </c>
      <c r="AA1366" s="85">
        <v>43722</v>
      </c>
      <c r="AB1366" s="85">
        <v>43723</v>
      </c>
      <c r="AD1366" s="84">
        <v>0</v>
      </c>
      <c r="AG1366" s="84">
        <v>0</v>
      </c>
      <c r="AJ1366" s="84">
        <v>0</v>
      </c>
      <c r="AN1366" s="84" t="s">
        <v>338</v>
      </c>
      <c r="AR1366" s="85">
        <v>43705</v>
      </c>
      <c r="AS1366" s="84">
        <v>6001706491</v>
      </c>
      <c r="AT1366" s="85">
        <v>43705</v>
      </c>
      <c r="AU1366" s="84" t="s">
        <v>3542</v>
      </c>
      <c r="AV1366" s="85">
        <v>43723</v>
      </c>
      <c r="AW1366" s="123">
        <v>43738</v>
      </c>
      <c r="AX1366" s="123">
        <v>43758</v>
      </c>
      <c r="AY1366" s="132">
        <v>62400</v>
      </c>
      <c r="AZ1366" s="132">
        <f>ROUNDDOWN(AY1366+(AY1366*MASTER!$A$2/100),0)</f>
        <v>67392</v>
      </c>
      <c r="BC1366" s="88">
        <v>0</v>
      </c>
      <c r="BG1366" s="88">
        <v>0</v>
      </c>
      <c r="BK1366" s="88">
        <v>0</v>
      </c>
      <c r="BS1366" s="88">
        <v>0</v>
      </c>
      <c r="BV1366" s="89">
        <v>70200</v>
      </c>
      <c r="BW1366" s="89">
        <v>0</v>
      </c>
      <c r="BX1366" s="89">
        <v>43700</v>
      </c>
      <c r="BY1366" s="89">
        <v>70200</v>
      </c>
      <c r="BZ1366" s="112">
        <v>100</v>
      </c>
      <c r="CK1366" s="88">
        <v>0</v>
      </c>
    </row>
    <row r="1367" spans="1:89" x14ac:dyDescent="0.15">
      <c r="A1367" s="84">
        <v>1</v>
      </c>
      <c r="B1367" s="85">
        <v>43741</v>
      </c>
      <c r="C1367" s="85">
        <v>43769</v>
      </c>
      <c r="F1367" s="85" t="s">
        <v>338</v>
      </c>
      <c r="H1367" s="85" t="s">
        <v>338</v>
      </c>
      <c r="J1367" s="84">
        <v>2</v>
      </c>
      <c r="L1367" s="84">
        <v>0</v>
      </c>
      <c r="M1367" s="85">
        <v>43700</v>
      </c>
      <c r="N1367" s="85" t="s">
        <v>265</v>
      </c>
      <c r="O1367" s="86" t="s">
        <v>340</v>
      </c>
      <c r="P1367" s="84" t="s">
        <v>78</v>
      </c>
      <c r="Q1367" s="86" t="s">
        <v>120</v>
      </c>
      <c r="R1367" s="86" t="s">
        <v>3568</v>
      </c>
      <c r="S1367" s="87" t="s">
        <v>3406</v>
      </c>
      <c r="T1367" s="87" t="s">
        <v>726</v>
      </c>
      <c r="U1367" s="88">
        <v>65000</v>
      </c>
      <c r="V1367" s="88">
        <v>70200</v>
      </c>
      <c r="W1367" s="88">
        <v>65000</v>
      </c>
      <c r="X1367" s="88">
        <v>70200</v>
      </c>
      <c r="Z1367" s="88">
        <v>0</v>
      </c>
      <c r="AA1367" s="85">
        <v>43757</v>
      </c>
      <c r="AB1367" s="85">
        <v>43758</v>
      </c>
      <c r="AD1367" s="84">
        <v>0</v>
      </c>
      <c r="AG1367" s="84">
        <v>0</v>
      </c>
      <c r="AJ1367" s="84">
        <v>0</v>
      </c>
      <c r="AN1367" s="84" t="s">
        <v>338</v>
      </c>
      <c r="AR1367" s="85">
        <v>43725</v>
      </c>
      <c r="AS1367" s="84">
        <v>6001712466</v>
      </c>
      <c r="AT1367" s="85">
        <v>43725</v>
      </c>
      <c r="AU1367" s="84" t="s">
        <v>3707</v>
      </c>
      <c r="AV1367" s="85">
        <v>43769</v>
      </c>
      <c r="AW1367" s="156">
        <v>43769</v>
      </c>
      <c r="AX1367" s="156">
        <v>43789</v>
      </c>
      <c r="AY1367" s="132">
        <v>62400</v>
      </c>
      <c r="AZ1367" s="132">
        <f t="shared" ref="AZ1367:AZ1372" si="9">ROUNDDOWN(AY1367+(AY1367*0.1),0)</f>
        <v>68640</v>
      </c>
      <c r="BC1367" s="88">
        <v>0</v>
      </c>
      <c r="BG1367" s="88">
        <v>0</v>
      </c>
      <c r="BK1367" s="88">
        <v>0</v>
      </c>
      <c r="BS1367" s="88">
        <v>0</v>
      </c>
      <c r="BV1367" s="89">
        <v>70200</v>
      </c>
      <c r="BW1367" s="89">
        <v>0</v>
      </c>
      <c r="BX1367" s="89">
        <v>43700</v>
      </c>
      <c r="BY1367" s="89">
        <v>70200</v>
      </c>
      <c r="BZ1367" s="112">
        <v>100</v>
      </c>
      <c r="CK1367" s="88">
        <v>0</v>
      </c>
    </row>
    <row r="1368" spans="1:89" x14ac:dyDescent="0.15">
      <c r="A1368" s="84">
        <v>1</v>
      </c>
      <c r="B1368" s="85">
        <v>43741</v>
      </c>
      <c r="C1368" s="85">
        <v>43769</v>
      </c>
      <c r="F1368" s="85" t="s">
        <v>338</v>
      </c>
      <c r="H1368" s="85" t="s">
        <v>338</v>
      </c>
      <c r="J1368" s="84">
        <v>2</v>
      </c>
      <c r="L1368" s="84">
        <v>0</v>
      </c>
      <c r="M1368" s="85">
        <v>43700</v>
      </c>
      <c r="N1368" s="85" t="s">
        <v>265</v>
      </c>
      <c r="O1368" s="86" t="s">
        <v>340</v>
      </c>
      <c r="P1368" s="84" t="s">
        <v>78</v>
      </c>
      <c r="Q1368" s="86" t="s">
        <v>120</v>
      </c>
      <c r="R1368" s="86" t="s">
        <v>3567</v>
      </c>
      <c r="S1368" s="87" t="s">
        <v>382</v>
      </c>
      <c r="T1368" s="87" t="s">
        <v>726</v>
      </c>
      <c r="U1368" s="88">
        <v>65000</v>
      </c>
      <c r="V1368" s="88">
        <v>70200</v>
      </c>
      <c r="W1368" s="88">
        <v>65000</v>
      </c>
      <c r="X1368" s="88">
        <v>70200</v>
      </c>
      <c r="Z1368" s="88">
        <v>0</v>
      </c>
      <c r="AA1368" s="85">
        <v>43755</v>
      </c>
      <c r="AB1368" s="85">
        <v>43756</v>
      </c>
      <c r="AD1368" s="84">
        <v>0</v>
      </c>
      <c r="AG1368" s="84">
        <v>0</v>
      </c>
      <c r="AJ1368" s="84">
        <v>0</v>
      </c>
      <c r="AN1368" s="84" t="s">
        <v>338</v>
      </c>
      <c r="AR1368" s="85">
        <v>43725</v>
      </c>
      <c r="AS1368" s="84">
        <v>6001712466</v>
      </c>
      <c r="AT1368" s="85">
        <v>43725</v>
      </c>
      <c r="AU1368" s="84" t="s">
        <v>3707</v>
      </c>
      <c r="AV1368" s="85">
        <v>43769</v>
      </c>
      <c r="AW1368" s="156">
        <v>43769</v>
      </c>
      <c r="AX1368" s="156">
        <v>43789</v>
      </c>
      <c r="AY1368" s="132">
        <v>62400</v>
      </c>
      <c r="AZ1368" s="132">
        <f t="shared" si="9"/>
        <v>68640</v>
      </c>
      <c r="BC1368" s="88">
        <v>0</v>
      </c>
      <c r="BG1368" s="88">
        <v>0</v>
      </c>
      <c r="BK1368" s="88">
        <v>0</v>
      </c>
      <c r="BS1368" s="88">
        <v>0</v>
      </c>
      <c r="BV1368" s="89">
        <v>70200</v>
      </c>
      <c r="BW1368" s="89">
        <v>0</v>
      </c>
      <c r="BX1368" s="89">
        <v>43700</v>
      </c>
      <c r="BY1368" s="89">
        <v>70200</v>
      </c>
      <c r="BZ1368" s="112">
        <v>100</v>
      </c>
      <c r="CK1368" s="88">
        <v>0</v>
      </c>
    </row>
    <row r="1369" spans="1:89" x14ac:dyDescent="0.15">
      <c r="A1369" s="84">
        <v>1</v>
      </c>
      <c r="B1369" s="85">
        <v>43741</v>
      </c>
      <c r="C1369" s="85">
        <v>43769</v>
      </c>
      <c r="F1369" s="85" t="s">
        <v>338</v>
      </c>
      <c r="H1369" s="85" t="s">
        <v>338</v>
      </c>
      <c r="J1369" s="84">
        <v>2</v>
      </c>
      <c r="L1369" s="84">
        <v>0</v>
      </c>
      <c r="M1369" s="85">
        <v>43700</v>
      </c>
      <c r="N1369" s="85" t="s">
        <v>265</v>
      </c>
      <c r="O1369" s="86" t="s">
        <v>340</v>
      </c>
      <c r="P1369" s="84" t="s">
        <v>78</v>
      </c>
      <c r="Q1369" s="86" t="s">
        <v>120</v>
      </c>
      <c r="R1369" s="86" t="s">
        <v>3566</v>
      </c>
      <c r="S1369" s="87" t="s">
        <v>955</v>
      </c>
      <c r="T1369" s="87" t="s">
        <v>726</v>
      </c>
      <c r="U1369" s="88">
        <v>65000</v>
      </c>
      <c r="V1369" s="88">
        <v>70200</v>
      </c>
      <c r="W1369" s="88">
        <v>65000</v>
      </c>
      <c r="X1369" s="88">
        <v>70200</v>
      </c>
      <c r="Z1369" s="88">
        <v>0</v>
      </c>
      <c r="AA1369" s="85">
        <v>43756</v>
      </c>
      <c r="AB1369" s="85">
        <v>43757</v>
      </c>
      <c r="AD1369" s="84">
        <v>0</v>
      </c>
      <c r="AG1369" s="84">
        <v>0</v>
      </c>
      <c r="AJ1369" s="84">
        <v>0</v>
      </c>
      <c r="AN1369" s="84" t="s">
        <v>338</v>
      </c>
      <c r="AR1369" s="85">
        <v>43725</v>
      </c>
      <c r="AS1369" s="84">
        <v>6001712466</v>
      </c>
      <c r="AT1369" s="85">
        <v>43725</v>
      </c>
      <c r="AU1369" s="84" t="s">
        <v>3707</v>
      </c>
      <c r="AV1369" s="85">
        <v>43769</v>
      </c>
      <c r="AW1369" s="156">
        <v>43769</v>
      </c>
      <c r="AX1369" s="156">
        <v>43789</v>
      </c>
      <c r="AY1369" s="132">
        <v>62400</v>
      </c>
      <c r="AZ1369" s="132">
        <f t="shared" si="9"/>
        <v>68640</v>
      </c>
      <c r="BC1369" s="88">
        <v>0</v>
      </c>
      <c r="BG1369" s="88">
        <v>0</v>
      </c>
      <c r="BK1369" s="88">
        <v>0</v>
      </c>
      <c r="BS1369" s="88">
        <v>0</v>
      </c>
      <c r="BV1369" s="89">
        <v>70200</v>
      </c>
      <c r="BW1369" s="89">
        <v>0</v>
      </c>
      <c r="BX1369" s="89">
        <v>43700</v>
      </c>
      <c r="BY1369" s="89">
        <v>70200</v>
      </c>
      <c r="BZ1369" s="112">
        <v>100</v>
      </c>
      <c r="CK1369" s="88">
        <v>0</v>
      </c>
    </row>
    <row r="1370" spans="1:89" x14ac:dyDescent="0.15">
      <c r="A1370" s="84">
        <v>1</v>
      </c>
      <c r="B1370" s="85">
        <v>43741</v>
      </c>
      <c r="C1370" s="85">
        <v>43769</v>
      </c>
      <c r="F1370" s="85" t="s">
        <v>338</v>
      </c>
      <c r="H1370" s="85" t="s">
        <v>338</v>
      </c>
      <c r="J1370" s="84">
        <v>2</v>
      </c>
      <c r="L1370" s="84">
        <v>0</v>
      </c>
      <c r="M1370" s="85">
        <v>43700</v>
      </c>
      <c r="N1370" s="85" t="s">
        <v>265</v>
      </c>
      <c r="O1370" s="86" t="s">
        <v>340</v>
      </c>
      <c r="P1370" s="84" t="s">
        <v>78</v>
      </c>
      <c r="Q1370" s="86" t="s">
        <v>120</v>
      </c>
      <c r="R1370" s="86" t="s">
        <v>3565</v>
      </c>
      <c r="S1370" s="87" t="s">
        <v>853</v>
      </c>
      <c r="T1370" s="87" t="s">
        <v>726</v>
      </c>
      <c r="U1370" s="88">
        <v>65000</v>
      </c>
      <c r="V1370" s="88">
        <v>70200</v>
      </c>
      <c r="W1370" s="88">
        <v>65000</v>
      </c>
      <c r="X1370" s="88">
        <v>70200</v>
      </c>
      <c r="Z1370" s="88">
        <v>0</v>
      </c>
      <c r="AA1370" s="85">
        <v>43754</v>
      </c>
      <c r="AB1370" s="85">
        <v>43755</v>
      </c>
      <c r="AD1370" s="84">
        <v>0</v>
      </c>
      <c r="AG1370" s="84">
        <v>0</v>
      </c>
      <c r="AJ1370" s="84">
        <v>0</v>
      </c>
      <c r="AN1370" s="84" t="s">
        <v>338</v>
      </c>
      <c r="AR1370" s="85">
        <v>43725</v>
      </c>
      <c r="AS1370" s="84">
        <v>6001712466</v>
      </c>
      <c r="AT1370" s="85">
        <v>43725</v>
      </c>
      <c r="AU1370" s="84" t="s">
        <v>3707</v>
      </c>
      <c r="AV1370" s="85">
        <v>43769</v>
      </c>
      <c r="AW1370" s="156">
        <v>43769</v>
      </c>
      <c r="AX1370" s="156">
        <v>43789</v>
      </c>
      <c r="AY1370" s="132">
        <v>62400</v>
      </c>
      <c r="AZ1370" s="132">
        <f t="shared" si="9"/>
        <v>68640</v>
      </c>
      <c r="BC1370" s="88">
        <v>0</v>
      </c>
      <c r="BG1370" s="88">
        <v>0</v>
      </c>
      <c r="BK1370" s="88">
        <v>0</v>
      </c>
      <c r="BS1370" s="88">
        <v>0</v>
      </c>
      <c r="BV1370" s="89">
        <v>70200</v>
      </c>
      <c r="BW1370" s="89">
        <v>0</v>
      </c>
      <c r="BX1370" s="89">
        <v>43700</v>
      </c>
      <c r="BY1370" s="89">
        <v>70200</v>
      </c>
      <c r="BZ1370" s="112">
        <v>100</v>
      </c>
      <c r="CK1370" s="88">
        <v>0</v>
      </c>
    </row>
    <row r="1371" spans="1:89" x14ac:dyDescent="0.15">
      <c r="A1371" s="84">
        <v>1</v>
      </c>
      <c r="B1371" s="85">
        <v>43741</v>
      </c>
      <c r="C1371" s="85">
        <v>43754</v>
      </c>
      <c r="F1371" s="85" t="s">
        <v>338</v>
      </c>
      <c r="H1371" s="85" t="s">
        <v>338</v>
      </c>
      <c r="J1371" s="84">
        <v>2</v>
      </c>
      <c r="L1371" s="84">
        <v>0</v>
      </c>
      <c r="M1371" s="85">
        <v>43700</v>
      </c>
      <c r="N1371" s="85" t="s">
        <v>265</v>
      </c>
      <c r="O1371" s="86" t="s">
        <v>340</v>
      </c>
      <c r="P1371" s="84" t="s">
        <v>78</v>
      </c>
      <c r="Q1371" s="86" t="s">
        <v>120</v>
      </c>
      <c r="R1371" s="86" t="s">
        <v>3864</v>
      </c>
      <c r="S1371" s="87" t="s">
        <v>397</v>
      </c>
      <c r="T1371" s="87" t="s">
        <v>726</v>
      </c>
      <c r="U1371" s="88">
        <v>65000</v>
      </c>
      <c r="V1371" s="88">
        <v>70200</v>
      </c>
      <c r="W1371" s="88">
        <v>65000</v>
      </c>
      <c r="X1371" s="88">
        <v>70200</v>
      </c>
      <c r="Z1371" s="88">
        <v>0</v>
      </c>
      <c r="AA1371" s="85">
        <v>43753</v>
      </c>
      <c r="AB1371" s="85">
        <v>43754</v>
      </c>
      <c r="AD1371" s="84">
        <v>0</v>
      </c>
      <c r="AG1371" s="84">
        <v>0</v>
      </c>
      <c r="AJ1371" s="84">
        <v>0</v>
      </c>
      <c r="AN1371" s="84" t="s">
        <v>338</v>
      </c>
      <c r="AR1371" s="85">
        <v>43740</v>
      </c>
      <c r="AS1371" s="84">
        <v>6001716906</v>
      </c>
      <c r="AT1371" s="85">
        <v>43740</v>
      </c>
      <c r="AU1371" s="84" t="s">
        <v>3869</v>
      </c>
      <c r="AV1371" s="85">
        <v>43754</v>
      </c>
      <c r="AW1371" s="123">
        <v>43769</v>
      </c>
      <c r="AX1371" s="123">
        <v>43789</v>
      </c>
      <c r="AY1371" s="132">
        <v>62400</v>
      </c>
      <c r="AZ1371" s="132">
        <f t="shared" si="9"/>
        <v>68640</v>
      </c>
      <c r="BC1371" s="88">
        <v>0</v>
      </c>
      <c r="BG1371" s="88">
        <v>0</v>
      </c>
      <c r="BK1371" s="88">
        <v>0</v>
      </c>
      <c r="BS1371" s="88">
        <v>0</v>
      </c>
      <c r="BV1371" s="89">
        <v>70200</v>
      </c>
      <c r="BW1371" s="89">
        <v>0</v>
      </c>
      <c r="BX1371" s="89">
        <v>43700</v>
      </c>
      <c r="BY1371" s="89">
        <v>70200</v>
      </c>
      <c r="BZ1371" s="112">
        <v>100</v>
      </c>
      <c r="CK1371" s="88">
        <v>0</v>
      </c>
    </row>
    <row r="1372" spans="1:89" x14ac:dyDescent="0.15">
      <c r="A1372" s="84">
        <v>1</v>
      </c>
      <c r="B1372" s="85">
        <v>43741</v>
      </c>
      <c r="C1372" s="85">
        <v>43769</v>
      </c>
      <c r="F1372" s="85" t="s">
        <v>338</v>
      </c>
      <c r="H1372" s="85" t="s">
        <v>338</v>
      </c>
      <c r="J1372" s="84">
        <v>2</v>
      </c>
      <c r="L1372" s="84">
        <v>0</v>
      </c>
      <c r="M1372" s="85">
        <v>43700</v>
      </c>
      <c r="N1372" s="85" t="s">
        <v>265</v>
      </c>
      <c r="O1372" s="86" t="s">
        <v>340</v>
      </c>
      <c r="P1372" s="84" t="s">
        <v>78</v>
      </c>
      <c r="Q1372" s="86" t="s">
        <v>120</v>
      </c>
      <c r="R1372" s="86" t="s">
        <v>3564</v>
      </c>
      <c r="S1372" s="87" t="s">
        <v>685</v>
      </c>
      <c r="T1372" s="87" t="s">
        <v>726</v>
      </c>
      <c r="U1372" s="88">
        <v>65000</v>
      </c>
      <c r="V1372" s="88">
        <v>70200</v>
      </c>
      <c r="W1372" s="88">
        <v>65000</v>
      </c>
      <c r="X1372" s="88">
        <v>70200</v>
      </c>
      <c r="Z1372" s="88">
        <v>0</v>
      </c>
      <c r="AA1372" s="85">
        <v>43752</v>
      </c>
      <c r="AB1372" s="85">
        <v>43753</v>
      </c>
      <c r="AD1372" s="84">
        <v>0</v>
      </c>
      <c r="AG1372" s="84">
        <v>0</v>
      </c>
      <c r="AJ1372" s="84">
        <v>0</v>
      </c>
      <c r="AN1372" s="84" t="s">
        <v>338</v>
      </c>
      <c r="AR1372" s="85">
        <v>43725</v>
      </c>
      <c r="AS1372" s="84">
        <v>6001712466</v>
      </c>
      <c r="AT1372" s="85">
        <v>43725</v>
      </c>
      <c r="AU1372" s="84" t="s">
        <v>3707</v>
      </c>
      <c r="AV1372" s="85">
        <v>43769</v>
      </c>
      <c r="AW1372" s="156">
        <v>43769</v>
      </c>
      <c r="AX1372" s="156">
        <v>43789</v>
      </c>
      <c r="AY1372" s="132">
        <v>62400</v>
      </c>
      <c r="AZ1372" s="132">
        <f t="shared" si="9"/>
        <v>68640</v>
      </c>
      <c r="BC1372" s="88">
        <v>0</v>
      </c>
      <c r="BG1372" s="88">
        <v>0</v>
      </c>
      <c r="BK1372" s="88">
        <v>0</v>
      </c>
      <c r="BS1372" s="88">
        <v>0</v>
      </c>
      <c r="BV1372" s="89">
        <v>70200</v>
      </c>
      <c r="BW1372" s="89">
        <v>0</v>
      </c>
      <c r="BX1372" s="89">
        <v>43700</v>
      </c>
      <c r="BY1372" s="89">
        <v>70200</v>
      </c>
      <c r="BZ1372" s="112">
        <v>100</v>
      </c>
      <c r="CK1372" s="88">
        <v>0</v>
      </c>
    </row>
    <row r="1373" spans="1:89" s="151" customFormat="1" x14ac:dyDescent="0.15">
      <c r="A1373" s="141">
        <v>3</v>
      </c>
      <c r="B1373" s="142"/>
      <c r="C1373" s="142" t="s">
        <v>338</v>
      </c>
      <c r="D1373" s="142"/>
      <c r="E1373" s="142"/>
      <c r="F1373" s="142" t="s">
        <v>338</v>
      </c>
      <c r="G1373" s="142"/>
      <c r="H1373" s="142" t="s">
        <v>338</v>
      </c>
      <c r="I1373" s="141"/>
      <c r="J1373" s="141">
        <v>1</v>
      </c>
      <c r="K1373" s="142"/>
      <c r="L1373" s="141">
        <v>0</v>
      </c>
      <c r="M1373" s="142">
        <v>43700</v>
      </c>
      <c r="N1373" s="142" t="s">
        <v>265</v>
      </c>
      <c r="O1373" s="143" t="s">
        <v>340</v>
      </c>
      <c r="P1373" s="141" t="s">
        <v>26</v>
      </c>
      <c r="Q1373" s="143" t="s">
        <v>120</v>
      </c>
      <c r="R1373" s="143" t="s">
        <v>3600</v>
      </c>
      <c r="S1373" s="144" t="s">
        <v>1071</v>
      </c>
      <c r="T1373" s="144" t="s">
        <v>1303</v>
      </c>
      <c r="U1373" s="145">
        <v>79500</v>
      </c>
      <c r="V1373" s="145">
        <v>85860</v>
      </c>
      <c r="W1373" s="145">
        <v>67500</v>
      </c>
      <c r="X1373" s="145">
        <v>72900</v>
      </c>
      <c r="Y1373" s="145">
        <v>12000</v>
      </c>
      <c r="Z1373" s="145">
        <v>12960</v>
      </c>
      <c r="AA1373" s="142">
        <v>43717</v>
      </c>
      <c r="AB1373" s="142">
        <v>43719</v>
      </c>
      <c r="AC1373" s="142"/>
      <c r="AD1373" s="141">
        <v>0</v>
      </c>
      <c r="AE1373" s="141"/>
      <c r="AF1373" s="141"/>
      <c r="AG1373" s="141">
        <v>0</v>
      </c>
      <c r="AH1373" s="141"/>
      <c r="AI1373" s="141"/>
      <c r="AJ1373" s="141">
        <v>0</v>
      </c>
      <c r="AK1373" s="141"/>
      <c r="AL1373" s="141"/>
      <c r="AM1373" s="141"/>
      <c r="AN1373" s="141" t="s">
        <v>338</v>
      </c>
      <c r="AO1373" s="142"/>
      <c r="AP1373" s="141"/>
      <c r="AQ1373" s="141"/>
      <c r="AR1373" s="142"/>
      <c r="AS1373" s="141"/>
      <c r="AT1373" s="142"/>
      <c r="AU1373" s="141"/>
      <c r="AV1373" s="142"/>
      <c r="AW1373" s="146"/>
      <c r="AX1373" s="146"/>
      <c r="AY1373" s="147">
        <v>76320</v>
      </c>
      <c r="AZ1373" s="147">
        <f>ROUNDDOWN(AY1373+(AY1373*MASTER!$A$2/100),0)</f>
        <v>82425</v>
      </c>
      <c r="BA1373" s="141"/>
      <c r="BB1373" s="145"/>
      <c r="BC1373" s="145">
        <v>0</v>
      </c>
      <c r="BD1373" s="141"/>
      <c r="BE1373" s="141"/>
      <c r="BF1373" s="145"/>
      <c r="BG1373" s="145">
        <v>0</v>
      </c>
      <c r="BH1373" s="141"/>
      <c r="BI1373" s="141"/>
      <c r="BJ1373" s="145"/>
      <c r="BK1373" s="145">
        <v>0</v>
      </c>
      <c r="BL1373" s="141"/>
      <c r="BM1373" s="145"/>
      <c r="BN1373" s="145"/>
      <c r="BO1373" s="145"/>
      <c r="BP1373" s="145"/>
      <c r="BQ1373" s="145"/>
      <c r="BR1373" s="145"/>
      <c r="BS1373" s="145">
        <v>0</v>
      </c>
      <c r="BT1373" s="148"/>
      <c r="BU1373" s="148"/>
      <c r="BV1373" s="149">
        <v>72900</v>
      </c>
      <c r="BW1373" s="149">
        <v>0</v>
      </c>
      <c r="BX1373" s="149">
        <v>43700</v>
      </c>
      <c r="BY1373" s="149">
        <v>72900</v>
      </c>
      <c r="BZ1373" s="150">
        <v>100</v>
      </c>
      <c r="CA1373" s="141"/>
      <c r="CB1373" s="141"/>
      <c r="CC1373" s="141"/>
      <c r="CD1373" s="144" t="s">
        <v>3601</v>
      </c>
      <c r="CE1373" s="142"/>
      <c r="CF1373" s="142"/>
      <c r="CG1373" s="142"/>
      <c r="CH1373" s="142"/>
      <c r="CI1373" s="142"/>
      <c r="CJ1373" s="142"/>
      <c r="CK1373" s="145">
        <v>0</v>
      </c>
    </row>
    <row r="1374" spans="1:89" s="151" customFormat="1" x14ac:dyDescent="0.15">
      <c r="A1374" s="141">
        <v>3</v>
      </c>
      <c r="B1374" s="142"/>
      <c r="C1374" s="142" t="s">
        <v>338</v>
      </c>
      <c r="D1374" s="142"/>
      <c r="E1374" s="142"/>
      <c r="F1374" s="142" t="s">
        <v>338</v>
      </c>
      <c r="G1374" s="142"/>
      <c r="H1374" s="142" t="s">
        <v>338</v>
      </c>
      <c r="I1374" s="141"/>
      <c r="J1374" s="141">
        <v>1</v>
      </c>
      <c r="K1374" s="142"/>
      <c r="L1374" s="141">
        <v>0</v>
      </c>
      <c r="M1374" s="142">
        <v>43700</v>
      </c>
      <c r="N1374" s="142" t="s">
        <v>265</v>
      </c>
      <c r="O1374" s="143" t="s">
        <v>340</v>
      </c>
      <c r="P1374" s="141" t="s">
        <v>26</v>
      </c>
      <c r="Q1374" s="143" t="s">
        <v>120</v>
      </c>
      <c r="R1374" s="143" t="s">
        <v>3597</v>
      </c>
      <c r="S1374" s="144" t="s">
        <v>805</v>
      </c>
      <c r="T1374" s="144" t="s">
        <v>1412</v>
      </c>
      <c r="U1374" s="145">
        <v>59000</v>
      </c>
      <c r="V1374" s="145">
        <v>63720</v>
      </c>
      <c r="W1374" s="145">
        <v>47000</v>
      </c>
      <c r="X1374" s="145">
        <v>50760</v>
      </c>
      <c r="Y1374" s="145">
        <v>12000</v>
      </c>
      <c r="Z1374" s="145">
        <v>12960</v>
      </c>
      <c r="AA1374" s="142">
        <v>43724</v>
      </c>
      <c r="AB1374" s="142">
        <v>43725</v>
      </c>
      <c r="AC1374" s="142"/>
      <c r="AD1374" s="141">
        <v>0</v>
      </c>
      <c r="AE1374" s="141"/>
      <c r="AF1374" s="141"/>
      <c r="AG1374" s="141">
        <v>0</v>
      </c>
      <c r="AH1374" s="141"/>
      <c r="AI1374" s="141"/>
      <c r="AJ1374" s="141">
        <v>0</v>
      </c>
      <c r="AK1374" s="141"/>
      <c r="AL1374" s="141"/>
      <c r="AM1374" s="141" t="s">
        <v>290</v>
      </c>
      <c r="AN1374" s="141" t="s">
        <v>3598</v>
      </c>
      <c r="AO1374" s="142"/>
      <c r="AP1374" s="141"/>
      <c r="AQ1374" s="141"/>
      <c r="AR1374" s="142"/>
      <c r="AS1374" s="141"/>
      <c r="AT1374" s="142"/>
      <c r="AU1374" s="141"/>
      <c r="AV1374" s="142"/>
      <c r="AW1374" s="146"/>
      <c r="AX1374" s="146"/>
      <c r="AY1374" s="147">
        <v>56640</v>
      </c>
      <c r="AZ1374" s="147">
        <f>ROUNDDOWN(AY1374+(AY1374*MASTER!$A$2/100),0)</f>
        <v>61171</v>
      </c>
      <c r="BA1374" s="141"/>
      <c r="BB1374" s="145"/>
      <c r="BC1374" s="145">
        <v>0</v>
      </c>
      <c r="BD1374" s="141"/>
      <c r="BE1374" s="141"/>
      <c r="BF1374" s="145"/>
      <c r="BG1374" s="145">
        <v>0</v>
      </c>
      <c r="BH1374" s="141"/>
      <c r="BI1374" s="141"/>
      <c r="BJ1374" s="145"/>
      <c r="BK1374" s="145">
        <v>0</v>
      </c>
      <c r="BL1374" s="141"/>
      <c r="BM1374" s="145"/>
      <c r="BN1374" s="145"/>
      <c r="BO1374" s="145"/>
      <c r="BP1374" s="145"/>
      <c r="BQ1374" s="145"/>
      <c r="BR1374" s="145"/>
      <c r="BS1374" s="145">
        <v>0</v>
      </c>
      <c r="BT1374" s="148"/>
      <c r="BU1374" s="148"/>
      <c r="BV1374" s="149">
        <v>50760</v>
      </c>
      <c r="BW1374" s="149">
        <v>0</v>
      </c>
      <c r="BX1374" s="149">
        <v>43700</v>
      </c>
      <c r="BY1374" s="149">
        <v>50760</v>
      </c>
      <c r="BZ1374" s="150">
        <v>100</v>
      </c>
      <c r="CA1374" s="141"/>
      <c r="CB1374" s="141"/>
      <c r="CC1374" s="141"/>
      <c r="CD1374" s="144" t="s">
        <v>3599</v>
      </c>
      <c r="CE1374" s="142"/>
      <c r="CF1374" s="142"/>
      <c r="CG1374" s="142"/>
      <c r="CH1374" s="142"/>
      <c r="CI1374" s="142"/>
      <c r="CJ1374" s="142"/>
      <c r="CK1374" s="145">
        <v>0</v>
      </c>
    </row>
    <row r="1375" spans="1:89" x14ac:dyDescent="0.15">
      <c r="A1375" s="84">
        <v>2</v>
      </c>
      <c r="C1375" s="85" t="s">
        <v>338</v>
      </c>
      <c r="F1375" s="85" t="s">
        <v>338</v>
      </c>
      <c r="H1375" s="85" t="s">
        <v>338</v>
      </c>
      <c r="J1375" s="84">
        <v>4</v>
      </c>
      <c r="L1375" s="84">
        <v>0</v>
      </c>
      <c r="M1375" s="85">
        <v>43700</v>
      </c>
      <c r="N1375" s="85" t="s">
        <v>265</v>
      </c>
      <c r="O1375" s="86" t="s">
        <v>340</v>
      </c>
      <c r="P1375" s="84" t="s">
        <v>78</v>
      </c>
      <c r="Q1375" s="86" t="s">
        <v>120</v>
      </c>
      <c r="R1375" s="86" t="s">
        <v>3509</v>
      </c>
      <c r="S1375" s="87" t="s">
        <v>562</v>
      </c>
      <c r="T1375" s="87" t="s">
        <v>3905</v>
      </c>
      <c r="U1375" s="88">
        <v>0</v>
      </c>
      <c r="V1375" s="88">
        <v>0</v>
      </c>
      <c r="W1375" s="88">
        <v>0</v>
      </c>
      <c r="X1375" s="88">
        <v>0</v>
      </c>
      <c r="Y1375" s="88">
        <v>0</v>
      </c>
      <c r="Z1375" s="88">
        <v>0</v>
      </c>
      <c r="AA1375" s="85">
        <v>43667</v>
      </c>
      <c r="AB1375" s="85">
        <v>43697</v>
      </c>
      <c r="AD1375" s="84">
        <v>0</v>
      </c>
      <c r="AG1375" s="84">
        <v>0</v>
      </c>
      <c r="AJ1375" s="84">
        <v>0</v>
      </c>
      <c r="AN1375" s="84" t="s">
        <v>338</v>
      </c>
      <c r="AY1375" s="132">
        <f>ROUNDDOWN((0.96*U1375),0)</f>
        <v>0</v>
      </c>
      <c r="AZ1375" s="132">
        <f>ROUNDDOWN(AY1375+(AY1375*MASTER!$A$2/100),0)</f>
        <v>0</v>
      </c>
      <c r="BA1375" s="84" t="s">
        <v>289</v>
      </c>
      <c r="BB1375" s="88">
        <v>517586</v>
      </c>
      <c r="BC1375" s="88">
        <v>558992.88</v>
      </c>
      <c r="BD1375" s="84" t="s">
        <v>2849</v>
      </c>
      <c r="BG1375" s="88">
        <v>0</v>
      </c>
      <c r="BK1375" s="88">
        <v>0</v>
      </c>
      <c r="BS1375" s="88">
        <v>0</v>
      </c>
      <c r="BV1375" s="89">
        <v>0</v>
      </c>
      <c r="BW1375" s="89">
        <v>558992.88</v>
      </c>
      <c r="BX1375" s="89">
        <v>43700</v>
      </c>
      <c r="BY1375" s="89">
        <v>-558992.88</v>
      </c>
      <c r="BZ1375" s="112" t="s">
        <v>338</v>
      </c>
    </row>
    <row r="1376" spans="1:89" x14ac:dyDescent="0.15">
      <c r="A1376" s="84">
        <v>1</v>
      </c>
      <c r="B1376" s="85">
        <v>43712</v>
      </c>
      <c r="C1376" s="85">
        <v>43713</v>
      </c>
      <c r="F1376" s="85" t="s">
        <v>338</v>
      </c>
      <c r="G1376" s="85">
        <v>43711</v>
      </c>
      <c r="H1376" s="85" t="s">
        <v>338</v>
      </c>
      <c r="I1376" s="84" t="s">
        <v>380</v>
      </c>
      <c r="J1376" s="84">
        <v>2</v>
      </c>
      <c r="L1376" s="84">
        <v>0</v>
      </c>
      <c r="M1376" s="85">
        <v>43703</v>
      </c>
      <c r="N1376" s="85" t="s">
        <v>265</v>
      </c>
      <c r="O1376" s="86" t="s">
        <v>340</v>
      </c>
      <c r="P1376" s="84" t="s">
        <v>6</v>
      </c>
      <c r="Q1376" s="86" t="s">
        <v>120</v>
      </c>
      <c r="R1376" s="86" t="s">
        <v>3512</v>
      </c>
      <c r="S1376" s="87" t="s">
        <v>1626</v>
      </c>
      <c r="T1376" s="87" t="s">
        <v>342</v>
      </c>
      <c r="U1376" s="88">
        <v>35000</v>
      </c>
      <c r="V1376" s="88">
        <v>37800</v>
      </c>
      <c r="W1376" s="88">
        <v>35000</v>
      </c>
      <c r="X1376" s="88">
        <v>37800</v>
      </c>
      <c r="Z1376" s="88">
        <v>0</v>
      </c>
      <c r="AA1376" s="85">
        <v>43706</v>
      </c>
      <c r="AB1376" s="85">
        <v>43706</v>
      </c>
      <c r="AD1376" s="84">
        <v>0</v>
      </c>
      <c r="AG1376" s="84">
        <v>0</v>
      </c>
      <c r="AJ1376" s="84">
        <v>0</v>
      </c>
      <c r="AR1376" s="85">
        <v>43711</v>
      </c>
      <c r="AS1376" s="84">
        <v>6001708122</v>
      </c>
      <c r="AT1376" s="85">
        <v>43711</v>
      </c>
      <c r="AU1376" s="84" t="s">
        <v>3614</v>
      </c>
      <c r="AV1376" s="85">
        <v>43713</v>
      </c>
      <c r="AW1376" s="123">
        <v>43738</v>
      </c>
      <c r="AX1376" s="123">
        <v>43758</v>
      </c>
      <c r="AY1376" s="132">
        <v>33600</v>
      </c>
      <c r="AZ1376" s="132">
        <f>ROUNDDOWN(AY1376+(AY1376*MASTER!$A$2/100),0)</f>
        <v>36288</v>
      </c>
      <c r="BA1376" s="84" t="s">
        <v>778</v>
      </c>
      <c r="BC1376" s="88">
        <v>0</v>
      </c>
      <c r="BG1376" s="88">
        <v>0</v>
      </c>
      <c r="BK1376" s="88">
        <v>0</v>
      </c>
      <c r="BS1376" s="88">
        <v>0</v>
      </c>
      <c r="BV1376" s="89">
        <v>37800</v>
      </c>
      <c r="BW1376" s="89">
        <v>0</v>
      </c>
      <c r="BX1376" s="89">
        <v>43703</v>
      </c>
      <c r="BY1376" s="89">
        <v>37800</v>
      </c>
      <c r="BZ1376" s="112">
        <v>100</v>
      </c>
    </row>
    <row r="1377" spans="1:89" x14ac:dyDescent="0.15">
      <c r="A1377" s="84">
        <v>2</v>
      </c>
      <c r="C1377" s="85" t="s">
        <v>338</v>
      </c>
      <c r="F1377" s="85" t="s">
        <v>338</v>
      </c>
      <c r="H1377" s="85" t="s">
        <v>338</v>
      </c>
      <c r="J1377" s="84">
        <v>4</v>
      </c>
      <c r="L1377" s="84">
        <v>0</v>
      </c>
      <c r="M1377" s="85">
        <v>43703</v>
      </c>
      <c r="N1377" s="85" t="s">
        <v>265</v>
      </c>
      <c r="O1377" s="86" t="s">
        <v>340</v>
      </c>
      <c r="P1377" s="84" t="s">
        <v>272</v>
      </c>
      <c r="Q1377" s="86" t="s">
        <v>120</v>
      </c>
      <c r="R1377" s="86" t="s">
        <v>3513</v>
      </c>
      <c r="S1377" s="87" t="s">
        <v>351</v>
      </c>
      <c r="T1377" s="87" t="s">
        <v>3514</v>
      </c>
      <c r="U1377" s="88">
        <v>0</v>
      </c>
      <c r="V1377" s="88">
        <v>0</v>
      </c>
      <c r="W1377" s="88">
        <v>0</v>
      </c>
      <c r="X1377" s="88">
        <v>0</v>
      </c>
      <c r="Y1377" s="88">
        <v>0</v>
      </c>
      <c r="Z1377" s="88">
        <v>0</v>
      </c>
      <c r="AA1377" s="85">
        <v>43667</v>
      </c>
      <c r="AB1377" s="85">
        <v>43697</v>
      </c>
      <c r="AD1377" s="84">
        <v>0</v>
      </c>
      <c r="AG1377" s="84">
        <v>0</v>
      </c>
      <c r="AJ1377" s="84">
        <v>0</v>
      </c>
      <c r="AN1377" s="84" t="s">
        <v>338</v>
      </c>
      <c r="AY1377" s="132">
        <f>ROUNDDOWN((0.96*U1377),0)</f>
        <v>0</v>
      </c>
      <c r="AZ1377" s="132">
        <f>ROUNDDOWN(AY1377+(AY1377*MASTER!$A$2/100),0)</f>
        <v>0</v>
      </c>
      <c r="BA1377" s="84" t="s">
        <v>1045</v>
      </c>
      <c r="BB1377" s="88">
        <v>225000</v>
      </c>
      <c r="BC1377" s="88">
        <v>243000</v>
      </c>
      <c r="BD1377" s="84" t="s">
        <v>2849</v>
      </c>
      <c r="BG1377" s="88">
        <v>0</v>
      </c>
      <c r="BK1377" s="88">
        <v>0</v>
      </c>
      <c r="BS1377" s="88">
        <v>0</v>
      </c>
      <c r="BV1377" s="89">
        <v>0</v>
      </c>
      <c r="BW1377" s="89">
        <v>243000</v>
      </c>
      <c r="BX1377" s="89">
        <v>43703</v>
      </c>
      <c r="BY1377" s="89">
        <v>-243000</v>
      </c>
      <c r="BZ1377" s="112" t="s">
        <v>338</v>
      </c>
    </row>
    <row r="1378" spans="1:89" x14ac:dyDescent="0.15">
      <c r="A1378" s="84">
        <v>2</v>
      </c>
      <c r="B1378" s="85">
        <v>43717</v>
      </c>
      <c r="C1378" s="85">
        <v>43728</v>
      </c>
      <c r="D1378" s="85">
        <v>43748</v>
      </c>
      <c r="E1378" s="85">
        <v>43734</v>
      </c>
      <c r="F1378" s="85">
        <v>43735</v>
      </c>
      <c r="G1378" s="85">
        <v>43732</v>
      </c>
      <c r="H1378" s="85">
        <v>43731</v>
      </c>
      <c r="I1378" s="84" t="s">
        <v>401</v>
      </c>
      <c r="J1378" s="84">
        <v>1</v>
      </c>
      <c r="L1378" s="84">
        <v>0</v>
      </c>
      <c r="M1378" s="85">
        <v>43704</v>
      </c>
      <c r="N1378" s="85" t="s">
        <v>265</v>
      </c>
      <c r="O1378" s="86" t="s">
        <v>340</v>
      </c>
      <c r="P1378" s="84" t="s">
        <v>26</v>
      </c>
      <c r="Q1378" s="86" t="s">
        <v>120</v>
      </c>
      <c r="R1378" s="86" t="s">
        <v>3522</v>
      </c>
      <c r="S1378" s="87" t="s">
        <v>955</v>
      </c>
      <c r="T1378" s="87" t="s">
        <v>3523</v>
      </c>
      <c r="U1378" s="88">
        <v>50000</v>
      </c>
      <c r="V1378" s="88">
        <v>54000</v>
      </c>
      <c r="W1378" s="88">
        <v>47000</v>
      </c>
      <c r="X1378" s="88">
        <v>50760</v>
      </c>
      <c r="Y1378" s="88">
        <v>3000</v>
      </c>
      <c r="Z1378" s="88">
        <v>3240</v>
      </c>
      <c r="AA1378" s="85">
        <v>43727</v>
      </c>
      <c r="AB1378" s="85">
        <v>43728</v>
      </c>
      <c r="AC1378" s="85">
        <v>43728</v>
      </c>
      <c r="AD1378" s="84">
        <v>0</v>
      </c>
      <c r="AG1378" s="84">
        <v>0</v>
      </c>
      <c r="AJ1378" s="84">
        <v>0</v>
      </c>
      <c r="AM1378" s="84" t="s">
        <v>290</v>
      </c>
      <c r="AN1378" s="84" t="s">
        <v>3524</v>
      </c>
      <c r="AR1378" s="85">
        <v>43712</v>
      </c>
      <c r="AS1378" s="84">
        <v>6001708607</v>
      </c>
      <c r="AT1378" s="85">
        <v>43713</v>
      </c>
      <c r="AU1378" s="84" t="s">
        <v>3626</v>
      </c>
      <c r="AV1378" s="85">
        <v>43728</v>
      </c>
      <c r="AW1378" s="123">
        <v>43738</v>
      </c>
      <c r="AX1378" s="123">
        <v>43758</v>
      </c>
      <c r="AY1378" s="132">
        <v>48000</v>
      </c>
      <c r="AZ1378" s="132">
        <f>ROUNDDOWN(AY1378+(AY1378*MASTER!$A$2/100),0)</f>
        <v>51840</v>
      </c>
      <c r="BA1378" s="84" t="s">
        <v>400</v>
      </c>
      <c r="BB1378" s="88">
        <v>44000</v>
      </c>
      <c r="BC1378" s="88">
        <v>47520</v>
      </c>
      <c r="BD1378" s="84" t="s">
        <v>3431</v>
      </c>
      <c r="BG1378" s="88">
        <v>0</v>
      </c>
      <c r="BI1378" s="84" t="s">
        <v>434</v>
      </c>
      <c r="BJ1378" s="88">
        <v>1950</v>
      </c>
      <c r="BK1378" s="88">
        <v>2106</v>
      </c>
      <c r="BL1378" s="84" t="s">
        <v>3431</v>
      </c>
      <c r="BS1378" s="88">
        <v>0</v>
      </c>
      <c r="BV1378" s="89">
        <v>50760</v>
      </c>
      <c r="BW1378" s="89">
        <v>49626</v>
      </c>
      <c r="BX1378" s="89">
        <v>43704</v>
      </c>
      <c r="BY1378" s="89">
        <v>1134</v>
      </c>
      <c r="BZ1378" s="112">
        <v>2.2340425531914896</v>
      </c>
      <c r="CK1378" s="88">
        <v>0</v>
      </c>
    </row>
    <row r="1379" spans="1:89" x14ac:dyDescent="0.15">
      <c r="A1379" s="84">
        <v>2</v>
      </c>
      <c r="B1379" s="85">
        <v>43728</v>
      </c>
      <c r="C1379" s="85">
        <v>43739</v>
      </c>
      <c r="D1379" s="85">
        <v>43774</v>
      </c>
      <c r="E1379" s="85">
        <v>43753</v>
      </c>
      <c r="F1379" s="85">
        <v>43746</v>
      </c>
      <c r="G1379" s="85">
        <v>43739</v>
      </c>
      <c r="H1379" s="85">
        <v>43742</v>
      </c>
      <c r="I1379" s="84" t="s">
        <v>401</v>
      </c>
      <c r="J1379" s="84">
        <v>1</v>
      </c>
      <c r="L1379" s="84">
        <v>0</v>
      </c>
      <c r="M1379" s="85">
        <v>43704</v>
      </c>
      <c r="N1379" s="85" t="s">
        <v>265</v>
      </c>
      <c r="O1379" s="86" t="s">
        <v>340</v>
      </c>
      <c r="P1379" s="84" t="s">
        <v>26</v>
      </c>
      <c r="Q1379" s="86" t="s">
        <v>120</v>
      </c>
      <c r="R1379" s="86" t="s">
        <v>3745</v>
      </c>
      <c r="S1379" s="87" t="s">
        <v>3746</v>
      </c>
      <c r="T1379" s="87" t="s">
        <v>797</v>
      </c>
      <c r="U1379" s="88">
        <v>67000</v>
      </c>
      <c r="V1379" s="88">
        <v>72360</v>
      </c>
      <c r="W1379" s="88">
        <v>47000</v>
      </c>
      <c r="X1379" s="88">
        <v>50760</v>
      </c>
      <c r="Y1379" s="88">
        <v>20000</v>
      </c>
      <c r="Z1379" s="88">
        <v>21600</v>
      </c>
      <c r="AA1379" s="85">
        <v>43737</v>
      </c>
      <c r="AB1379" s="85">
        <v>43739</v>
      </c>
      <c r="AC1379" s="85">
        <v>43739</v>
      </c>
      <c r="AD1379" s="84">
        <v>0</v>
      </c>
      <c r="AG1379" s="84">
        <v>0</v>
      </c>
      <c r="AJ1379" s="84">
        <v>0</v>
      </c>
      <c r="AM1379" s="84" t="s">
        <v>290</v>
      </c>
      <c r="AN1379" s="84" t="s">
        <v>3747</v>
      </c>
      <c r="AR1379" s="85">
        <v>43726</v>
      </c>
      <c r="AS1379" s="84">
        <v>6001712986</v>
      </c>
      <c r="AT1379" s="85">
        <v>43727</v>
      </c>
      <c r="AU1379" s="84" t="s">
        <v>3737</v>
      </c>
      <c r="AV1379" s="85">
        <v>43739</v>
      </c>
      <c r="AW1379" s="123">
        <v>43769</v>
      </c>
      <c r="AX1379" s="123">
        <v>43789</v>
      </c>
      <c r="AY1379" s="132">
        <v>64320</v>
      </c>
      <c r="AZ1379" s="132">
        <f>ROUNDDOWN(AY1379+(AY1379*0.1),0)</f>
        <v>70752</v>
      </c>
      <c r="BA1379" s="84" t="s">
        <v>543</v>
      </c>
      <c r="BB1379" s="88">
        <v>32000</v>
      </c>
      <c r="BC1379" s="88">
        <v>34560</v>
      </c>
      <c r="BD1379" s="84" t="s">
        <v>188</v>
      </c>
      <c r="BG1379" s="88">
        <v>0</v>
      </c>
      <c r="BI1379" s="84" t="s">
        <v>434</v>
      </c>
      <c r="BJ1379" s="88">
        <v>13000</v>
      </c>
      <c r="BK1379" s="88">
        <f>ROUNDDOWN(BJ1379+(BJ1379*0.1),0)</f>
        <v>14300</v>
      </c>
      <c r="BL1379" s="84" t="s">
        <v>188</v>
      </c>
      <c r="BS1379" s="88">
        <v>0</v>
      </c>
      <c r="BV1379" s="89">
        <v>50760</v>
      </c>
      <c r="BW1379" s="89">
        <v>48600</v>
      </c>
      <c r="BX1379" s="89">
        <v>43704</v>
      </c>
      <c r="BY1379" s="89">
        <v>2160</v>
      </c>
      <c r="BZ1379" s="112">
        <v>4.2553191489361701</v>
      </c>
      <c r="CC1379" s="84">
        <v>2019</v>
      </c>
      <c r="CK1379" s="88">
        <v>0</v>
      </c>
    </row>
    <row r="1380" spans="1:89" s="151" customFormat="1" x14ac:dyDescent="0.15">
      <c r="A1380" s="141">
        <v>3</v>
      </c>
      <c r="B1380" s="142"/>
      <c r="C1380" s="142" t="s">
        <v>338</v>
      </c>
      <c r="D1380" s="142"/>
      <c r="E1380" s="142"/>
      <c r="F1380" s="142" t="s">
        <v>338</v>
      </c>
      <c r="G1380" s="142"/>
      <c r="H1380" s="142" t="s">
        <v>338</v>
      </c>
      <c r="I1380" s="141"/>
      <c r="J1380" s="141">
        <v>1</v>
      </c>
      <c r="K1380" s="142"/>
      <c r="L1380" s="141">
        <v>0</v>
      </c>
      <c r="M1380" s="142">
        <v>43704</v>
      </c>
      <c r="N1380" s="142" t="s">
        <v>265</v>
      </c>
      <c r="O1380" s="143" t="s">
        <v>340</v>
      </c>
      <c r="P1380" s="141" t="s">
        <v>26</v>
      </c>
      <c r="Q1380" s="143" t="s">
        <v>120</v>
      </c>
      <c r="R1380" s="143" t="s">
        <v>3931</v>
      </c>
      <c r="S1380" s="144" t="s">
        <v>1240</v>
      </c>
      <c r="T1380" s="144" t="s">
        <v>3932</v>
      </c>
      <c r="U1380" s="145">
        <v>190500</v>
      </c>
      <c r="V1380" s="145">
        <v>205740</v>
      </c>
      <c r="W1380" s="145">
        <v>102000</v>
      </c>
      <c r="X1380" s="145">
        <v>110160</v>
      </c>
      <c r="Y1380" s="145">
        <v>88500</v>
      </c>
      <c r="Z1380" s="145">
        <v>95580</v>
      </c>
      <c r="AA1380" s="142"/>
      <c r="AB1380" s="142"/>
      <c r="AC1380" s="142"/>
      <c r="AD1380" s="141">
        <v>0</v>
      </c>
      <c r="AE1380" s="141"/>
      <c r="AF1380" s="141"/>
      <c r="AG1380" s="141">
        <v>0</v>
      </c>
      <c r="AH1380" s="141"/>
      <c r="AI1380" s="141"/>
      <c r="AJ1380" s="141">
        <v>0</v>
      </c>
      <c r="AK1380" s="141"/>
      <c r="AL1380" s="141"/>
      <c r="AM1380" s="141" t="s">
        <v>290</v>
      </c>
      <c r="AN1380" s="141" t="s">
        <v>3933</v>
      </c>
      <c r="AO1380" s="142"/>
      <c r="AP1380" s="141"/>
      <c r="AQ1380" s="141"/>
      <c r="AR1380" s="142"/>
      <c r="AS1380" s="141"/>
      <c r="AT1380" s="142"/>
      <c r="AU1380" s="141"/>
      <c r="AV1380" s="142"/>
      <c r="AW1380" s="146"/>
      <c r="AX1380" s="146"/>
      <c r="AY1380" s="147">
        <v>182880</v>
      </c>
      <c r="AZ1380" s="147">
        <f>ROUNDDOWN(AY1380+(AY1380*MASTER!$A$2/100),0)</f>
        <v>197510</v>
      </c>
      <c r="BA1380" s="141"/>
      <c r="BB1380" s="145"/>
      <c r="BC1380" s="145">
        <v>0</v>
      </c>
      <c r="BD1380" s="141"/>
      <c r="BE1380" s="141"/>
      <c r="BF1380" s="145"/>
      <c r="BG1380" s="145">
        <v>0</v>
      </c>
      <c r="BH1380" s="141"/>
      <c r="BI1380" s="141"/>
      <c r="BJ1380" s="145"/>
      <c r="BK1380" s="145">
        <v>0</v>
      </c>
      <c r="BL1380" s="141"/>
      <c r="BM1380" s="145"/>
      <c r="BN1380" s="145"/>
      <c r="BO1380" s="145"/>
      <c r="BP1380" s="145"/>
      <c r="BQ1380" s="145"/>
      <c r="BR1380" s="145"/>
      <c r="BS1380" s="145">
        <v>0</v>
      </c>
      <c r="BT1380" s="148"/>
      <c r="BU1380" s="148"/>
      <c r="BV1380" s="149">
        <v>110160</v>
      </c>
      <c r="BW1380" s="149">
        <v>0</v>
      </c>
      <c r="BX1380" s="149">
        <v>43704</v>
      </c>
      <c r="BY1380" s="149">
        <v>110160</v>
      </c>
      <c r="BZ1380" s="150">
        <v>100</v>
      </c>
      <c r="CA1380" s="141"/>
      <c r="CB1380" s="141"/>
      <c r="CC1380" s="141"/>
      <c r="CD1380" s="144" t="s">
        <v>3937</v>
      </c>
      <c r="CE1380" s="142"/>
      <c r="CF1380" s="142"/>
      <c r="CG1380" s="142"/>
      <c r="CH1380" s="142"/>
      <c r="CI1380" s="142"/>
      <c r="CJ1380" s="142"/>
      <c r="CK1380" s="145">
        <v>0</v>
      </c>
    </row>
    <row r="1381" spans="1:89" x14ac:dyDescent="0.15">
      <c r="A1381" s="84">
        <v>2</v>
      </c>
      <c r="B1381" s="85">
        <v>43741</v>
      </c>
      <c r="C1381" s="85">
        <v>43761</v>
      </c>
      <c r="D1381" s="85">
        <v>43753</v>
      </c>
      <c r="E1381" s="85">
        <v>43756</v>
      </c>
      <c r="F1381" s="85">
        <v>43755</v>
      </c>
      <c r="G1381" s="85">
        <v>43754</v>
      </c>
      <c r="H1381" s="85">
        <v>43751</v>
      </c>
      <c r="I1381" s="84" t="s">
        <v>1191</v>
      </c>
      <c r="J1381" s="84">
        <v>1</v>
      </c>
      <c r="L1381" s="84">
        <v>0</v>
      </c>
      <c r="M1381" s="85">
        <v>43704</v>
      </c>
      <c r="N1381" s="85" t="s">
        <v>265</v>
      </c>
      <c r="O1381" s="86" t="s">
        <v>340</v>
      </c>
      <c r="P1381" s="84" t="s">
        <v>26</v>
      </c>
      <c r="Q1381" s="86" t="s">
        <v>120</v>
      </c>
      <c r="R1381" s="86" t="s">
        <v>3888</v>
      </c>
      <c r="S1381" s="87" t="s">
        <v>849</v>
      </c>
      <c r="T1381" s="87" t="s">
        <v>889</v>
      </c>
      <c r="U1381" s="88">
        <v>90500</v>
      </c>
      <c r="V1381" s="88">
        <v>97740</v>
      </c>
      <c r="W1381" s="88">
        <v>74500</v>
      </c>
      <c r="X1381" s="88">
        <v>80460</v>
      </c>
      <c r="Y1381" s="88">
        <v>16000</v>
      </c>
      <c r="Z1381" s="88">
        <v>17280</v>
      </c>
      <c r="AA1381" s="85">
        <v>43747</v>
      </c>
      <c r="AB1381" s="85">
        <v>43748</v>
      </c>
      <c r="AC1381" s="85">
        <v>43748</v>
      </c>
      <c r="AD1381" s="84">
        <v>0</v>
      </c>
      <c r="AG1381" s="84">
        <v>0</v>
      </c>
      <c r="AJ1381" s="84">
        <v>0</v>
      </c>
      <c r="AN1381" s="84" t="s">
        <v>338</v>
      </c>
      <c r="AR1381" s="85">
        <v>43706</v>
      </c>
      <c r="AS1381" s="84">
        <v>6001706922</v>
      </c>
      <c r="AT1381" s="85">
        <v>43706</v>
      </c>
      <c r="AU1381" s="84" t="s">
        <v>3584</v>
      </c>
      <c r="AV1381" s="85">
        <v>43761</v>
      </c>
      <c r="AW1381" s="123">
        <v>43769</v>
      </c>
      <c r="AX1381" s="123">
        <v>43789</v>
      </c>
      <c r="AY1381" s="132">
        <v>86880</v>
      </c>
      <c r="AZ1381" s="132">
        <f>ROUNDDOWN(AY1381+(AY1381*0.1),0)</f>
        <v>95568</v>
      </c>
      <c r="BA1381" s="84" t="s">
        <v>778</v>
      </c>
      <c r="BC1381" s="88">
        <v>0</v>
      </c>
      <c r="BG1381" s="88">
        <v>0</v>
      </c>
      <c r="BI1381" s="84" t="s">
        <v>276</v>
      </c>
      <c r="BJ1381" s="88">
        <v>10400</v>
      </c>
      <c r="BK1381" s="88">
        <f>ROUNDDOWN(BJ1381+(BJ1381*0.1),0)</f>
        <v>11440</v>
      </c>
      <c r="BL1381" s="84" t="s">
        <v>430</v>
      </c>
      <c r="BS1381" s="88">
        <v>0</v>
      </c>
      <c r="BV1381" s="89">
        <v>80460</v>
      </c>
      <c r="BW1381" s="89">
        <v>11232</v>
      </c>
      <c r="BX1381" s="89">
        <v>43704</v>
      </c>
      <c r="BY1381" s="89">
        <v>69228</v>
      </c>
      <c r="BZ1381" s="112">
        <v>86.040268456375841</v>
      </c>
      <c r="CC1381" s="84">
        <v>2019</v>
      </c>
      <c r="CK1381" s="88">
        <v>0</v>
      </c>
    </row>
    <row r="1382" spans="1:89" x14ac:dyDescent="0.15">
      <c r="A1382" s="84">
        <v>2</v>
      </c>
      <c r="B1382" s="85">
        <v>43711</v>
      </c>
      <c r="C1382" s="85">
        <v>43710</v>
      </c>
      <c r="D1382" s="85">
        <v>43748</v>
      </c>
      <c r="E1382" s="85">
        <v>43718</v>
      </c>
      <c r="F1382" s="85">
        <v>43717</v>
      </c>
      <c r="G1382" s="85">
        <v>43714</v>
      </c>
      <c r="H1382" s="85">
        <v>43713</v>
      </c>
      <c r="I1382" s="84" t="s">
        <v>401</v>
      </c>
      <c r="J1382" s="84">
        <v>2</v>
      </c>
      <c r="L1382" s="84">
        <v>0</v>
      </c>
      <c r="M1382" s="85">
        <v>43704</v>
      </c>
      <c r="N1382" s="85" t="s">
        <v>265</v>
      </c>
      <c r="O1382" s="86" t="s">
        <v>340</v>
      </c>
      <c r="P1382" s="84" t="s">
        <v>26</v>
      </c>
      <c r="Q1382" s="86" t="s">
        <v>120</v>
      </c>
      <c r="R1382" s="86" t="s">
        <v>3609</v>
      </c>
      <c r="S1382" s="87" t="s">
        <v>805</v>
      </c>
      <c r="T1382" s="87" t="s">
        <v>3537</v>
      </c>
      <c r="U1382" s="88">
        <v>47000</v>
      </c>
      <c r="V1382" s="88">
        <v>50760</v>
      </c>
      <c r="W1382" s="88">
        <v>47000</v>
      </c>
      <c r="X1382" s="88">
        <v>50760</v>
      </c>
      <c r="Z1382" s="88">
        <v>0</v>
      </c>
      <c r="AA1382" s="85">
        <v>43709</v>
      </c>
      <c r="AB1382" s="85">
        <v>43710</v>
      </c>
      <c r="AC1382" s="85">
        <v>43710</v>
      </c>
      <c r="AD1382" s="84">
        <v>0</v>
      </c>
      <c r="AG1382" s="84">
        <v>0</v>
      </c>
      <c r="AJ1382" s="84">
        <v>0</v>
      </c>
      <c r="AN1382" s="84" t="s">
        <v>338</v>
      </c>
      <c r="AR1382" s="85">
        <v>43710</v>
      </c>
      <c r="AS1382" s="84">
        <v>6001707598</v>
      </c>
      <c r="AT1382" s="85">
        <v>43710</v>
      </c>
      <c r="AU1382" s="84" t="s">
        <v>3596</v>
      </c>
      <c r="AV1382" s="85">
        <v>43710</v>
      </c>
      <c r="AW1382" s="123">
        <v>43738</v>
      </c>
      <c r="AX1382" s="123">
        <v>43758</v>
      </c>
      <c r="AY1382" s="132">
        <v>45120</v>
      </c>
      <c r="AZ1382" s="132">
        <v>48730</v>
      </c>
      <c r="BA1382" s="84" t="s">
        <v>286</v>
      </c>
      <c r="BB1382" s="88">
        <v>28000</v>
      </c>
      <c r="BC1382" s="88">
        <v>30240</v>
      </c>
      <c r="BD1382" s="84" t="s">
        <v>3431</v>
      </c>
      <c r="BG1382" s="88">
        <v>0</v>
      </c>
      <c r="BK1382" s="88">
        <v>0</v>
      </c>
      <c r="BS1382" s="88">
        <v>0</v>
      </c>
      <c r="BV1382" s="89">
        <v>50760</v>
      </c>
      <c r="BW1382" s="89">
        <v>30240</v>
      </c>
      <c r="BX1382" s="89">
        <v>43704</v>
      </c>
      <c r="BY1382" s="89">
        <v>20520</v>
      </c>
      <c r="BZ1382" s="112">
        <v>40.425531914893611</v>
      </c>
      <c r="CK1382" s="88">
        <v>0</v>
      </c>
    </row>
    <row r="1383" spans="1:89" x14ac:dyDescent="0.15">
      <c r="A1383" s="84">
        <v>2</v>
      </c>
      <c r="B1383" s="85">
        <v>43711</v>
      </c>
      <c r="C1383" s="85">
        <v>43710</v>
      </c>
      <c r="D1383" s="85">
        <v>43745</v>
      </c>
      <c r="E1383" s="85">
        <v>43718</v>
      </c>
      <c r="F1383" s="85">
        <v>43717</v>
      </c>
      <c r="G1383" s="85">
        <v>43710</v>
      </c>
      <c r="H1383" s="85">
        <v>43713</v>
      </c>
      <c r="I1383" s="84" t="s">
        <v>401</v>
      </c>
      <c r="J1383" s="84">
        <v>2</v>
      </c>
      <c r="L1383" s="84">
        <v>0</v>
      </c>
      <c r="M1383" s="85">
        <v>43704</v>
      </c>
      <c r="N1383" s="85" t="s">
        <v>265</v>
      </c>
      <c r="O1383" s="86" t="s">
        <v>340</v>
      </c>
      <c r="P1383" s="84" t="s">
        <v>26</v>
      </c>
      <c r="Q1383" s="86" t="s">
        <v>120</v>
      </c>
      <c r="R1383" s="86" t="s">
        <v>3605</v>
      </c>
      <c r="S1383" s="87" t="s">
        <v>3606</v>
      </c>
      <c r="T1383" s="87" t="s">
        <v>3607</v>
      </c>
      <c r="U1383" s="88">
        <v>47000</v>
      </c>
      <c r="V1383" s="88">
        <v>50760</v>
      </c>
      <c r="W1383" s="88">
        <v>47000</v>
      </c>
      <c r="X1383" s="88">
        <v>50760</v>
      </c>
      <c r="Z1383" s="88">
        <v>0</v>
      </c>
      <c r="AA1383" s="85">
        <v>43709</v>
      </c>
      <c r="AB1383" s="85">
        <v>43710</v>
      </c>
      <c r="AC1383" s="85">
        <v>43710</v>
      </c>
      <c r="AD1383" s="84">
        <v>0</v>
      </c>
      <c r="AG1383" s="84">
        <v>0</v>
      </c>
      <c r="AJ1383" s="84">
        <v>0</v>
      </c>
      <c r="AN1383" s="84" t="s">
        <v>338</v>
      </c>
      <c r="AR1383" s="85">
        <v>43707</v>
      </c>
      <c r="AS1383" s="84">
        <v>6001707275</v>
      </c>
      <c r="AT1383" s="85">
        <v>43707</v>
      </c>
      <c r="AU1383" s="84" t="s">
        <v>3587</v>
      </c>
      <c r="AV1383" s="85">
        <v>43710</v>
      </c>
      <c r="AW1383" s="123">
        <v>43738</v>
      </c>
      <c r="AX1383" s="123">
        <v>43758</v>
      </c>
      <c r="AY1383" s="132">
        <v>45120</v>
      </c>
      <c r="AZ1383" s="132">
        <v>48730</v>
      </c>
      <c r="BA1383" s="84" t="s">
        <v>543</v>
      </c>
      <c r="BB1383" s="88">
        <v>32000</v>
      </c>
      <c r="BC1383" s="88">
        <v>34560</v>
      </c>
      <c r="BD1383" s="84" t="s">
        <v>3431</v>
      </c>
      <c r="BG1383" s="88">
        <v>0</v>
      </c>
      <c r="BK1383" s="88">
        <v>0</v>
      </c>
      <c r="BS1383" s="88">
        <v>0</v>
      </c>
      <c r="BV1383" s="89">
        <v>50760</v>
      </c>
      <c r="BW1383" s="89">
        <v>34560</v>
      </c>
      <c r="BX1383" s="89">
        <v>43704</v>
      </c>
      <c r="BY1383" s="89">
        <v>16200</v>
      </c>
      <c r="BZ1383" s="112">
        <v>31.914893617021278</v>
      </c>
      <c r="CK1383" s="88">
        <v>0</v>
      </c>
    </row>
    <row r="1384" spans="1:89" x14ac:dyDescent="0.15">
      <c r="A1384" s="84">
        <v>2</v>
      </c>
      <c r="B1384" s="85">
        <v>43711</v>
      </c>
      <c r="C1384" s="85">
        <v>43711</v>
      </c>
      <c r="D1384" s="85">
        <v>43748</v>
      </c>
      <c r="E1384" s="85">
        <v>43718</v>
      </c>
      <c r="F1384" s="85">
        <v>43718</v>
      </c>
      <c r="G1384" s="85">
        <v>43714</v>
      </c>
      <c r="H1384" s="85">
        <v>43714</v>
      </c>
      <c r="I1384" s="84" t="s">
        <v>401</v>
      </c>
      <c r="J1384" s="84">
        <v>2</v>
      </c>
      <c r="L1384" s="84">
        <v>0</v>
      </c>
      <c r="M1384" s="85">
        <v>43704</v>
      </c>
      <c r="N1384" s="85" t="s">
        <v>265</v>
      </c>
      <c r="O1384" s="86" t="s">
        <v>340</v>
      </c>
      <c r="P1384" s="84" t="s">
        <v>26</v>
      </c>
      <c r="Q1384" s="86" t="s">
        <v>120</v>
      </c>
      <c r="R1384" s="86" t="s">
        <v>3610</v>
      </c>
      <c r="S1384" s="87" t="s">
        <v>550</v>
      </c>
      <c r="T1384" s="87" t="s">
        <v>3611</v>
      </c>
      <c r="U1384" s="88">
        <v>47000</v>
      </c>
      <c r="V1384" s="88">
        <v>50760</v>
      </c>
      <c r="W1384" s="88">
        <v>47000</v>
      </c>
      <c r="X1384" s="88">
        <v>50760</v>
      </c>
      <c r="Z1384" s="88">
        <v>0</v>
      </c>
      <c r="AA1384" s="85">
        <v>43710</v>
      </c>
      <c r="AB1384" s="85">
        <v>43711</v>
      </c>
      <c r="AC1384" s="85">
        <v>43711</v>
      </c>
      <c r="AD1384" s="84">
        <v>0</v>
      </c>
      <c r="AG1384" s="84">
        <v>0</v>
      </c>
      <c r="AJ1384" s="84">
        <v>0</v>
      </c>
      <c r="AN1384" s="84" t="s">
        <v>338</v>
      </c>
      <c r="AR1384" s="85">
        <v>43710</v>
      </c>
      <c r="AS1384" s="84">
        <v>6001707598</v>
      </c>
      <c r="AT1384" s="85">
        <v>43710</v>
      </c>
      <c r="AU1384" s="84" t="s">
        <v>3596</v>
      </c>
      <c r="AV1384" s="85">
        <v>43711</v>
      </c>
      <c r="AW1384" s="123">
        <v>43738</v>
      </c>
      <c r="AX1384" s="123">
        <v>43758</v>
      </c>
      <c r="AY1384" s="132">
        <v>45120</v>
      </c>
      <c r="AZ1384" s="132">
        <v>48730</v>
      </c>
      <c r="BA1384" s="84" t="s">
        <v>286</v>
      </c>
      <c r="BB1384" s="88">
        <v>26000</v>
      </c>
      <c r="BC1384" s="88">
        <v>28080</v>
      </c>
      <c r="BD1384" s="84" t="s">
        <v>3431</v>
      </c>
      <c r="BG1384" s="88">
        <v>0</v>
      </c>
      <c r="BK1384" s="88">
        <v>0</v>
      </c>
      <c r="BS1384" s="88">
        <v>0</v>
      </c>
      <c r="BV1384" s="89">
        <v>50760</v>
      </c>
      <c r="BW1384" s="89">
        <v>28080</v>
      </c>
      <c r="BX1384" s="89">
        <v>43704</v>
      </c>
      <c r="BY1384" s="89">
        <v>22680</v>
      </c>
      <c r="BZ1384" s="112">
        <v>44.680851063829785</v>
      </c>
      <c r="CK1384" s="88">
        <v>0</v>
      </c>
    </row>
    <row r="1385" spans="1:89" x14ac:dyDescent="0.15">
      <c r="A1385" s="84">
        <v>2</v>
      </c>
      <c r="B1385" s="85">
        <v>43714</v>
      </c>
      <c r="C1385" s="85">
        <v>43721</v>
      </c>
      <c r="D1385" s="85">
        <v>43748</v>
      </c>
      <c r="E1385" s="85">
        <v>43725</v>
      </c>
      <c r="F1385" s="85">
        <v>43728</v>
      </c>
      <c r="G1385" s="85">
        <v>43725</v>
      </c>
      <c r="H1385" s="85">
        <v>43724</v>
      </c>
      <c r="I1385" s="84" t="s">
        <v>401</v>
      </c>
      <c r="J1385" s="84">
        <v>2</v>
      </c>
      <c r="L1385" s="84">
        <v>0</v>
      </c>
      <c r="M1385" s="85">
        <v>43704</v>
      </c>
      <c r="N1385" s="85" t="s">
        <v>265</v>
      </c>
      <c r="O1385" s="86" t="s">
        <v>340</v>
      </c>
      <c r="P1385" s="84" t="s">
        <v>26</v>
      </c>
      <c r="Q1385" s="86" t="s">
        <v>120</v>
      </c>
      <c r="R1385" s="86" t="s">
        <v>3529</v>
      </c>
      <c r="S1385" s="87" t="s">
        <v>2629</v>
      </c>
      <c r="T1385" s="87" t="s">
        <v>3530</v>
      </c>
      <c r="U1385" s="88">
        <v>47000</v>
      </c>
      <c r="V1385" s="88">
        <v>50760</v>
      </c>
      <c r="W1385" s="88">
        <v>47000</v>
      </c>
      <c r="X1385" s="88">
        <v>50760</v>
      </c>
      <c r="Z1385" s="88">
        <v>0</v>
      </c>
      <c r="AA1385" s="85">
        <v>43720</v>
      </c>
      <c r="AB1385" s="85">
        <v>43721</v>
      </c>
      <c r="AC1385" s="85">
        <v>43721</v>
      </c>
      <c r="AD1385" s="84">
        <v>0</v>
      </c>
      <c r="AG1385" s="84">
        <v>0</v>
      </c>
      <c r="AJ1385" s="84">
        <v>0</v>
      </c>
      <c r="AN1385" s="84" t="s">
        <v>338</v>
      </c>
      <c r="AR1385" s="85">
        <v>43710</v>
      </c>
      <c r="AS1385" s="84">
        <v>6001707598</v>
      </c>
      <c r="AT1385" s="85">
        <v>43710</v>
      </c>
      <c r="AU1385" s="84" t="s">
        <v>3596</v>
      </c>
      <c r="AV1385" s="85">
        <v>43721</v>
      </c>
      <c r="AW1385" s="123">
        <v>43738</v>
      </c>
      <c r="AX1385" s="123">
        <v>43758</v>
      </c>
      <c r="AY1385" s="132">
        <v>45120</v>
      </c>
      <c r="AZ1385" s="132">
        <v>48730</v>
      </c>
      <c r="BA1385" s="84" t="s">
        <v>286</v>
      </c>
      <c r="BB1385" s="88">
        <v>26000</v>
      </c>
      <c r="BC1385" s="88">
        <v>28080</v>
      </c>
      <c r="BD1385" s="84" t="s">
        <v>3431</v>
      </c>
      <c r="BG1385" s="88">
        <v>0</v>
      </c>
      <c r="BK1385" s="88">
        <v>0</v>
      </c>
      <c r="BS1385" s="88">
        <v>0</v>
      </c>
      <c r="BV1385" s="89">
        <v>50760</v>
      </c>
      <c r="BW1385" s="89">
        <v>28080</v>
      </c>
      <c r="BX1385" s="89">
        <v>43704</v>
      </c>
      <c r="BY1385" s="89">
        <v>22680</v>
      </c>
      <c r="BZ1385" s="112">
        <v>44.680851063829785</v>
      </c>
      <c r="CK1385" s="88">
        <v>0</v>
      </c>
    </row>
    <row r="1386" spans="1:89" x14ac:dyDescent="0.15">
      <c r="A1386" s="84">
        <v>2</v>
      </c>
      <c r="B1386" s="85">
        <v>43714</v>
      </c>
      <c r="C1386" s="85">
        <v>43721</v>
      </c>
      <c r="D1386" s="85">
        <v>43748</v>
      </c>
      <c r="E1386" s="85">
        <v>43725</v>
      </c>
      <c r="F1386" s="85">
        <v>43728</v>
      </c>
      <c r="G1386" s="85">
        <v>43725</v>
      </c>
      <c r="H1386" s="85">
        <v>43724</v>
      </c>
      <c r="I1386" s="84" t="s">
        <v>401</v>
      </c>
      <c r="J1386" s="84">
        <v>2</v>
      </c>
      <c r="L1386" s="84">
        <v>0</v>
      </c>
      <c r="M1386" s="85">
        <v>43704</v>
      </c>
      <c r="N1386" s="85" t="s">
        <v>265</v>
      </c>
      <c r="O1386" s="86" t="s">
        <v>340</v>
      </c>
      <c r="P1386" s="84" t="s">
        <v>26</v>
      </c>
      <c r="Q1386" s="86" t="s">
        <v>120</v>
      </c>
      <c r="R1386" s="86" t="s">
        <v>3636</v>
      </c>
      <c r="S1386" s="87" t="s">
        <v>555</v>
      </c>
      <c r="T1386" s="87" t="s">
        <v>3637</v>
      </c>
      <c r="U1386" s="88">
        <v>47000</v>
      </c>
      <c r="V1386" s="88">
        <v>50760</v>
      </c>
      <c r="W1386" s="88">
        <v>47000</v>
      </c>
      <c r="X1386" s="88">
        <v>50760</v>
      </c>
      <c r="Z1386" s="88">
        <v>0</v>
      </c>
      <c r="AA1386" s="85">
        <v>43720</v>
      </c>
      <c r="AB1386" s="85">
        <v>43721</v>
      </c>
      <c r="AC1386" s="85">
        <v>43721</v>
      </c>
      <c r="AD1386" s="84">
        <v>0</v>
      </c>
      <c r="AG1386" s="84">
        <v>0</v>
      </c>
      <c r="AJ1386" s="84">
        <v>0</v>
      </c>
      <c r="AN1386" s="84" t="s">
        <v>338</v>
      </c>
      <c r="AR1386" s="85">
        <v>43710</v>
      </c>
      <c r="AS1386" s="84">
        <v>6001707598</v>
      </c>
      <c r="AT1386" s="85">
        <v>43710</v>
      </c>
      <c r="AU1386" s="84" t="s">
        <v>3596</v>
      </c>
      <c r="AV1386" s="85">
        <v>43721</v>
      </c>
      <c r="AW1386" s="123">
        <v>43738</v>
      </c>
      <c r="AX1386" s="123">
        <v>43758</v>
      </c>
      <c r="AY1386" s="132">
        <v>45120</v>
      </c>
      <c r="AZ1386" s="132">
        <v>48730</v>
      </c>
      <c r="BA1386" s="84" t="s">
        <v>286</v>
      </c>
      <c r="BB1386" s="88">
        <v>26000</v>
      </c>
      <c r="BC1386" s="88">
        <v>28080</v>
      </c>
      <c r="BD1386" s="84" t="s">
        <v>3431</v>
      </c>
      <c r="BG1386" s="88">
        <v>0</v>
      </c>
      <c r="BK1386" s="88">
        <v>0</v>
      </c>
      <c r="BS1386" s="88">
        <v>0</v>
      </c>
      <c r="BV1386" s="89">
        <v>50760</v>
      </c>
      <c r="BW1386" s="89">
        <v>28080</v>
      </c>
      <c r="BX1386" s="89">
        <v>43704</v>
      </c>
      <c r="BY1386" s="89">
        <v>22680</v>
      </c>
      <c r="BZ1386" s="112">
        <v>44.680851063829785</v>
      </c>
      <c r="CK1386" s="88">
        <v>0</v>
      </c>
    </row>
    <row r="1387" spans="1:89" x14ac:dyDescent="0.15">
      <c r="A1387" s="84">
        <v>1</v>
      </c>
      <c r="B1387" s="85">
        <v>43705</v>
      </c>
      <c r="C1387" s="85">
        <v>43706</v>
      </c>
      <c r="F1387" s="85" t="s">
        <v>338</v>
      </c>
      <c r="H1387" s="85" t="s">
        <v>338</v>
      </c>
      <c r="J1387" s="84">
        <v>2</v>
      </c>
      <c r="L1387" s="84">
        <v>0</v>
      </c>
      <c r="M1387" s="85">
        <v>43704</v>
      </c>
      <c r="N1387" s="85" t="s">
        <v>265</v>
      </c>
      <c r="O1387" s="86" t="s">
        <v>340</v>
      </c>
      <c r="P1387" s="84" t="s">
        <v>272</v>
      </c>
      <c r="Q1387" s="86" t="s">
        <v>120</v>
      </c>
      <c r="R1387" s="86" t="s">
        <v>3533</v>
      </c>
      <c r="S1387" s="87" t="s">
        <v>1091</v>
      </c>
      <c r="T1387" s="87" t="s">
        <v>3534</v>
      </c>
      <c r="U1387" s="88">
        <v>3000</v>
      </c>
      <c r="V1387" s="88">
        <v>3240</v>
      </c>
      <c r="W1387" s="88">
        <v>3000</v>
      </c>
      <c r="X1387" s="88">
        <v>3240</v>
      </c>
      <c r="Z1387" s="88">
        <v>0</v>
      </c>
      <c r="AD1387" s="84">
        <v>0</v>
      </c>
      <c r="AG1387" s="84">
        <v>0</v>
      </c>
      <c r="AJ1387" s="84">
        <v>0</v>
      </c>
      <c r="AR1387" s="85">
        <v>43705</v>
      </c>
      <c r="AS1387" s="84">
        <v>6001706492</v>
      </c>
      <c r="AT1387" s="85">
        <v>43705</v>
      </c>
      <c r="AU1387" s="84" t="s">
        <v>3540</v>
      </c>
      <c r="AV1387" s="85">
        <v>43706</v>
      </c>
      <c r="AW1387" s="123">
        <v>43708</v>
      </c>
      <c r="AX1387" s="123">
        <v>43728</v>
      </c>
      <c r="AY1387" s="132">
        <f>ROUNDDOWN((0.96*U1387),0)</f>
        <v>2880</v>
      </c>
      <c r="AZ1387" s="132">
        <f>ROUNDDOWN(AY1387+(AY1387*MASTER!$A$2/100),0)</f>
        <v>3110</v>
      </c>
      <c r="BC1387" s="88">
        <v>0</v>
      </c>
      <c r="BG1387" s="88">
        <v>0</v>
      </c>
      <c r="BK1387" s="88">
        <v>0</v>
      </c>
      <c r="BS1387" s="88">
        <v>0</v>
      </c>
      <c r="BV1387" s="89">
        <v>3240</v>
      </c>
      <c r="BW1387" s="89">
        <v>0</v>
      </c>
      <c r="BX1387" s="89">
        <v>43704</v>
      </c>
      <c r="BY1387" s="89">
        <v>3240</v>
      </c>
      <c r="BZ1387" s="112">
        <v>100</v>
      </c>
      <c r="CD1387" s="87" t="s">
        <v>3541</v>
      </c>
    </row>
    <row r="1388" spans="1:89" x14ac:dyDescent="0.15">
      <c r="A1388" s="84">
        <v>2</v>
      </c>
      <c r="B1388" s="85">
        <v>43728</v>
      </c>
      <c r="C1388" s="85">
        <v>43729</v>
      </c>
      <c r="D1388" s="85">
        <v>43745</v>
      </c>
      <c r="E1388" s="85">
        <v>43734</v>
      </c>
      <c r="F1388" s="85">
        <v>43736</v>
      </c>
      <c r="G1388" s="85">
        <v>43734</v>
      </c>
      <c r="H1388" s="85">
        <v>43732</v>
      </c>
      <c r="I1388" s="84" t="s">
        <v>401</v>
      </c>
      <c r="J1388" s="84">
        <v>1</v>
      </c>
      <c r="L1388" s="84">
        <v>0</v>
      </c>
      <c r="M1388" s="85">
        <v>43705</v>
      </c>
      <c r="N1388" s="85" t="s">
        <v>265</v>
      </c>
      <c r="O1388" s="86" t="s">
        <v>340</v>
      </c>
      <c r="P1388" s="84" t="s">
        <v>26</v>
      </c>
      <c r="Q1388" s="86" t="s">
        <v>120</v>
      </c>
      <c r="R1388" s="86" t="s">
        <v>3756</v>
      </c>
      <c r="S1388" s="87" t="s">
        <v>1154</v>
      </c>
      <c r="T1388" s="87" t="s">
        <v>3757</v>
      </c>
      <c r="U1388" s="88">
        <v>59000</v>
      </c>
      <c r="V1388" s="88">
        <v>63720</v>
      </c>
      <c r="W1388" s="88">
        <v>47000</v>
      </c>
      <c r="X1388" s="88">
        <v>50760</v>
      </c>
      <c r="Y1388" s="88">
        <v>12000</v>
      </c>
      <c r="Z1388" s="88">
        <v>12960</v>
      </c>
      <c r="AA1388" s="85">
        <v>43728</v>
      </c>
      <c r="AB1388" s="85">
        <v>43729</v>
      </c>
      <c r="AC1388" s="85">
        <v>43729</v>
      </c>
      <c r="AD1388" s="84">
        <v>0</v>
      </c>
      <c r="AG1388" s="84">
        <v>0</v>
      </c>
      <c r="AJ1388" s="84">
        <v>0</v>
      </c>
      <c r="AM1388" s="84" t="s">
        <v>290</v>
      </c>
      <c r="AN1388" s="84" t="s">
        <v>3758</v>
      </c>
      <c r="AR1388" s="85">
        <v>43726</v>
      </c>
      <c r="AS1388" s="84">
        <v>6001712983</v>
      </c>
      <c r="AT1388" s="85">
        <v>43727</v>
      </c>
      <c r="AU1388" s="84" t="s">
        <v>3736</v>
      </c>
      <c r="AV1388" s="85">
        <v>43729</v>
      </c>
      <c r="AW1388" s="123">
        <v>43738</v>
      </c>
      <c r="AX1388" s="123">
        <v>43758</v>
      </c>
      <c r="AY1388" s="132">
        <v>56640</v>
      </c>
      <c r="AZ1388" s="132">
        <f>ROUNDDOWN(AY1388+(AY1388*MASTER!$A$2/100),0)</f>
        <v>61171</v>
      </c>
      <c r="BA1388" s="84" t="s">
        <v>543</v>
      </c>
      <c r="BB1388" s="88">
        <v>26000</v>
      </c>
      <c r="BC1388" s="88">
        <v>28080</v>
      </c>
      <c r="BD1388" s="84" t="s">
        <v>3431</v>
      </c>
      <c r="BG1388" s="88">
        <v>0</v>
      </c>
      <c r="BI1388" s="84" t="s">
        <v>434</v>
      </c>
      <c r="BJ1388" s="88">
        <v>7800</v>
      </c>
      <c r="BK1388" s="88">
        <v>8424</v>
      </c>
      <c r="BL1388" s="84" t="s">
        <v>3431</v>
      </c>
      <c r="BS1388" s="88">
        <v>0</v>
      </c>
      <c r="BV1388" s="89">
        <v>50760</v>
      </c>
      <c r="BW1388" s="89">
        <v>36504</v>
      </c>
      <c r="BX1388" s="89">
        <v>43705</v>
      </c>
      <c r="BY1388" s="89">
        <v>14256</v>
      </c>
      <c r="BZ1388" s="112">
        <v>28.085106382978726</v>
      </c>
      <c r="CK1388" s="88">
        <v>0</v>
      </c>
    </row>
    <row r="1389" spans="1:89" x14ac:dyDescent="0.15">
      <c r="A1389" s="84">
        <v>2</v>
      </c>
      <c r="B1389" s="85">
        <v>43714</v>
      </c>
      <c r="C1389" s="85">
        <v>43721</v>
      </c>
      <c r="D1389" s="85">
        <v>43796</v>
      </c>
      <c r="E1389" s="85">
        <v>43741</v>
      </c>
      <c r="F1389" s="85">
        <v>43728</v>
      </c>
      <c r="G1389" s="85">
        <v>43721</v>
      </c>
      <c r="H1389" s="85">
        <v>43724</v>
      </c>
      <c r="I1389" s="84" t="s">
        <v>1191</v>
      </c>
      <c r="J1389" s="84">
        <v>1</v>
      </c>
      <c r="K1389" s="85">
        <v>43707</v>
      </c>
      <c r="L1389" s="84" t="s">
        <v>818</v>
      </c>
      <c r="M1389" s="85">
        <v>43705</v>
      </c>
      <c r="N1389" s="85" t="s">
        <v>265</v>
      </c>
      <c r="O1389" s="86" t="s">
        <v>340</v>
      </c>
      <c r="P1389" s="84" t="s">
        <v>26</v>
      </c>
      <c r="Q1389" s="86" t="s">
        <v>120</v>
      </c>
      <c r="R1389" s="86" t="s">
        <v>3578</v>
      </c>
      <c r="S1389" s="87" t="s">
        <v>558</v>
      </c>
      <c r="T1389" s="87" t="s">
        <v>3579</v>
      </c>
      <c r="U1389" s="88">
        <v>220000</v>
      </c>
      <c r="V1389" s="88">
        <v>237600</v>
      </c>
      <c r="W1389" s="88">
        <v>200000</v>
      </c>
      <c r="X1389" s="88">
        <v>216000</v>
      </c>
      <c r="Y1389" s="88">
        <v>20000</v>
      </c>
      <c r="Z1389" s="88">
        <v>21600</v>
      </c>
      <c r="AA1389" s="85">
        <v>43718</v>
      </c>
      <c r="AB1389" s="85">
        <v>43721</v>
      </c>
      <c r="AC1389" s="85">
        <v>43721</v>
      </c>
      <c r="AD1389" s="84">
        <v>0</v>
      </c>
      <c r="AG1389" s="84">
        <v>0</v>
      </c>
      <c r="AJ1389" s="84">
        <v>0</v>
      </c>
      <c r="AM1389" s="84" t="s">
        <v>290</v>
      </c>
      <c r="AN1389" s="84" t="s">
        <v>3580</v>
      </c>
      <c r="AR1389" s="85">
        <v>43712</v>
      </c>
      <c r="AS1389" s="84">
        <v>6001708607</v>
      </c>
      <c r="AT1389" s="85">
        <v>43713</v>
      </c>
      <c r="AU1389" s="84" t="s">
        <v>3626</v>
      </c>
      <c r="AV1389" s="85">
        <v>43721</v>
      </c>
      <c r="AW1389" s="123">
        <v>43738</v>
      </c>
      <c r="AX1389" s="123">
        <v>43758</v>
      </c>
      <c r="AY1389" s="132">
        <v>211200</v>
      </c>
      <c r="AZ1389" s="132">
        <f>ROUNDDOWN(AY1389+(AY1389*MASTER!$A$2/100),0)</f>
        <v>228096</v>
      </c>
      <c r="BA1389" s="84" t="s">
        <v>287</v>
      </c>
      <c r="BB1389" s="88">
        <v>68060</v>
      </c>
      <c r="BC1389" s="88">
        <v>73504.800000000003</v>
      </c>
      <c r="BD1389" s="84" t="s">
        <v>3431</v>
      </c>
      <c r="BG1389" s="88">
        <v>0</v>
      </c>
      <c r="BI1389" s="84" t="s">
        <v>434</v>
      </c>
      <c r="BJ1389" s="88">
        <v>7800</v>
      </c>
      <c r="BK1389" s="88">
        <v>8424</v>
      </c>
      <c r="BL1389" s="84" t="s">
        <v>3431</v>
      </c>
      <c r="BS1389" s="88">
        <v>0</v>
      </c>
      <c r="BV1389" s="89">
        <v>216000</v>
      </c>
      <c r="BW1389" s="89">
        <v>81928.800000000003</v>
      </c>
      <c r="BX1389" s="89">
        <v>0</v>
      </c>
      <c r="BY1389" s="89">
        <v>43707</v>
      </c>
      <c r="BZ1389" s="112">
        <v>62.07</v>
      </c>
      <c r="CK1389" s="88">
        <v>0</v>
      </c>
    </row>
    <row r="1390" spans="1:89" x14ac:dyDescent="0.15">
      <c r="A1390" s="84">
        <v>2</v>
      </c>
      <c r="B1390" s="85">
        <v>43777</v>
      </c>
      <c r="C1390" s="85">
        <v>43771</v>
      </c>
      <c r="D1390" s="85">
        <v>43843</v>
      </c>
      <c r="E1390" s="85">
        <v>43836</v>
      </c>
      <c r="F1390" s="85">
        <v>43777</v>
      </c>
      <c r="G1390" s="85">
        <v>43794</v>
      </c>
      <c r="H1390" s="85">
        <v>43773</v>
      </c>
      <c r="I1390" s="84" t="s">
        <v>1191</v>
      </c>
      <c r="J1390" s="84">
        <v>1</v>
      </c>
      <c r="L1390" s="84">
        <v>0</v>
      </c>
      <c r="M1390" s="85">
        <v>43705</v>
      </c>
      <c r="N1390" s="85" t="s">
        <v>265</v>
      </c>
      <c r="O1390" s="86" t="s">
        <v>340</v>
      </c>
      <c r="P1390" s="84" t="s">
        <v>26</v>
      </c>
      <c r="Q1390" s="86" t="s">
        <v>120</v>
      </c>
      <c r="R1390" s="86" t="s">
        <v>3919</v>
      </c>
      <c r="S1390" s="87" t="s">
        <v>1722</v>
      </c>
      <c r="T1390" s="87" t="s">
        <v>1938</v>
      </c>
      <c r="U1390" s="88">
        <v>559000</v>
      </c>
      <c r="V1390" s="88">
        <v>603720</v>
      </c>
      <c r="W1390" s="88">
        <v>539000</v>
      </c>
      <c r="X1390" s="88">
        <v>582120</v>
      </c>
      <c r="Y1390" s="88">
        <v>20000</v>
      </c>
      <c r="Z1390" s="88">
        <v>21600</v>
      </c>
      <c r="AA1390" s="85">
        <v>43767</v>
      </c>
      <c r="AB1390" s="85">
        <v>43770</v>
      </c>
      <c r="AC1390" s="85">
        <v>43770</v>
      </c>
      <c r="AD1390" s="84">
        <v>0</v>
      </c>
      <c r="AG1390" s="84">
        <v>0</v>
      </c>
      <c r="AJ1390" s="84">
        <v>0</v>
      </c>
      <c r="AM1390" s="84" t="s">
        <v>290</v>
      </c>
      <c r="AN1390" s="84" t="s">
        <v>3920</v>
      </c>
      <c r="AR1390" s="85">
        <v>43748</v>
      </c>
      <c r="AS1390" s="84">
        <v>6001720128</v>
      </c>
      <c r="AT1390" s="85">
        <v>43749</v>
      </c>
      <c r="AU1390" s="84" t="s">
        <v>3909</v>
      </c>
      <c r="AV1390" s="85">
        <v>43771</v>
      </c>
      <c r="AW1390" s="123">
        <v>43799</v>
      </c>
      <c r="AX1390" s="123">
        <v>43819</v>
      </c>
      <c r="AY1390" s="132">
        <v>536640</v>
      </c>
      <c r="AZ1390" s="132">
        <f>ROUNDDOWN(AY1390+(AY1390*[1]MASTER!$A$2/100),0)</f>
        <v>590304</v>
      </c>
      <c r="BA1390" s="84" t="s">
        <v>287</v>
      </c>
      <c r="BB1390" s="88">
        <v>358000</v>
      </c>
      <c r="BC1390" s="88">
        <v>386640</v>
      </c>
      <c r="BD1390" s="84" t="s">
        <v>189</v>
      </c>
      <c r="BG1390" s="88">
        <v>0</v>
      </c>
      <c r="BI1390" s="84" t="s">
        <v>434</v>
      </c>
      <c r="BJ1390" s="88">
        <v>13000</v>
      </c>
      <c r="BK1390" s="88">
        <v>14040</v>
      </c>
      <c r="BL1390" s="84" t="s">
        <v>190</v>
      </c>
      <c r="BS1390" s="88">
        <v>0</v>
      </c>
      <c r="BV1390" s="89">
        <v>582120</v>
      </c>
      <c r="BW1390" s="89">
        <v>400680</v>
      </c>
      <c r="BX1390" s="89">
        <v>43705</v>
      </c>
      <c r="BY1390" s="89">
        <v>181440</v>
      </c>
      <c r="BZ1390" s="112">
        <v>31.168831168831169</v>
      </c>
      <c r="CC1390" s="84">
        <v>2019</v>
      </c>
      <c r="CK1390" s="88">
        <v>0</v>
      </c>
    </row>
    <row r="1391" spans="1:89" x14ac:dyDescent="0.15">
      <c r="A1391" s="84">
        <v>1</v>
      </c>
      <c r="C1391" s="85" t="s">
        <v>338</v>
      </c>
      <c r="F1391" s="85" t="s">
        <v>338</v>
      </c>
      <c r="H1391" s="85" t="s">
        <v>338</v>
      </c>
      <c r="J1391" s="84">
        <v>2</v>
      </c>
      <c r="L1391" s="84">
        <v>0</v>
      </c>
      <c r="M1391" s="85">
        <v>43706</v>
      </c>
      <c r="N1391" s="85" t="s">
        <v>265</v>
      </c>
      <c r="O1391" s="86" t="s">
        <v>340</v>
      </c>
      <c r="P1391" s="84" t="s">
        <v>26</v>
      </c>
      <c r="Q1391" s="86" t="s">
        <v>120</v>
      </c>
      <c r="R1391" s="86" t="s">
        <v>3543</v>
      </c>
      <c r="S1391" s="87" t="s">
        <v>351</v>
      </c>
      <c r="T1391" s="87" t="s">
        <v>3573</v>
      </c>
      <c r="U1391" s="88">
        <v>325000</v>
      </c>
      <c r="V1391" s="88">
        <v>351000</v>
      </c>
      <c r="W1391" s="88">
        <v>325000</v>
      </c>
      <c r="X1391" s="88">
        <v>351000</v>
      </c>
      <c r="Z1391" s="88">
        <v>0</v>
      </c>
      <c r="AD1391" s="84">
        <v>0</v>
      </c>
      <c r="AG1391" s="84">
        <v>0</v>
      </c>
      <c r="AJ1391" s="84">
        <v>0</v>
      </c>
      <c r="AY1391" s="140">
        <f>U1391</f>
        <v>325000</v>
      </c>
      <c r="AZ1391" s="132">
        <f>ROUNDDOWN(AY1391+(AY1391*MASTER!$A$2/100),0)</f>
        <v>351000</v>
      </c>
      <c r="BC1391" s="88">
        <v>0</v>
      </c>
      <c r="BG1391" s="88">
        <v>0</v>
      </c>
      <c r="BK1391" s="88">
        <v>0</v>
      </c>
      <c r="BS1391" s="88">
        <v>0</v>
      </c>
      <c r="BV1391" s="89">
        <v>351000</v>
      </c>
      <c r="BW1391" s="89">
        <v>0</v>
      </c>
      <c r="BX1391" s="89">
        <v>43706</v>
      </c>
      <c r="BY1391" s="89">
        <v>351000</v>
      </c>
      <c r="BZ1391" s="112">
        <v>100</v>
      </c>
    </row>
    <row r="1392" spans="1:89" x14ac:dyDescent="0.15">
      <c r="A1392" s="84">
        <v>1</v>
      </c>
      <c r="C1392" s="85" t="s">
        <v>338</v>
      </c>
      <c r="F1392" s="85" t="s">
        <v>338</v>
      </c>
      <c r="H1392" s="85" t="s">
        <v>338</v>
      </c>
      <c r="J1392" s="84">
        <v>2</v>
      </c>
      <c r="L1392" s="84">
        <v>0</v>
      </c>
      <c r="M1392" s="85">
        <v>43706</v>
      </c>
      <c r="N1392" s="85" t="s">
        <v>265</v>
      </c>
      <c r="O1392" s="86" t="s">
        <v>340</v>
      </c>
      <c r="P1392" s="84" t="s">
        <v>26</v>
      </c>
      <c r="Q1392" s="86" t="s">
        <v>120</v>
      </c>
      <c r="R1392" s="86" t="s">
        <v>3544</v>
      </c>
      <c r="S1392" s="87" t="s">
        <v>351</v>
      </c>
      <c r="T1392" s="87" t="s">
        <v>3545</v>
      </c>
      <c r="U1392" s="88">
        <v>415000</v>
      </c>
      <c r="V1392" s="88">
        <v>448200</v>
      </c>
      <c r="W1392" s="88">
        <v>415000</v>
      </c>
      <c r="X1392" s="88">
        <v>448200</v>
      </c>
      <c r="Z1392" s="88">
        <v>0</v>
      </c>
      <c r="AD1392" s="84">
        <v>0</v>
      </c>
      <c r="AG1392" s="84">
        <v>0</v>
      </c>
      <c r="AJ1392" s="84">
        <v>0</v>
      </c>
      <c r="AY1392" s="140">
        <f>U1392</f>
        <v>415000</v>
      </c>
      <c r="AZ1392" s="132">
        <f>ROUNDDOWN(AY1392+(AY1392*MASTER!$A$2/100),0)</f>
        <v>448200</v>
      </c>
      <c r="BC1392" s="88">
        <v>0</v>
      </c>
      <c r="BG1392" s="88">
        <v>0</v>
      </c>
      <c r="BK1392" s="88">
        <v>0</v>
      </c>
      <c r="BS1392" s="88">
        <v>0</v>
      </c>
      <c r="BV1392" s="89">
        <v>448200</v>
      </c>
      <c r="BW1392" s="89">
        <v>0</v>
      </c>
      <c r="BX1392" s="89">
        <v>43706</v>
      </c>
      <c r="BY1392" s="89">
        <v>448200</v>
      </c>
      <c r="BZ1392" s="112">
        <v>100</v>
      </c>
    </row>
    <row r="1393" spans="1:89" x14ac:dyDescent="0.15">
      <c r="A1393" s="84">
        <v>1</v>
      </c>
      <c r="B1393" s="85">
        <v>43739</v>
      </c>
      <c r="C1393" s="85">
        <v>43768</v>
      </c>
      <c r="F1393" s="85" t="s">
        <v>338</v>
      </c>
      <c r="H1393" s="85" t="s">
        <v>338</v>
      </c>
      <c r="J1393" s="84">
        <v>2</v>
      </c>
      <c r="L1393" s="84">
        <v>0</v>
      </c>
      <c r="M1393" s="85">
        <v>43706</v>
      </c>
      <c r="N1393" s="85" t="s">
        <v>265</v>
      </c>
      <c r="O1393" s="86" t="s">
        <v>340</v>
      </c>
      <c r="P1393" s="84" t="s">
        <v>272</v>
      </c>
      <c r="Q1393" s="86" t="s">
        <v>120</v>
      </c>
      <c r="R1393" s="86" t="s">
        <v>3574</v>
      </c>
      <c r="S1393" s="87" t="s">
        <v>2248</v>
      </c>
      <c r="T1393" s="87" t="s">
        <v>3575</v>
      </c>
      <c r="U1393" s="88">
        <v>3000</v>
      </c>
      <c r="V1393" s="88">
        <v>3240</v>
      </c>
      <c r="W1393" s="88">
        <v>3000</v>
      </c>
      <c r="X1393" s="88">
        <v>3240</v>
      </c>
      <c r="Z1393" s="88">
        <v>0</v>
      </c>
      <c r="AD1393" s="84">
        <v>0</v>
      </c>
      <c r="AG1393" s="84">
        <v>0</v>
      </c>
      <c r="AJ1393" s="84">
        <v>0</v>
      </c>
      <c r="AR1393" s="85">
        <v>43727</v>
      </c>
      <c r="AS1393" s="84">
        <v>6001713551</v>
      </c>
      <c r="AT1393" s="85">
        <v>43727</v>
      </c>
      <c r="AU1393" s="84" t="s">
        <v>3857</v>
      </c>
      <c r="AV1393" s="85">
        <v>43768</v>
      </c>
      <c r="AW1393" s="123">
        <v>43769</v>
      </c>
      <c r="AX1393" s="123">
        <v>43789</v>
      </c>
      <c r="AY1393" s="132">
        <v>2880</v>
      </c>
      <c r="AZ1393" s="132">
        <f>ROUNDDOWN(AY1393+(AY1393*0.1),0)</f>
        <v>3168</v>
      </c>
      <c r="BC1393" s="88">
        <v>0</v>
      </c>
      <c r="BG1393" s="88">
        <v>0</v>
      </c>
      <c r="BK1393" s="88">
        <v>0</v>
      </c>
      <c r="BS1393" s="88">
        <v>0</v>
      </c>
      <c r="BV1393" s="89">
        <v>3240</v>
      </c>
      <c r="BW1393" s="89">
        <v>0</v>
      </c>
      <c r="BX1393" s="89">
        <v>43706</v>
      </c>
      <c r="BY1393" s="89">
        <v>3240</v>
      </c>
      <c r="BZ1393" s="112">
        <v>100</v>
      </c>
      <c r="CD1393" s="87" t="s">
        <v>3541</v>
      </c>
    </row>
    <row r="1394" spans="1:89" s="151" customFormat="1" x14ac:dyDescent="0.15">
      <c r="A1394" s="141">
        <v>3</v>
      </c>
      <c r="B1394" s="142"/>
      <c r="C1394" s="142" t="s">
        <v>338</v>
      </c>
      <c r="D1394" s="142"/>
      <c r="E1394" s="142"/>
      <c r="F1394" s="142" t="s">
        <v>338</v>
      </c>
      <c r="G1394" s="142"/>
      <c r="H1394" s="142" t="s">
        <v>338</v>
      </c>
      <c r="I1394" s="141"/>
      <c r="J1394" s="141">
        <v>2</v>
      </c>
      <c r="K1394" s="142"/>
      <c r="L1394" s="141">
        <v>0</v>
      </c>
      <c r="M1394" s="142">
        <v>43707</v>
      </c>
      <c r="N1394" s="142" t="s">
        <v>265</v>
      </c>
      <c r="O1394" s="143" t="s">
        <v>340</v>
      </c>
      <c r="P1394" s="141" t="s">
        <v>272</v>
      </c>
      <c r="Q1394" s="143" t="s">
        <v>120</v>
      </c>
      <c r="R1394" s="143" t="s">
        <v>3577</v>
      </c>
      <c r="S1394" s="144" t="s">
        <v>2021</v>
      </c>
      <c r="T1394" s="144" t="s">
        <v>3576</v>
      </c>
      <c r="U1394" s="145">
        <v>3000</v>
      </c>
      <c r="V1394" s="145">
        <v>3240</v>
      </c>
      <c r="W1394" s="145">
        <v>3000</v>
      </c>
      <c r="X1394" s="145">
        <v>3240</v>
      </c>
      <c r="Y1394" s="145"/>
      <c r="Z1394" s="145">
        <v>0</v>
      </c>
      <c r="AA1394" s="142">
        <v>43705</v>
      </c>
      <c r="AB1394" s="142"/>
      <c r="AC1394" s="142"/>
      <c r="AD1394" s="141">
        <v>0</v>
      </c>
      <c r="AE1394" s="141"/>
      <c r="AF1394" s="141"/>
      <c r="AG1394" s="141">
        <v>0</v>
      </c>
      <c r="AH1394" s="141"/>
      <c r="AI1394" s="141"/>
      <c r="AJ1394" s="141">
        <v>0</v>
      </c>
      <c r="AK1394" s="141"/>
      <c r="AL1394" s="141"/>
      <c r="AM1394" s="141"/>
      <c r="AN1394" s="141"/>
      <c r="AO1394" s="142"/>
      <c r="AP1394" s="141"/>
      <c r="AQ1394" s="141"/>
      <c r="AR1394" s="142"/>
      <c r="AS1394" s="141"/>
      <c r="AT1394" s="142"/>
      <c r="AU1394" s="141"/>
      <c r="AV1394" s="142"/>
      <c r="AW1394" s="146"/>
      <c r="AX1394" s="146"/>
      <c r="AY1394" s="147">
        <v>2880</v>
      </c>
      <c r="AZ1394" s="147">
        <f>ROUNDDOWN(AY1394+(AY1394*MASTER!$A$2/100),0)</f>
        <v>3110</v>
      </c>
      <c r="BA1394" s="141"/>
      <c r="BB1394" s="145"/>
      <c r="BC1394" s="145">
        <v>0</v>
      </c>
      <c r="BD1394" s="141"/>
      <c r="BE1394" s="141"/>
      <c r="BF1394" s="145"/>
      <c r="BG1394" s="145">
        <v>0</v>
      </c>
      <c r="BH1394" s="141"/>
      <c r="BI1394" s="141"/>
      <c r="BJ1394" s="145"/>
      <c r="BK1394" s="145">
        <v>0</v>
      </c>
      <c r="BL1394" s="141"/>
      <c r="BM1394" s="145"/>
      <c r="BN1394" s="145"/>
      <c r="BO1394" s="145"/>
      <c r="BP1394" s="145"/>
      <c r="BQ1394" s="145"/>
      <c r="BR1394" s="145"/>
      <c r="BS1394" s="145">
        <v>0</v>
      </c>
      <c r="BT1394" s="148"/>
      <c r="BU1394" s="148"/>
      <c r="BV1394" s="149">
        <v>3240</v>
      </c>
      <c r="BW1394" s="149">
        <v>0</v>
      </c>
      <c r="BX1394" s="149">
        <v>43707</v>
      </c>
      <c r="BY1394" s="149">
        <v>3240</v>
      </c>
      <c r="BZ1394" s="150">
        <v>100</v>
      </c>
      <c r="CA1394" s="141"/>
      <c r="CB1394" s="141"/>
      <c r="CC1394" s="141"/>
      <c r="CD1394" s="144" t="s">
        <v>3936</v>
      </c>
      <c r="CE1394" s="142"/>
      <c r="CF1394" s="142"/>
      <c r="CG1394" s="142"/>
      <c r="CH1394" s="142"/>
      <c r="CI1394" s="142"/>
      <c r="CJ1394" s="142"/>
      <c r="CK1394" s="145"/>
    </row>
    <row r="1395" spans="1:89" x14ac:dyDescent="0.15">
      <c r="A1395" s="84">
        <v>2</v>
      </c>
      <c r="B1395" s="85">
        <v>43720</v>
      </c>
      <c r="C1395" s="85">
        <v>43726</v>
      </c>
      <c r="D1395" s="85">
        <v>43748</v>
      </c>
      <c r="E1395" s="85">
        <v>43733</v>
      </c>
      <c r="F1395" s="85">
        <v>43733</v>
      </c>
      <c r="G1395" s="85">
        <v>43727</v>
      </c>
      <c r="H1395" s="85">
        <v>43729</v>
      </c>
      <c r="I1395" s="84" t="s">
        <v>401</v>
      </c>
      <c r="J1395" s="84">
        <v>1</v>
      </c>
      <c r="L1395" s="84">
        <v>0</v>
      </c>
      <c r="M1395" s="85">
        <v>43707</v>
      </c>
      <c r="N1395" s="85" t="s">
        <v>265</v>
      </c>
      <c r="O1395" s="86" t="s">
        <v>340</v>
      </c>
      <c r="P1395" s="84" t="s">
        <v>26</v>
      </c>
      <c r="Q1395" s="86" t="s">
        <v>120</v>
      </c>
      <c r="R1395" s="86" t="s">
        <v>3645</v>
      </c>
      <c r="S1395" s="87" t="s">
        <v>805</v>
      </c>
      <c r="T1395" s="87" t="s">
        <v>2864</v>
      </c>
      <c r="U1395" s="88">
        <v>180000</v>
      </c>
      <c r="V1395" s="88">
        <v>194400</v>
      </c>
      <c r="W1395" s="88">
        <v>115000</v>
      </c>
      <c r="X1395" s="88">
        <v>124200</v>
      </c>
      <c r="Y1395" s="88">
        <v>65000</v>
      </c>
      <c r="Z1395" s="88">
        <v>70200</v>
      </c>
      <c r="AA1395" s="85">
        <v>43725</v>
      </c>
      <c r="AB1395" s="85">
        <v>43726</v>
      </c>
      <c r="AC1395" s="85">
        <v>43726</v>
      </c>
      <c r="AD1395" s="84">
        <v>0</v>
      </c>
      <c r="AG1395" s="84">
        <v>0</v>
      </c>
      <c r="AJ1395" s="84">
        <v>0</v>
      </c>
      <c r="AN1395" s="84" t="s">
        <v>338</v>
      </c>
      <c r="AR1395" s="85">
        <v>43719</v>
      </c>
      <c r="AS1395" s="84">
        <v>6001711114</v>
      </c>
      <c r="AT1395" s="85">
        <v>43719</v>
      </c>
      <c r="AU1395" s="84" t="s">
        <v>3672</v>
      </c>
      <c r="AV1395" s="85">
        <v>43726</v>
      </c>
      <c r="AW1395" s="123">
        <v>43738</v>
      </c>
      <c r="AX1395" s="123">
        <v>43758</v>
      </c>
      <c r="AY1395" s="132">
        <v>172800</v>
      </c>
      <c r="AZ1395" s="132">
        <f>ROUNDDOWN(AY1395+(AY1395*MASTER!$A$2/100),0)</f>
        <v>186624</v>
      </c>
      <c r="BA1395" s="84" t="s">
        <v>286</v>
      </c>
      <c r="BB1395" s="88">
        <v>68000</v>
      </c>
      <c r="BC1395" s="88">
        <v>73440</v>
      </c>
      <c r="BD1395" s="84" t="s">
        <v>3431</v>
      </c>
      <c r="BG1395" s="88">
        <v>0</v>
      </c>
      <c r="BI1395" s="84" t="s">
        <v>434</v>
      </c>
      <c r="BJ1395" s="88">
        <v>42250</v>
      </c>
      <c r="BK1395" s="88">
        <v>45630</v>
      </c>
      <c r="BL1395" s="84" t="s">
        <v>3431</v>
      </c>
      <c r="BS1395" s="88">
        <v>0</v>
      </c>
      <c r="BV1395" s="89">
        <v>124200</v>
      </c>
      <c r="BW1395" s="89">
        <v>119070</v>
      </c>
      <c r="BX1395" s="89">
        <v>43707</v>
      </c>
      <c r="BY1395" s="89">
        <v>5130</v>
      </c>
      <c r="BZ1395" s="112">
        <v>4.1304347826086953</v>
      </c>
      <c r="CK1395" s="88">
        <v>0</v>
      </c>
    </row>
    <row r="1396" spans="1:89" x14ac:dyDescent="0.15">
      <c r="A1396" s="84">
        <v>2</v>
      </c>
      <c r="B1396" s="85">
        <v>43720</v>
      </c>
      <c r="C1396" s="85">
        <v>43726</v>
      </c>
      <c r="D1396" s="85">
        <v>43748</v>
      </c>
      <c r="E1396" s="85">
        <v>43733</v>
      </c>
      <c r="F1396" s="85">
        <v>43733</v>
      </c>
      <c r="G1396" s="85">
        <v>43727</v>
      </c>
      <c r="H1396" s="85">
        <v>43729</v>
      </c>
      <c r="I1396" s="84" t="s">
        <v>401</v>
      </c>
      <c r="J1396" s="84">
        <v>1</v>
      </c>
      <c r="L1396" s="84">
        <v>0</v>
      </c>
      <c r="M1396" s="85">
        <v>43707</v>
      </c>
      <c r="N1396" s="85" t="s">
        <v>265</v>
      </c>
      <c r="O1396" s="86" t="s">
        <v>340</v>
      </c>
      <c r="P1396" s="84" t="s">
        <v>26</v>
      </c>
      <c r="Q1396" s="86" t="s">
        <v>120</v>
      </c>
      <c r="R1396" s="86" t="s">
        <v>3646</v>
      </c>
      <c r="S1396" s="87" t="s">
        <v>805</v>
      </c>
      <c r="T1396" s="87" t="s">
        <v>2876</v>
      </c>
      <c r="U1396" s="88">
        <v>95000</v>
      </c>
      <c r="V1396" s="88">
        <v>102600</v>
      </c>
      <c r="W1396" s="88">
        <v>80000</v>
      </c>
      <c r="X1396" s="88">
        <v>86400</v>
      </c>
      <c r="Y1396" s="88">
        <v>15000</v>
      </c>
      <c r="Z1396" s="88">
        <v>16200</v>
      </c>
      <c r="AA1396" s="85">
        <v>43725</v>
      </c>
      <c r="AB1396" s="85">
        <v>43726</v>
      </c>
      <c r="AC1396" s="85">
        <v>43726</v>
      </c>
      <c r="AD1396" s="84">
        <v>0</v>
      </c>
      <c r="AG1396" s="84">
        <v>0</v>
      </c>
      <c r="AJ1396" s="84">
        <v>0</v>
      </c>
      <c r="AN1396" s="84" t="s">
        <v>338</v>
      </c>
      <c r="AR1396" s="85">
        <v>43719</v>
      </c>
      <c r="AS1396" s="84">
        <v>6001711114</v>
      </c>
      <c r="AT1396" s="85">
        <v>43719</v>
      </c>
      <c r="AU1396" s="84" t="s">
        <v>3672</v>
      </c>
      <c r="AV1396" s="85">
        <v>43726</v>
      </c>
      <c r="AW1396" s="123">
        <v>43738</v>
      </c>
      <c r="AX1396" s="123">
        <v>43758</v>
      </c>
      <c r="AY1396" s="132">
        <v>91200</v>
      </c>
      <c r="AZ1396" s="132">
        <f>ROUNDDOWN(AY1396+(AY1396*MASTER!$A$2/100),0)</f>
        <v>98496</v>
      </c>
      <c r="BA1396" s="84" t="s">
        <v>778</v>
      </c>
      <c r="BC1396" s="88">
        <v>0</v>
      </c>
      <c r="BG1396" s="88">
        <v>0</v>
      </c>
      <c r="BI1396" s="84" t="s">
        <v>434</v>
      </c>
      <c r="BJ1396" s="88">
        <v>9750</v>
      </c>
      <c r="BK1396" s="88">
        <v>10530</v>
      </c>
      <c r="BL1396" s="84" t="s">
        <v>3431</v>
      </c>
      <c r="BS1396" s="88">
        <v>0</v>
      </c>
      <c r="BV1396" s="89">
        <v>86400</v>
      </c>
      <c r="BW1396" s="89">
        <v>10530</v>
      </c>
      <c r="BX1396" s="89">
        <v>43707</v>
      </c>
      <c r="BY1396" s="89">
        <v>75870</v>
      </c>
      <c r="BZ1396" s="112">
        <v>87.8125</v>
      </c>
      <c r="CK1396" s="88">
        <v>0</v>
      </c>
    </row>
    <row r="1397" spans="1:89" x14ac:dyDescent="0.15">
      <c r="A1397" s="84">
        <v>2</v>
      </c>
      <c r="C1397" s="85" t="s">
        <v>338</v>
      </c>
      <c r="F1397" s="85" t="s">
        <v>338</v>
      </c>
      <c r="H1397" s="85" t="s">
        <v>338</v>
      </c>
      <c r="J1397" s="84">
        <v>4</v>
      </c>
      <c r="L1397" s="84">
        <v>0</v>
      </c>
      <c r="M1397" s="85">
        <v>43707</v>
      </c>
      <c r="N1397" s="85" t="s">
        <v>265</v>
      </c>
      <c r="O1397" s="86" t="s">
        <v>340</v>
      </c>
      <c r="P1397" s="84" t="s">
        <v>272</v>
      </c>
      <c r="Q1397" s="86" t="s">
        <v>120</v>
      </c>
      <c r="R1397" s="86" t="s">
        <v>3581</v>
      </c>
      <c r="S1397" s="87" t="s">
        <v>562</v>
      </c>
      <c r="T1397" s="87" t="s">
        <v>3582</v>
      </c>
      <c r="U1397" s="88">
        <v>0</v>
      </c>
      <c r="V1397" s="88">
        <v>0</v>
      </c>
      <c r="W1397" s="88">
        <v>0</v>
      </c>
      <c r="X1397" s="88">
        <v>0</v>
      </c>
      <c r="Y1397" s="88">
        <v>0</v>
      </c>
      <c r="Z1397" s="88">
        <v>0</v>
      </c>
      <c r="AD1397" s="84">
        <v>0</v>
      </c>
      <c r="AG1397" s="84">
        <v>0</v>
      </c>
      <c r="AJ1397" s="84">
        <v>0</v>
      </c>
      <c r="AN1397" s="84" t="s">
        <v>338</v>
      </c>
      <c r="AY1397" s="132">
        <f>ROUNDDOWN((0.96*U1397),0)</f>
        <v>0</v>
      </c>
      <c r="AZ1397" s="132">
        <f>ROUNDDOWN(AY1397+(AY1397*MASTER!$A$2/100),0)</f>
        <v>0</v>
      </c>
      <c r="BA1397" s="158" t="s">
        <v>1045</v>
      </c>
      <c r="BB1397" s="159">
        <v>50000</v>
      </c>
      <c r="BC1397" s="159">
        <v>54000</v>
      </c>
      <c r="BD1397" s="158" t="s">
        <v>3431</v>
      </c>
      <c r="BG1397" s="88">
        <v>0</v>
      </c>
      <c r="BK1397" s="88">
        <v>0</v>
      </c>
      <c r="BS1397" s="88">
        <v>0</v>
      </c>
      <c r="BV1397" s="89">
        <v>0</v>
      </c>
      <c r="BW1397" s="89">
        <v>54000</v>
      </c>
      <c r="BX1397" s="89">
        <v>43707</v>
      </c>
      <c r="BY1397" s="89">
        <v>-54000</v>
      </c>
      <c r="BZ1397" s="112" t="s">
        <v>338</v>
      </c>
    </row>
    <row r="1398" spans="1:89" x14ac:dyDescent="0.15">
      <c r="A1398" s="84">
        <v>2</v>
      </c>
      <c r="C1398" s="85" t="s">
        <v>338</v>
      </c>
      <c r="F1398" s="85" t="s">
        <v>338</v>
      </c>
      <c r="H1398" s="85" t="s">
        <v>338</v>
      </c>
      <c r="I1398" s="84" t="s">
        <v>380</v>
      </c>
      <c r="J1398" s="84">
        <v>4</v>
      </c>
      <c r="L1398" s="84">
        <v>0</v>
      </c>
      <c r="M1398" s="85">
        <v>43707</v>
      </c>
      <c r="N1398" s="85" t="s">
        <v>265</v>
      </c>
      <c r="O1398" s="86" t="s">
        <v>340</v>
      </c>
      <c r="P1398" s="84" t="s">
        <v>6</v>
      </c>
      <c r="Q1398" s="86" t="s">
        <v>120</v>
      </c>
      <c r="R1398" s="86" t="s">
        <v>3585</v>
      </c>
      <c r="S1398" s="87" t="s">
        <v>2617</v>
      </c>
      <c r="T1398" s="87" t="s">
        <v>2087</v>
      </c>
      <c r="U1398" s="88">
        <v>0</v>
      </c>
      <c r="V1398" s="88">
        <v>0</v>
      </c>
      <c r="W1398" s="88">
        <v>0</v>
      </c>
      <c r="X1398" s="88">
        <v>0</v>
      </c>
      <c r="Y1398" s="88">
        <v>0</v>
      </c>
      <c r="Z1398" s="88">
        <v>0</v>
      </c>
      <c r="AA1398" s="85">
        <v>43706</v>
      </c>
      <c r="AB1398" s="85">
        <v>43706</v>
      </c>
      <c r="AD1398" s="84">
        <v>0</v>
      </c>
      <c r="AG1398" s="84">
        <v>0</v>
      </c>
      <c r="AJ1398" s="84">
        <v>0</v>
      </c>
      <c r="AN1398" s="84" t="s">
        <v>338</v>
      </c>
      <c r="AY1398" s="132">
        <f>ROUNDDOWN((0.96*U1398),0)</f>
        <v>0</v>
      </c>
      <c r="AZ1398" s="132">
        <f>ROUNDDOWN(AY1398+(AY1398*MASTER!$A$2/100),0)</f>
        <v>0</v>
      </c>
      <c r="BA1398" s="84" t="s">
        <v>477</v>
      </c>
      <c r="BB1398" s="88">
        <v>25000</v>
      </c>
      <c r="BC1398" s="88">
        <v>27000</v>
      </c>
      <c r="BD1398" s="84" t="s">
        <v>3431</v>
      </c>
      <c r="BG1398" s="88">
        <v>0</v>
      </c>
      <c r="BK1398" s="88">
        <v>0</v>
      </c>
      <c r="BS1398" s="88">
        <v>0</v>
      </c>
      <c r="BV1398" s="89">
        <v>0</v>
      </c>
      <c r="BW1398" s="89">
        <v>27000</v>
      </c>
      <c r="BX1398" s="89">
        <v>43707</v>
      </c>
      <c r="BY1398" s="89">
        <v>-27000</v>
      </c>
      <c r="BZ1398" s="112" t="s">
        <v>338</v>
      </c>
    </row>
    <row r="1399" spans="1:89" x14ac:dyDescent="0.15">
      <c r="A1399" s="84">
        <v>1</v>
      </c>
      <c r="B1399" s="85">
        <v>43711</v>
      </c>
      <c r="C1399" s="85">
        <v>43713</v>
      </c>
      <c r="F1399" s="85" t="s">
        <v>338</v>
      </c>
      <c r="H1399" s="85" t="s">
        <v>338</v>
      </c>
      <c r="J1399" s="84">
        <v>2</v>
      </c>
      <c r="L1399" s="84">
        <v>0</v>
      </c>
      <c r="M1399" s="85">
        <v>43710</v>
      </c>
      <c r="N1399" s="85" t="s">
        <v>265</v>
      </c>
      <c r="O1399" s="86" t="s">
        <v>340</v>
      </c>
      <c r="P1399" s="84" t="s">
        <v>272</v>
      </c>
      <c r="Q1399" s="86" t="s">
        <v>46</v>
      </c>
      <c r="R1399" s="86" t="s">
        <v>3593</v>
      </c>
      <c r="S1399" s="87" t="s">
        <v>351</v>
      </c>
      <c r="T1399" s="87" t="s">
        <v>931</v>
      </c>
      <c r="U1399" s="88">
        <v>3500</v>
      </c>
      <c r="V1399" s="88">
        <v>3780</v>
      </c>
      <c r="W1399" s="88">
        <v>3500</v>
      </c>
      <c r="X1399" s="88">
        <v>3780</v>
      </c>
      <c r="Z1399" s="88">
        <v>0</v>
      </c>
      <c r="AD1399" s="84">
        <v>0</v>
      </c>
      <c r="AG1399" s="84">
        <v>0</v>
      </c>
      <c r="AJ1399" s="84">
        <v>0</v>
      </c>
      <c r="AR1399" s="85">
        <v>43710</v>
      </c>
      <c r="AS1399" s="84">
        <v>6001707574</v>
      </c>
      <c r="AT1399" s="85">
        <v>43710</v>
      </c>
      <c r="AU1399" s="84" t="s">
        <v>3603</v>
      </c>
      <c r="AV1399" s="85">
        <v>43713</v>
      </c>
      <c r="AW1399" s="123">
        <v>43738</v>
      </c>
      <c r="AX1399" s="123">
        <v>43758</v>
      </c>
      <c r="AY1399" s="132">
        <v>3360</v>
      </c>
      <c r="AZ1399" s="132">
        <v>3629</v>
      </c>
      <c r="BC1399" s="88">
        <v>0</v>
      </c>
      <c r="BG1399" s="88">
        <v>0</v>
      </c>
      <c r="BK1399" s="88">
        <v>0</v>
      </c>
      <c r="BS1399" s="88">
        <v>0</v>
      </c>
      <c r="BV1399" s="89">
        <v>3780</v>
      </c>
      <c r="BW1399" s="89">
        <v>0</v>
      </c>
      <c r="BX1399" s="89">
        <v>43710</v>
      </c>
      <c r="BY1399" s="89">
        <v>3780</v>
      </c>
      <c r="BZ1399" s="112">
        <v>100</v>
      </c>
      <c r="CK1399" s="88">
        <v>0</v>
      </c>
    </row>
    <row r="1400" spans="1:89" x14ac:dyDescent="0.15">
      <c r="A1400" s="84">
        <v>1</v>
      </c>
      <c r="B1400" s="85">
        <v>43711</v>
      </c>
      <c r="C1400" s="85">
        <v>43721</v>
      </c>
      <c r="F1400" s="85" t="s">
        <v>338</v>
      </c>
      <c r="H1400" s="85" t="s">
        <v>338</v>
      </c>
      <c r="J1400" s="84">
        <v>2</v>
      </c>
      <c r="L1400" s="84">
        <v>0</v>
      </c>
      <c r="M1400" s="85">
        <v>43710</v>
      </c>
      <c r="N1400" s="85" t="s">
        <v>265</v>
      </c>
      <c r="O1400" s="86" t="s">
        <v>340</v>
      </c>
      <c r="P1400" s="84" t="s">
        <v>78</v>
      </c>
      <c r="Q1400" s="86" t="s">
        <v>46</v>
      </c>
      <c r="R1400" s="86" t="s">
        <v>3594</v>
      </c>
      <c r="S1400" s="87" t="s">
        <v>407</v>
      </c>
      <c r="T1400" s="87" t="s">
        <v>408</v>
      </c>
      <c r="U1400" s="88">
        <v>8300</v>
      </c>
      <c r="V1400" s="88">
        <v>8964</v>
      </c>
      <c r="W1400" s="88">
        <v>8300</v>
      </c>
      <c r="X1400" s="88">
        <v>8964</v>
      </c>
      <c r="Z1400" s="88">
        <v>0</v>
      </c>
      <c r="AD1400" s="84">
        <v>0</v>
      </c>
      <c r="AG1400" s="84">
        <v>0</v>
      </c>
      <c r="AJ1400" s="84">
        <v>0</v>
      </c>
      <c r="AR1400" s="85">
        <v>43710</v>
      </c>
      <c r="AS1400" s="84">
        <v>6001707574</v>
      </c>
      <c r="AT1400" s="85">
        <v>43710</v>
      </c>
      <c r="AU1400" s="84" t="s">
        <v>3603</v>
      </c>
      <c r="AV1400" s="85">
        <v>43721</v>
      </c>
      <c r="AW1400" s="123">
        <v>43738</v>
      </c>
      <c r="AX1400" s="123">
        <v>43758</v>
      </c>
      <c r="AY1400" s="132">
        <v>7968</v>
      </c>
      <c r="AZ1400" s="132">
        <f>ROUNDDOWN(AY1400+(AY1400*MASTER!$A$2/100),0)</f>
        <v>8605</v>
      </c>
      <c r="BC1400" s="88">
        <v>0</v>
      </c>
      <c r="BG1400" s="88">
        <v>0</v>
      </c>
      <c r="BK1400" s="88">
        <v>0</v>
      </c>
      <c r="BS1400" s="88">
        <v>0</v>
      </c>
      <c r="BV1400" s="89">
        <v>8964</v>
      </c>
      <c r="BW1400" s="89">
        <v>0</v>
      </c>
      <c r="BX1400" s="89">
        <v>43710</v>
      </c>
      <c r="BY1400" s="89">
        <v>8964</v>
      </c>
      <c r="BZ1400" s="112">
        <v>100</v>
      </c>
      <c r="CK1400" s="88">
        <v>0</v>
      </c>
    </row>
    <row r="1401" spans="1:89" x14ac:dyDescent="0.15">
      <c r="A1401" s="84">
        <v>2</v>
      </c>
      <c r="B1401" s="85">
        <v>43714</v>
      </c>
      <c r="C1401" s="85">
        <v>43714</v>
      </c>
      <c r="D1401" s="85">
        <v>43718</v>
      </c>
      <c r="E1401" s="85">
        <v>43718</v>
      </c>
      <c r="F1401" s="85" t="s">
        <v>338</v>
      </c>
      <c r="G1401" s="85">
        <v>43718</v>
      </c>
      <c r="H1401" s="85" t="s">
        <v>338</v>
      </c>
      <c r="I1401" s="84" t="s">
        <v>380</v>
      </c>
      <c r="J1401" s="84">
        <v>2</v>
      </c>
      <c r="L1401" s="84">
        <v>0</v>
      </c>
      <c r="M1401" s="85">
        <v>43710</v>
      </c>
      <c r="N1401" s="85" t="s">
        <v>265</v>
      </c>
      <c r="O1401" s="86" t="s">
        <v>340</v>
      </c>
      <c r="P1401" s="84" t="s">
        <v>6</v>
      </c>
      <c r="Q1401" s="86" t="s">
        <v>46</v>
      </c>
      <c r="R1401" s="86" t="s">
        <v>3595</v>
      </c>
      <c r="S1401" s="87" t="s">
        <v>1270</v>
      </c>
      <c r="T1401" s="87" t="s">
        <v>342</v>
      </c>
      <c r="U1401" s="88">
        <v>35000</v>
      </c>
      <c r="V1401" s="88">
        <v>37800</v>
      </c>
      <c r="W1401" s="88">
        <v>35000</v>
      </c>
      <c r="X1401" s="88">
        <v>37800</v>
      </c>
      <c r="Z1401" s="88">
        <v>0</v>
      </c>
      <c r="AA1401" s="85">
        <v>43712</v>
      </c>
      <c r="AB1401" s="85">
        <v>43712</v>
      </c>
      <c r="AD1401" s="84">
        <v>0</v>
      </c>
      <c r="AG1401" s="84">
        <v>0</v>
      </c>
      <c r="AJ1401" s="84">
        <v>0</v>
      </c>
      <c r="AR1401" s="85">
        <v>43713</v>
      </c>
      <c r="AS1401" s="84">
        <v>6001708835</v>
      </c>
      <c r="AT1401" s="85">
        <v>43713</v>
      </c>
      <c r="AU1401" s="84" t="s">
        <v>3627</v>
      </c>
      <c r="AV1401" s="85">
        <v>43714</v>
      </c>
      <c r="AW1401" s="123">
        <v>43738</v>
      </c>
      <c r="AX1401" s="123">
        <v>43758</v>
      </c>
      <c r="AY1401" s="132">
        <v>33600</v>
      </c>
      <c r="AZ1401" s="132">
        <f>ROUNDDOWN(AY1401+(AY1401*MASTER!$A$2/100),0)</f>
        <v>36288</v>
      </c>
      <c r="BA1401" s="84" t="s">
        <v>543</v>
      </c>
      <c r="BB1401" s="88">
        <v>23000</v>
      </c>
      <c r="BC1401" s="88">
        <v>24840</v>
      </c>
      <c r="BD1401" s="84" t="s">
        <v>3431</v>
      </c>
      <c r="BG1401" s="88">
        <v>0</v>
      </c>
      <c r="BK1401" s="88">
        <v>0</v>
      </c>
      <c r="BS1401" s="88">
        <v>0</v>
      </c>
      <c r="BV1401" s="89">
        <v>37800</v>
      </c>
      <c r="BW1401" s="89">
        <v>24840</v>
      </c>
      <c r="BX1401" s="89">
        <v>43710</v>
      </c>
      <c r="BY1401" s="89">
        <v>12960</v>
      </c>
      <c r="BZ1401" s="112">
        <v>34.285714285714285</v>
      </c>
    </row>
    <row r="1402" spans="1:89" x14ac:dyDescent="0.15">
      <c r="A1402" s="84">
        <v>2</v>
      </c>
      <c r="B1402" s="85">
        <v>43714</v>
      </c>
      <c r="C1402" s="85">
        <v>43717</v>
      </c>
      <c r="D1402" s="85">
        <v>43718</v>
      </c>
      <c r="E1402" s="85">
        <v>43718</v>
      </c>
      <c r="F1402" s="85" t="s">
        <v>338</v>
      </c>
      <c r="G1402" s="85">
        <v>43718</v>
      </c>
      <c r="H1402" s="85" t="s">
        <v>338</v>
      </c>
      <c r="I1402" s="84" t="s">
        <v>380</v>
      </c>
      <c r="J1402" s="84">
        <v>2</v>
      </c>
      <c r="L1402" s="84">
        <v>0</v>
      </c>
      <c r="M1402" s="85">
        <v>43711</v>
      </c>
      <c r="N1402" s="85" t="s">
        <v>265</v>
      </c>
      <c r="O1402" s="86" t="s">
        <v>340</v>
      </c>
      <c r="P1402" s="84" t="s">
        <v>6</v>
      </c>
      <c r="Q1402" s="86" t="s">
        <v>46</v>
      </c>
      <c r="R1402" s="86" t="s">
        <v>3635</v>
      </c>
      <c r="S1402" s="87" t="s">
        <v>1900</v>
      </c>
      <c r="T1402" s="87" t="s">
        <v>342</v>
      </c>
      <c r="U1402" s="88">
        <v>35000</v>
      </c>
      <c r="V1402" s="88">
        <v>37800</v>
      </c>
      <c r="W1402" s="88">
        <v>35000</v>
      </c>
      <c r="X1402" s="88">
        <v>37800</v>
      </c>
      <c r="Z1402" s="88">
        <v>0</v>
      </c>
      <c r="AA1402" s="85">
        <v>43712</v>
      </c>
      <c r="AB1402" s="85">
        <v>43712</v>
      </c>
      <c r="AD1402" s="84">
        <v>0</v>
      </c>
      <c r="AG1402" s="84">
        <v>0</v>
      </c>
      <c r="AJ1402" s="84">
        <v>0</v>
      </c>
      <c r="AN1402" s="84" t="s">
        <v>338</v>
      </c>
      <c r="AR1402" s="85">
        <v>43713</v>
      </c>
      <c r="AS1402" s="84">
        <v>6001708835</v>
      </c>
      <c r="AT1402" s="85">
        <v>43713</v>
      </c>
      <c r="AU1402" s="84" t="s">
        <v>3627</v>
      </c>
      <c r="AV1402" s="85">
        <v>43717</v>
      </c>
      <c r="AW1402" s="123">
        <v>43738</v>
      </c>
      <c r="AX1402" s="123">
        <v>43758</v>
      </c>
      <c r="AY1402" s="132">
        <v>33600</v>
      </c>
      <c r="AZ1402" s="132">
        <f>ROUNDDOWN(AY1402+(AY1402*MASTER!$A$2/100),0)</f>
        <v>36288</v>
      </c>
      <c r="BA1402" s="84" t="s">
        <v>543</v>
      </c>
      <c r="BB1402" s="88">
        <v>26000</v>
      </c>
      <c r="BC1402" s="88">
        <v>28080</v>
      </c>
      <c r="BD1402" s="84" t="s">
        <v>3431</v>
      </c>
      <c r="BG1402" s="88">
        <v>0</v>
      </c>
      <c r="BK1402" s="88">
        <v>0</v>
      </c>
      <c r="BS1402" s="88">
        <v>0</v>
      </c>
      <c r="BV1402" s="89">
        <v>37800</v>
      </c>
      <c r="BW1402" s="89">
        <v>28080</v>
      </c>
      <c r="BX1402" s="89">
        <v>43711</v>
      </c>
      <c r="BY1402" s="89">
        <v>9720</v>
      </c>
      <c r="BZ1402" s="112">
        <v>25.714285714285712</v>
      </c>
      <c r="CK1402" s="88">
        <v>0</v>
      </c>
    </row>
    <row r="1403" spans="1:89" x14ac:dyDescent="0.15">
      <c r="A1403" s="84">
        <v>2</v>
      </c>
      <c r="B1403" s="85">
        <v>43739</v>
      </c>
      <c r="C1403" s="85">
        <v>43745</v>
      </c>
      <c r="E1403" s="85">
        <v>43753</v>
      </c>
      <c r="F1403" s="85">
        <v>43752</v>
      </c>
      <c r="G1403" s="85">
        <v>43745</v>
      </c>
      <c r="H1403" s="85">
        <v>43748</v>
      </c>
      <c r="I1403" s="84" t="s">
        <v>401</v>
      </c>
      <c r="J1403" s="84">
        <v>1</v>
      </c>
      <c r="L1403" s="84">
        <v>0</v>
      </c>
      <c r="M1403" s="85">
        <v>43711</v>
      </c>
      <c r="N1403" s="85" t="s">
        <v>265</v>
      </c>
      <c r="O1403" s="86" t="s">
        <v>340</v>
      </c>
      <c r="P1403" s="84" t="s">
        <v>26</v>
      </c>
      <c r="Q1403" s="86" t="s">
        <v>46</v>
      </c>
      <c r="R1403" s="86" t="s">
        <v>3854</v>
      </c>
      <c r="S1403" s="87" t="s">
        <v>830</v>
      </c>
      <c r="T1403" s="87" t="s">
        <v>1943</v>
      </c>
      <c r="U1403" s="88">
        <v>166500</v>
      </c>
      <c r="V1403" s="88">
        <v>179820</v>
      </c>
      <c r="W1403" s="88">
        <v>78000</v>
      </c>
      <c r="X1403" s="88">
        <v>84240</v>
      </c>
      <c r="Y1403" s="88">
        <v>88500</v>
      </c>
      <c r="Z1403" s="88">
        <v>95580</v>
      </c>
      <c r="AA1403" s="85">
        <v>43744</v>
      </c>
      <c r="AB1403" s="85">
        <v>43745</v>
      </c>
      <c r="AC1403" s="85">
        <v>43745</v>
      </c>
      <c r="AD1403" s="84">
        <v>0</v>
      </c>
      <c r="AG1403" s="84">
        <v>0</v>
      </c>
      <c r="AJ1403" s="84">
        <v>0</v>
      </c>
      <c r="AM1403" s="84" t="s">
        <v>290</v>
      </c>
      <c r="AN1403" s="84" t="s">
        <v>3855</v>
      </c>
      <c r="AR1403" s="85">
        <v>43738</v>
      </c>
      <c r="AS1403" s="84">
        <v>6001716390</v>
      </c>
      <c r="AT1403" s="85">
        <v>43738</v>
      </c>
      <c r="AU1403" s="84" t="s">
        <v>3853</v>
      </c>
      <c r="AV1403" s="85">
        <v>43745</v>
      </c>
      <c r="AW1403" s="123">
        <v>43769</v>
      </c>
      <c r="AX1403" s="123">
        <v>43789</v>
      </c>
      <c r="AY1403" s="132">
        <v>159840</v>
      </c>
      <c r="AZ1403" s="132">
        <f>ROUNDDOWN(AY1403+(AY1403*0.1),0)</f>
        <v>175824</v>
      </c>
      <c r="BA1403" s="84" t="s">
        <v>745</v>
      </c>
      <c r="BB1403" s="88">
        <v>28000</v>
      </c>
      <c r="BC1403" s="88">
        <f>ROUNDDOWN(BB1403+(BB1403*0.1),0)</f>
        <v>30800</v>
      </c>
      <c r="BD1403" s="84" t="s">
        <v>188</v>
      </c>
      <c r="BG1403" s="88">
        <v>0</v>
      </c>
      <c r="BI1403" s="84" t="s">
        <v>276</v>
      </c>
      <c r="BJ1403" s="88">
        <v>57525</v>
      </c>
      <c r="BK1403" s="88">
        <f>ROUNDDOWN(BJ1403+(BJ1403*0.1),0)</f>
        <v>63277</v>
      </c>
      <c r="BL1403" s="84" t="s">
        <v>430</v>
      </c>
      <c r="BS1403" s="88">
        <v>0</v>
      </c>
      <c r="BV1403" s="89">
        <v>84240</v>
      </c>
      <c r="BW1403" s="89">
        <v>92367</v>
      </c>
      <c r="BX1403" s="89">
        <v>43711</v>
      </c>
      <c r="BY1403" s="89">
        <v>-8127</v>
      </c>
      <c r="BZ1403" s="112">
        <v>-9.6474358974358978</v>
      </c>
      <c r="CC1403" s="84">
        <v>2019</v>
      </c>
      <c r="CK1403" s="88">
        <v>0</v>
      </c>
    </row>
    <row r="1404" spans="1:89" x14ac:dyDescent="0.15">
      <c r="A1404" s="84">
        <v>2</v>
      </c>
      <c r="B1404" s="85">
        <v>43738</v>
      </c>
      <c r="C1404" s="85">
        <v>43748</v>
      </c>
      <c r="D1404" s="85">
        <v>43774</v>
      </c>
      <c r="E1404" s="85">
        <v>43753</v>
      </c>
      <c r="F1404" s="85">
        <v>43755</v>
      </c>
      <c r="G1404" s="85">
        <v>43753</v>
      </c>
      <c r="H1404" s="85">
        <v>43751</v>
      </c>
      <c r="I1404" s="84" t="s">
        <v>401</v>
      </c>
      <c r="J1404" s="84">
        <v>1</v>
      </c>
      <c r="L1404" s="84">
        <v>0</v>
      </c>
      <c r="M1404" s="85">
        <v>43711</v>
      </c>
      <c r="N1404" s="85" t="s">
        <v>265</v>
      </c>
      <c r="O1404" s="86" t="s">
        <v>340</v>
      </c>
      <c r="P1404" s="84" t="s">
        <v>26</v>
      </c>
      <c r="Q1404" s="86" t="s">
        <v>46</v>
      </c>
      <c r="R1404" s="86" t="s">
        <v>3844</v>
      </c>
      <c r="S1404" s="87" t="s">
        <v>1758</v>
      </c>
      <c r="T1404" s="87" t="s">
        <v>3845</v>
      </c>
      <c r="U1404" s="88">
        <v>132000</v>
      </c>
      <c r="V1404" s="88">
        <v>142560</v>
      </c>
      <c r="W1404" s="88">
        <v>112000</v>
      </c>
      <c r="X1404" s="88">
        <v>120960</v>
      </c>
      <c r="Y1404" s="88">
        <v>20000</v>
      </c>
      <c r="Z1404" s="88">
        <v>21600</v>
      </c>
      <c r="AA1404" s="85">
        <v>43745</v>
      </c>
      <c r="AB1404" s="85">
        <v>43748</v>
      </c>
      <c r="AC1404" s="85">
        <v>43748</v>
      </c>
      <c r="AD1404" s="84">
        <v>0</v>
      </c>
      <c r="AG1404" s="84">
        <v>0</v>
      </c>
      <c r="AJ1404" s="84">
        <v>0</v>
      </c>
      <c r="AM1404" s="84" t="s">
        <v>290</v>
      </c>
      <c r="AN1404" s="84" t="s">
        <v>3846</v>
      </c>
      <c r="AR1404" s="85">
        <v>43734</v>
      </c>
      <c r="AS1404" s="84">
        <v>6001715920</v>
      </c>
      <c r="AT1404" s="85">
        <v>43735</v>
      </c>
      <c r="AU1404" s="84" t="s">
        <v>3830</v>
      </c>
      <c r="AV1404" s="85">
        <v>43748</v>
      </c>
      <c r="AW1404" s="123">
        <v>43769</v>
      </c>
      <c r="AX1404" s="123">
        <v>43789</v>
      </c>
      <c r="AY1404" s="132">
        <v>126720</v>
      </c>
      <c r="AZ1404" s="132">
        <f>ROUNDDOWN(AY1404+(AY1404*0.1),0)</f>
        <v>139392</v>
      </c>
      <c r="BA1404" s="84" t="s">
        <v>286</v>
      </c>
      <c r="BB1404" s="88">
        <v>60000</v>
      </c>
      <c r="BC1404" s="88">
        <v>64800</v>
      </c>
      <c r="BD1404" s="84" t="s">
        <v>188</v>
      </c>
      <c r="BG1404" s="88">
        <v>0</v>
      </c>
      <c r="BI1404" s="84" t="s">
        <v>434</v>
      </c>
      <c r="BJ1404" s="88">
        <v>13000</v>
      </c>
      <c r="BK1404" s="88">
        <f>ROUNDDOWN(BJ1404+(BJ1404*0.1),0)</f>
        <v>14300</v>
      </c>
      <c r="BL1404" s="84" t="s">
        <v>188</v>
      </c>
      <c r="BS1404" s="88">
        <v>0</v>
      </c>
      <c r="BV1404" s="89">
        <v>120960</v>
      </c>
      <c r="BW1404" s="89">
        <v>78840</v>
      </c>
      <c r="BX1404" s="89">
        <v>43711</v>
      </c>
      <c r="BY1404" s="89">
        <v>42120</v>
      </c>
      <c r="BZ1404" s="112">
        <v>34.821428571428569</v>
      </c>
      <c r="CC1404" s="84">
        <v>2019</v>
      </c>
      <c r="CK1404" s="88">
        <v>0</v>
      </c>
    </row>
    <row r="1405" spans="1:89" x14ac:dyDescent="0.15">
      <c r="A1405" s="84">
        <v>2</v>
      </c>
      <c r="B1405" s="85">
        <v>43738</v>
      </c>
      <c r="C1405" s="85">
        <v>43749</v>
      </c>
      <c r="D1405" s="85" t="s">
        <v>374</v>
      </c>
      <c r="E1405" s="85">
        <v>43754</v>
      </c>
      <c r="F1405" s="85">
        <v>43756</v>
      </c>
      <c r="G1405" s="85">
        <v>43753</v>
      </c>
      <c r="H1405" s="85">
        <v>43752</v>
      </c>
      <c r="I1405" s="84" t="s">
        <v>1191</v>
      </c>
      <c r="J1405" s="84">
        <v>1</v>
      </c>
      <c r="L1405" s="84">
        <v>0</v>
      </c>
      <c r="M1405" s="85">
        <v>43711</v>
      </c>
      <c r="N1405" s="85" t="s">
        <v>265</v>
      </c>
      <c r="O1405" s="86" t="s">
        <v>340</v>
      </c>
      <c r="P1405" s="84" t="s">
        <v>26</v>
      </c>
      <c r="Q1405" s="86" t="s">
        <v>46</v>
      </c>
      <c r="R1405" s="86" t="s">
        <v>3722</v>
      </c>
      <c r="S1405" s="87" t="s">
        <v>1737</v>
      </c>
      <c r="T1405" s="87" t="s">
        <v>794</v>
      </c>
      <c r="U1405" s="88">
        <v>23900</v>
      </c>
      <c r="V1405" s="88">
        <v>25812</v>
      </c>
      <c r="W1405" s="88">
        <v>14700</v>
      </c>
      <c r="X1405" s="88">
        <v>15876</v>
      </c>
      <c r="Y1405" s="88">
        <v>9200</v>
      </c>
      <c r="Z1405" s="88">
        <v>9936</v>
      </c>
      <c r="AA1405" s="85">
        <v>43747</v>
      </c>
      <c r="AB1405" s="85">
        <v>43749</v>
      </c>
      <c r="AC1405" s="85">
        <v>43749</v>
      </c>
      <c r="AD1405" s="84">
        <v>0</v>
      </c>
      <c r="AG1405" s="84">
        <v>0</v>
      </c>
      <c r="AJ1405" s="84">
        <v>0</v>
      </c>
      <c r="AM1405" s="84" t="s">
        <v>290</v>
      </c>
      <c r="AN1405" s="84" t="s">
        <v>3723</v>
      </c>
      <c r="AR1405" s="85">
        <v>43725</v>
      </c>
      <c r="AS1405" s="84">
        <v>6001712466</v>
      </c>
      <c r="AT1405" s="85">
        <v>43725</v>
      </c>
      <c r="AU1405" s="84" t="s">
        <v>3707</v>
      </c>
      <c r="AV1405" s="85">
        <v>43749</v>
      </c>
      <c r="AW1405" s="123">
        <v>43769</v>
      </c>
      <c r="AX1405" s="123">
        <v>43789</v>
      </c>
      <c r="AY1405" s="132">
        <v>22944</v>
      </c>
      <c r="AZ1405" s="132">
        <f>ROUNDDOWN(AY1405+(AY1405*0.1),0)</f>
        <v>25238</v>
      </c>
      <c r="BA1405" s="84" t="s">
        <v>778</v>
      </c>
      <c r="BC1405" s="88">
        <v>0</v>
      </c>
      <c r="BG1405" s="88">
        <v>0</v>
      </c>
      <c r="BI1405" s="84" t="s">
        <v>276</v>
      </c>
      <c r="BJ1405" s="88">
        <v>5980</v>
      </c>
      <c r="BK1405" s="88">
        <f>ROUNDDOWN(BJ1405+(BJ1405*0.1),0)</f>
        <v>6578</v>
      </c>
      <c r="BL1405" s="84" t="s">
        <v>430</v>
      </c>
      <c r="BS1405" s="88">
        <v>0</v>
      </c>
      <c r="BV1405" s="89">
        <v>15876</v>
      </c>
      <c r="BW1405" s="89">
        <v>6458.4</v>
      </c>
      <c r="BX1405" s="89">
        <v>43711</v>
      </c>
      <c r="BY1405" s="89">
        <v>9417.6</v>
      </c>
      <c r="BZ1405" s="112">
        <v>59.319727891156461</v>
      </c>
      <c r="CC1405" s="84">
        <v>2019</v>
      </c>
      <c r="CK1405" s="88">
        <v>0</v>
      </c>
    </row>
    <row r="1406" spans="1:89" x14ac:dyDescent="0.15">
      <c r="A1406" s="84">
        <v>1</v>
      </c>
      <c r="B1406" s="85">
        <v>43719</v>
      </c>
      <c r="C1406" s="85">
        <v>43727</v>
      </c>
      <c r="F1406" s="85" t="s">
        <v>338</v>
      </c>
      <c r="H1406" s="85" t="s">
        <v>338</v>
      </c>
      <c r="J1406" s="84">
        <v>2</v>
      </c>
      <c r="L1406" s="84">
        <v>0</v>
      </c>
      <c r="M1406" s="85">
        <v>43711</v>
      </c>
      <c r="N1406" s="85" t="s">
        <v>265</v>
      </c>
      <c r="O1406" s="86" t="s">
        <v>340</v>
      </c>
      <c r="P1406" s="84" t="s">
        <v>269</v>
      </c>
      <c r="Q1406" s="86" t="s">
        <v>46</v>
      </c>
      <c r="R1406" s="86" t="s">
        <v>3612</v>
      </c>
      <c r="S1406" s="87" t="s">
        <v>377</v>
      </c>
      <c r="T1406" s="87" t="s">
        <v>3613</v>
      </c>
      <c r="U1406" s="88">
        <v>66000</v>
      </c>
      <c r="V1406" s="88">
        <v>71280</v>
      </c>
      <c r="W1406" s="88">
        <v>66000</v>
      </c>
      <c r="X1406" s="88">
        <v>71280</v>
      </c>
      <c r="Z1406" s="88">
        <v>0</v>
      </c>
      <c r="AD1406" s="84">
        <v>0</v>
      </c>
      <c r="AG1406" s="84">
        <v>0</v>
      </c>
      <c r="AJ1406" s="84">
        <v>0</v>
      </c>
      <c r="AR1406" s="85">
        <v>43717</v>
      </c>
      <c r="AS1406" s="84">
        <v>6001710117</v>
      </c>
      <c r="AT1406" s="85">
        <v>43717</v>
      </c>
      <c r="AU1406" s="84" t="s">
        <v>3657</v>
      </c>
      <c r="AV1406" s="85">
        <v>43727</v>
      </c>
      <c r="AW1406" s="123">
        <v>43738</v>
      </c>
      <c r="AX1406" s="123">
        <v>43758</v>
      </c>
      <c r="AY1406" s="132">
        <v>63360</v>
      </c>
      <c r="AZ1406" s="132">
        <v>68429</v>
      </c>
      <c r="BC1406" s="88">
        <v>0</v>
      </c>
      <c r="BG1406" s="88">
        <v>0</v>
      </c>
      <c r="BK1406" s="88">
        <v>0</v>
      </c>
      <c r="BS1406" s="88">
        <v>0</v>
      </c>
      <c r="BV1406" s="89">
        <v>71280</v>
      </c>
      <c r="BW1406" s="89">
        <v>0</v>
      </c>
      <c r="BX1406" s="89">
        <v>43711</v>
      </c>
      <c r="BY1406" s="89">
        <v>71280</v>
      </c>
      <c r="BZ1406" s="112">
        <v>100</v>
      </c>
      <c r="CK1406" s="88">
        <v>0</v>
      </c>
    </row>
    <row r="1407" spans="1:89" x14ac:dyDescent="0.15">
      <c r="A1407" s="84">
        <v>1</v>
      </c>
      <c r="B1407" s="85">
        <v>43727</v>
      </c>
      <c r="C1407" s="85">
        <v>43728</v>
      </c>
      <c r="F1407" s="85" t="s">
        <v>338</v>
      </c>
      <c r="H1407" s="85" t="s">
        <v>338</v>
      </c>
      <c r="J1407" s="84">
        <v>2</v>
      </c>
      <c r="K1407" s="85">
        <v>43714</v>
      </c>
      <c r="L1407" s="84" t="s">
        <v>818</v>
      </c>
      <c r="M1407" s="85">
        <v>43711</v>
      </c>
      <c r="N1407" s="85" t="s">
        <v>265</v>
      </c>
      <c r="O1407" s="86" t="s">
        <v>340</v>
      </c>
      <c r="P1407" s="84" t="s">
        <v>26</v>
      </c>
      <c r="Q1407" s="86" t="s">
        <v>46</v>
      </c>
      <c r="R1407" s="86" t="s">
        <v>3628</v>
      </c>
      <c r="S1407" s="87" t="s">
        <v>351</v>
      </c>
      <c r="T1407" s="87" t="s">
        <v>3629</v>
      </c>
      <c r="U1407" s="88">
        <v>162500</v>
      </c>
      <c r="V1407" s="88">
        <v>175500</v>
      </c>
      <c r="W1407" s="88">
        <v>162500</v>
      </c>
      <c r="X1407" s="88">
        <v>175500</v>
      </c>
      <c r="Z1407" s="88">
        <v>0</v>
      </c>
      <c r="AA1407" s="85">
        <v>43717</v>
      </c>
      <c r="AB1407" s="85">
        <v>43728</v>
      </c>
      <c r="AD1407" s="84">
        <v>0</v>
      </c>
      <c r="AG1407" s="84">
        <v>0</v>
      </c>
      <c r="AJ1407" s="84">
        <v>0</v>
      </c>
      <c r="AN1407" s="84" t="s">
        <v>338</v>
      </c>
      <c r="AR1407" s="85">
        <v>43719</v>
      </c>
      <c r="AS1407" s="84">
        <v>6001711064</v>
      </c>
      <c r="AT1407" s="85">
        <v>43719</v>
      </c>
      <c r="AU1407" s="84" t="s">
        <v>3668</v>
      </c>
      <c r="AV1407" s="85">
        <v>43728</v>
      </c>
      <c r="AW1407" s="123">
        <v>43738</v>
      </c>
      <c r="AX1407" s="123">
        <v>43758</v>
      </c>
      <c r="AY1407" s="132">
        <v>156000</v>
      </c>
      <c r="AZ1407" s="132">
        <f>ROUNDDOWN(AY1407+(AY1407*MASTER!$A$2/100),0)</f>
        <v>168480</v>
      </c>
      <c r="BC1407" s="88">
        <v>0</v>
      </c>
      <c r="BG1407" s="88">
        <v>0</v>
      </c>
      <c r="BK1407" s="88">
        <v>0</v>
      </c>
      <c r="BS1407" s="88">
        <v>0</v>
      </c>
      <c r="BV1407" s="89">
        <v>175500</v>
      </c>
      <c r="BW1407" s="89">
        <v>0</v>
      </c>
      <c r="BX1407" s="89">
        <v>0</v>
      </c>
      <c r="BY1407" s="89">
        <v>43714</v>
      </c>
      <c r="BZ1407" s="112">
        <v>100</v>
      </c>
      <c r="CD1407" s="87" t="s">
        <v>3732</v>
      </c>
      <c r="CK1407" s="88">
        <v>0</v>
      </c>
    </row>
    <row r="1408" spans="1:89" x14ac:dyDescent="0.15">
      <c r="A1408" s="84">
        <v>1</v>
      </c>
      <c r="B1408" s="85">
        <v>43727</v>
      </c>
      <c r="C1408" s="85">
        <v>43728</v>
      </c>
      <c r="F1408" s="85" t="s">
        <v>338</v>
      </c>
      <c r="H1408" s="85" t="s">
        <v>338</v>
      </c>
      <c r="J1408" s="84">
        <v>2</v>
      </c>
      <c r="L1408" s="84">
        <v>0</v>
      </c>
      <c r="M1408" s="85">
        <v>43711</v>
      </c>
      <c r="N1408" s="85" t="s">
        <v>265</v>
      </c>
      <c r="O1408" s="86" t="s">
        <v>340</v>
      </c>
      <c r="P1408" s="84" t="s">
        <v>26</v>
      </c>
      <c r="Q1408" s="86" t="s">
        <v>46</v>
      </c>
      <c r="R1408" s="86" t="s">
        <v>3733</v>
      </c>
      <c r="S1408" s="87" t="s">
        <v>351</v>
      </c>
      <c r="T1408" s="87" t="s">
        <v>3734</v>
      </c>
      <c r="U1408" s="88">
        <v>125000</v>
      </c>
      <c r="V1408" s="88">
        <v>135000</v>
      </c>
      <c r="W1408" s="88">
        <v>125000</v>
      </c>
      <c r="X1408" s="88">
        <v>135000</v>
      </c>
      <c r="Z1408" s="88">
        <v>0</v>
      </c>
      <c r="AA1408" s="85">
        <v>43717</v>
      </c>
      <c r="AB1408" s="85">
        <v>43728</v>
      </c>
      <c r="AD1408" s="84">
        <v>0</v>
      </c>
      <c r="AG1408" s="84">
        <v>0</v>
      </c>
      <c r="AJ1408" s="84">
        <v>0</v>
      </c>
      <c r="AN1408" s="84" t="s">
        <v>338</v>
      </c>
      <c r="AR1408" s="85">
        <v>43719</v>
      </c>
      <c r="AS1408" s="84">
        <v>6001711064</v>
      </c>
      <c r="AT1408" s="85">
        <v>43719</v>
      </c>
      <c r="AU1408" s="84" t="s">
        <v>3668</v>
      </c>
      <c r="AV1408" s="85">
        <v>43728</v>
      </c>
      <c r="AW1408" s="123">
        <v>43738</v>
      </c>
      <c r="AX1408" s="123">
        <v>43758</v>
      </c>
      <c r="AY1408" s="132">
        <v>120000</v>
      </c>
      <c r="AZ1408" s="132">
        <f>ROUNDDOWN(AY1408+(AY1408*MASTER!$A$2/100),0)</f>
        <v>129600</v>
      </c>
      <c r="BC1408" s="88">
        <v>0</v>
      </c>
      <c r="BG1408" s="88">
        <v>0</v>
      </c>
      <c r="BK1408" s="88">
        <v>0</v>
      </c>
      <c r="BS1408" s="88">
        <v>0</v>
      </c>
      <c r="BV1408" s="89">
        <v>135000</v>
      </c>
      <c r="BW1408" s="89">
        <v>0</v>
      </c>
      <c r="BX1408" s="89">
        <v>43711</v>
      </c>
      <c r="BY1408" s="89">
        <v>135000</v>
      </c>
      <c r="BZ1408" s="112">
        <v>100</v>
      </c>
      <c r="CK1408" s="88">
        <v>0</v>
      </c>
    </row>
    <row r="1409" spans="1:89" x14ac:dyDescent="0.15">
      <c r="A1409" s="84">
        <v>1</v>
      </c>
      <c r="B1409" s="85">
        <v>43719</v>
      </c>
      <c r="C1409" s="85">
        <v>43728</v>
      </c>
      <c r="F1409" s="85" t="s">
        <v>338</v>
      </c>
      <c r="H1409" s="85" t="s">
        <v>338</v>
      </c>
      <c r="J1409" s="84">
        <v>2</v>
      </c>
      <c r="L1409" s="84">
        <v>0</v>
      </c>
      <c r="M1409" s="85">
        <v>43712</v>
      </c>
      <c r="N1409" s="85" t="s">
        <v>265</v>
      </c>
      <c r="O1409" s="86" t="s">
        <v>340</v>
      </c>
      <c r="P1409" s="84" t="s">
        <v>78</v>
      </c>
      <c r="Q1409" s="86" t="s">
        <v>46</v>
      </c>
      <c r="R1409" s="86" t="s">
        <v>3615</v>
      </c>
      <c r="S1409" s="87" t="s">
        <v>643</v>
      </c>
      <c r="T1409" s="87" t="s">
        <v>3571</v>
      </c>
      <c r="U1409" s="88">
        <v>65000</v>
      </c>
      <c r="V1409" s="88">
        <v>70200</v>
      </c>
      <c r="W1409" s="88">
        <v>65000</v>
      </c>
      <c r="X1409" s="88">
        <v>70200</v>
      </c>
      <c r="Z1409" s="88">
        <v>0</v>
      </c>
      <c r="AA1409" s="85">
        <v>43727</v>
      </c>
      <c r="AB1409" s="85">
        <v>43728</v>
      </c>
      <c r="AD1409" s="84">
        <v>0</v>
      </c>
      <c r="AG1409" s="84">
        <v>0</v>
      </c>
      <c r="AJ1409" s="84">
        <v>0</v>
      </c>
      <c r="AN1409" s="84" t="s">
        <v>338</v>
      </c>
      <c r="AR1409" s="85">
        <v>43717</v>
      </c>
      <c r="AS1409" s="84">
        <v>6001710116</v>
      </c>
      <c r="AT1409" s="85">
        <v>43717</v>
      </c>
      <c r="AU1409" s="84" t="s">
        <v>3656</v>
      </c>
      <c r="AV1409" s="85">
        <v>43728</v>
      </c>
      <c r="AW1409" s="123">
        <v>43738</v>
      </c>
      <c r="AX1409" s="123">
        <v>43758</v>
      </c>
      <c r="AY1409" s="132">
        <v>62400</v>
      </c>
      <c r="AZ1409" s="132">
        <f>ROUNDDOWN(AY1409+(AY1409*MASTER!$A$2/100),0)</f>
        <v>67392</v>
      </c>
      <c r="BC1409" s="88">
        <v>0</v>
      </c>
      <c r="BG1409" s="88">
        <v>0</v>
      </c>
      <c r="BK1409" s="88">
        <v>0</v>
      </c>
      <c r="BS1409" s="88">
        <v>0</v>
      </c>
      <c r="BV1409" s="89">
        <v>70200</v>
      </c>
      <c r="BW1409" s="89">
        <v>0</v>
      </c>
      <c r="BX1409" s="89">
        <v>43712</v>
      </c>
      <c r="BY1409" s="89">
        <v>70200</v>
      </c>
      <c r="BZ1409" s="112">
        <v>100</v>
      </c>
      <c r="CK1409" s="88">
        <v>0</v>
      </c>
    </row>
    <row r="1410" spans="1:89" x14ac:dyDescent="0.15">
      <c r="A1410" s="84">
        <v>1</v>
      </c>
      <c r="B1410" s="85">
        <v>43726</v>
      </c>
      <c r="C1410" s="85">
        <v>43729</v>
      </c>
      <c r="F1410" s="85" t="s">
        <v>338</v>
      </c>
      <c r="H1410" s="85" t="s">
        <v>338</v>
      </c>
      <c r="J1410" s="84">
        <v>2</v>
      </c>
      <c r="L1410" s="84">
        <v>0</v>
      </c>
      <c r="M1410" s="85">
        <v>43712</v>
      </c>
      <c r="N1410" s="85" t="s">
        <v>265</v>
      </c>
      <c r="O1410" s="86" t="s">
        <v>340</v>
      </c>
      <c r="P1410" s="84" t="s">
        <v>78</v>
      </c>
      <c r="Q1410" s="86" t="s">
        <v>46</v>
      </c>
      <c r="R1410" s="86" t="s">
        <v>3725</v>
      </c>
      <c r="S1410" s="87" t="s">
        <v>3688</v>
      </c>
      <c r="T1410" s="87" t="s">
        <v>495</v>
      </c>
      <c r="U1410" s="88">
        <v>65000</v>
      </c>
      <c r="V1410" s="88">
        <v>70200</v>
      </c>
      <c r="W1410" s="88">
        <v>65000</v>
      </c>
      <c r="X1410" s="88">
        <v>70200</v>
      </c>
      <c r="Z1410" s="88">
        <v>0</v>
      </c>
      <c r="AA1410" s="85">
        <v>43728</v>
      </c>
      <c r="AB1410" s="85">
        <v>43729</v>
      </c>
      <c r="AD1410" s="84">
        <v>0</v>
      </c>
      <c r="AG1410" s="84">
        <v>0</v>
      </c>
      <c r="AJ1410" s="84">
        <v>0</v>
      </c>
      <c r="AN1410" s="84" t="s">
        <v>338</v>
      </c>
      <c r="AR1410" s="85">
        <v>43720</v>
      </c>
      <c r="AS1410" s="84">
        <v>6001711559</v>
      </c>
      <c r="AT1410" s="85">
        <v>43725</v>
      </c>
      <c r="AU1410" s="84" t="s">
        <v>3709</v>
      </c>
      <c r="AV1410" s="85">
        <v>43729</v>
      </c>
      <c r="AW1410" s="123">
        <v>43738</v>
      </c>
      <c r="AX1410" s="123">
        <v>43758</v>
      </c>
      <c r="AY1410" s="132">
        <v>62400</v>
      </c>
      <c r="AZ1410" s="132">
        <f>ROUNDDOWN(AY1410+(AY1410*MASTER!$A$2/100),0)</f>
        <v>67392</v>
      </c>
      <c r="BC1410" s="88">
        <v>0</v>
      </c>
      <c r="BG1410" s="88">
        <v>0</v>
      </c>
      <c r="BK1410" s="88">
        <v>0</v>
      </c>
      <c r="BS1410" s="88">
        <v>0</v>
      </c>
      <c r="BV1410" s="89">
        <v>70200</v>
      </c>
      <c r="BW1410" s="89">
        <v>0</v>
      </c>
      <c r="BX1410" s="89">
        <v>43712</v>
      </c>
      <c r="BY1410" s="89">
        <v>70200</v>
      </c>
      <c r="BZ1410" s="112">
        <v>100</v>
      </c>
      <c r="CK1410" s="88">
        <v>0</v>
      </c>
    </row>
    <row r="1411" spans="1:89" x14ac:dyDescent="0.15">
      <c r="A1411" s="84">
        <v>1</v>
      </c>
      <c r="B1411" s="85">
        <v>43726</v>
      </c>
      <c r="C1411" s="85">
        <v>43736</v>
      </c>
      <c r="F1411" s="85" t="s">
        <v>338</v>
      </c>
      <c r="H1411" s="85" t="s">
        <v>338</v>
      </c>
      <c r="J1411" s="84">
        <v>2</v>
      </c>
      <c r="L1411" s="84">
        <v>0</v>
      </c>
      <c r="M1411" s="85">
        <v>43712</v>
      </c>
      <c r="N1411" s="85" t="s">
        <v>265</v>
      </c>
      <c r="O1411" s="86" t="s">
        <v>340</v>
      </c>
      <c r="P1411" s="84" t="s">
        <v>78</v>
      </c>
      <c r="Q1411" s="86" t="s">
        <v>46</v>
      </c>
      <c r="R1411" s="86" t="s">
        <v>3724</v>
      </c>
      <c r="S1411" s="87" t="s">
        <v>1053</v>
      </c>
      <c r="T1411" s="87" t="s">
        <v>491</v>
      </c>
      <c r="U1411" s="88">
        <v>65000</v>
      </c>
      <c r="V1411" s="88">
        <v>70200</v>
      </c>
      <c r="W1411" s="88">
        <v>65000</v>
      </c>
      <c r="X1411" s="88">
        <v>70200</v>
      </c>
      <c r="Z1411" s="88">
        <v>0</v>
      </c>
      <c r="AA1411" s="85">
        <v>43735</v>
      </c>
      <c r="AB1411" s="85">
        <v>43736</v>
      </c>
      <c r="AD1411" s="84">
        <v>0</v>
      </c>
      <c r="AG1411" s="84">
        <v>0</v>
      </c>
      <c r="AJ1411" s="84">
        <v>0</v>
      </c>
      <c r="AN1411" s="84" t="s">
        <v>338</v>
      </c>
      <c r="AR1411" s="85">
        <v>43725</v>
      </c>
      <c r="AS1411" s="84">
        <v>6001712507</v>
      </c>
      <c r="AT1411" s="85">
        <v>43725</v>
      </c>
      <c r="AU1411" s="84" t="s">
        <v>3708</v>
      </c>
      <c r="AV1411" s="85">
        <v>43736</v>
      </c>
      <c r="AW1411" s="123">
        <v>43738</v>
      </c>
      <c r="AX1411" s="123">
        <v>43758</v>
      </c>
      <c r="AY1411" s="132">
        <v>62400</v>
      </c>
      <c r="AZ1411" s="132">
        <f>ROUNDDOWN(AY1411+(AY1411*MASTER!$A$2/100),0)</f>
        <v>67392</v>
      </c>
      <c r="BC1411" s="88">
        <v>0</v>
      </c>
      <c r="BG1411" s="88">
        <v>0</v>
      </c>
      <c r="BK1411" s="88">
        <v>0</v>
      </c>
      <c r="BS1411" s="88">
        <v>0</v>
      </c>
      <c r="BV1411" s="89">
        <v>70200</v>
      </c>
      <c r="BW1411" s="89">
        <v>0</v>
      </c>
      <c r="BX1411" s="89">
        <v>43712</v>
      </c>
      <c r="BY1411" s="89">
        <v>70200</v>
      </c>
      <c r="BZ1411" s="112">
        <v>100</v>
      </c>
      <c r="CK1411" s="88">
        <v>0</v>
      </c>
    </row>
    <row r="1412" spans="1:89" x14ac:dyDescent="0.15">
      <c r="A1412" s="84">
        <v>2</v>
      </c>
      <c r="B1412" s="85">
        <v>43738</v>
      </c>
      <c r="C1412" s="85">
        <v>43741</v>
      </c>
      <c r="D1412" s="85">
        <v>43796</v>
      </c>
      <c r="E1412" s="85">
        <v>43754</v>
      </c>
      <c r="F1412" s="85">
        <v>43748</v>
      </c>
      <c r="G1412" s="85">
        <v>43745</v>
      </c>
      <c r="H1412" s="85">
        <v>43744</v>
      </c>
      <c r="I1412" s="84" t="s">
        <v>1191</v>
      </c>
      <c r="J1412" s="84">
        <v>2</v>
      </c>
      <c r="L1412" s="84">
        <v>0</v>
      </c>
      <c r="M1412" s="85">
        <v>43712</v>
      </c>
      <c r="N1412" s="85" t="s">
        <v>265</v>
      </c>
      <c r="O1412" s="86" t="s">
        <v>340</v>
      </c>
      <c r="P1412" s="84" t="s">
        <v>26</v>
      </c>
      <c r="Q1412" s="86" t="s">
        <v>46</v>
      </c>
      <c r="R1412" s="86" t="s">
        <v>3839</v>
      </c>
      <c r="S1412" s="87" t="s">
        <v>558</v>
      </c>
      <c r="T1412" s="87" t="s">
        <v>3840</v>
      </c>
      <c r="U1412" s="88">
        <v>126000</v>
      </c>
      <c r="V1412" s="88">
        <v>136080</v>
      </c>
      <c r="W1412" s="88">
        <v>126000</v>
      </c>
      <c r="X1412" s="88">
        <v>136080</v>
      </c>
      <c r="Z1412" s="88">
        <v>0</v>
      </c>
      <c r="AA1412" s="85">
        <v>43740</v>
      </c>
      <c r="AB1412" s="85">
        <v>43741</v>
      </c>
      <c r="AC1412" s="85">
        <v>43741</v>
      </c>
      <c r="AD1412" s="84">
        <v>0</v>
      </c>
      <c r="AG1412" s="84">
        <v>0</v>
      </c>
      <c r="AJ1412" s="84">
        <v>0</v>
      </c>
      <c r="AM1412" s="84" t="s">
        <v>290</v>
      </c>
      <c r="AN1412" s="84" t="s">
        <v>3841</v>
      </c>
      <c r="AR1412" s="85">
        <v>43734</v>
      </c>
      <c r="AS1412" s="84">
        <v>6001715920</v>
      </c>
      <c r="AT1412" s="85">
        <v>43735</v>
      </c>
      <c r="AU1412" s="84" t="s">
        <v>3830</v>
      </c>
      <c r="AV1412" s="85">
        <v>43741</v>
      </c>
      <c r="AW1412" s="123">
        <v>43769</v>
      </c>
      <c r="AX1412" s="123">
        <v>43789</v>
      </c>
      <c r="AY1412" s="132">
        <v>120960</v>
      </c>
      <c r="AZ1412" s="132">
        <f>ROUNDDOWN(AY1412+(AY1412*0.1),0)</f>
        <v>133056</v>
      </c>
      <c r="BA1412" s="84" t="s">
        <v>287</v>
      </c>
      <c r="BB1412" s="88">
        <v>60000</v>
      </c>
      <c r="BC1412" s="88">
        <v>64800</v>
      </c>
      <c r="BD1412" s="84" t="s">
        <v>188</v>
      </c>
      <c r="BG1412" s="88">
        <v>0</v>
      </c>
      <c r="BK1412" s="88">
        <v>0</v>
      </c>
      <c r="BS1412" s="88">
        <v>0</v>
      </c>
      <c r="BV1412" s="89">
        <v>136080</v>
      </c>
      <c r="BW1412" s="89">
        <v>64800</v>
      </c>
      <c r="BX1412" s="89">
        <v>43712</v>
      </c>
      <c r="BY1412" s="89">
        <v>71280</v>
      </c>
      <c r="BZ1412" s="112">
        <v>52.380952380952387</v>
      </c>
      <c r="CC1412" s="84">
        <v>2019</v>
      </c>
      <c r="CK1412" s="88">
        <v>0</v>
      </c>
    </row>
    <row r="1413" spans="1:89" x14ac:dyDescent="0.15">
      <c r="A1413" s="84">
        <v>2</v>
      </c>
      <c r="B1413" s="85">
        <v>43726</v>
      </c>
      <c r="C1413" s="85">
        <v>43738</v>
      </c>
      <c r="D1413" s="85">
        <v>43796</v>
      </c>
      <c r="E1413" s="85">
        <v>43741</v>
      </c>
      <c r="F1413" s="85">
        <v>43741</v>
      </c>
      <c r="G1413" s="85">
        <v>43734</v>
      </c>
      <c r="H1413" s="85">
        <v>43737</v>
      </c>
      <c r="I1413" s="84" t="s">
        <v>1191</v>
      </c>
      <c r="J1413" s="84">
        <v>2</v>
      </c>
      <c r="L1413" s="84">
        <v>0</v>
      </c>
      <c r="M1413" s="85">
        <v>43712</v>
      </c>
      <c r="N1413" s="85" t="s">
        <v>265</v>
      </c>
      <c r="O1413" s="86" t="s">
        <v>340</v>
      </c>
      <c r="P1413" s="84" t="s">
        <v>26</v>
      </c>
      <c r="Q1413" s="86" t="s">
        <v>46</v>
      </c>
      <c r="R1413" s="86" t="s">
        <v>3617</v>
      </c>
      <c r="S1413" s="87" t="s">
        <v>921</v>
      </c>
      <c r="T1413" s="87" t="s">
        <v>2994</v>
      </c>
      <c r="U1413" s="88">
        <v>100500</v>
      </c>
      <c r="V1413" s="88">
        <v>108540</v>
      </c>
      <c r="W1413" s="88">
        <v>100500</v>
      </c>
      <c r="X1413" s="88">
        <v>108540</v>
      </c>
      <c r="Z1413" s="88">
        <v>0</v>
      </c>
      <c r="AA1413" s="85">
        <v>43733</v>
      </c>
      <c r="AB1413" s="85">
        <v>43733</v>
      </c>
      <c r="AC1413" s="85">
        <v>43734</v>
      </c>
      <c r="AD1413" s="84">
        <v>0</v>
      </c>
      <c r="AG1413" s="84">
        <v>0</v>
      </c>
      <c r="AJ1413" s="84">
        <v>0</v>
      </c>
      <c r="AR1413" s="85">
        <v>43720</v>
      </c>
      <c r="AS1413" s="84">
        <v>6001711559</v>
      </c>
      <c r="AT1413" s="85">
        <v>43725</v>
      </c>
      <c r="AU1413" s="84" t="s">
        <v>3709</v>
      </c>
      <c r="AV1413" s="85">
        <v>43738</v>
      </c>
      <c r="AW1413" s="123">
        <v>43738</v>
      </c>
      <c r="AX1413" s="123">
        <v>43758</v>
      </c>
      <c r="AY1413" s="132">
        <v>96480</v>
      </c>
      <c r="AZ1413" s="132">
        <f>ROUNDDOWN(AY1413+(AY1413*MASTER!$A$2/100),0)</f>
        <v>104198</v>
      </c>
      <c r="BA1413" s="84" t="s">
        <v>287</v>
      </c>
      <c r="BB1413" s="88">
        <v>41000</v>
      </c>
      <c r="BC1413" s="88">
        <v>44280</v>
      </c>
      <c r="BD1413" s="84" t="s">
        <v>3431</v>
      </c>
      <c r="BG1413" s="88">
        <v>0</v>
      </c>
      <c r="BK1413" s="88">
        <v>0</v>
      </c>
      <c r="BS1413" s="88">
        <v>0</v>
      </c>
      <c r="BV1413" s="89">
        <v>108540</v>
      </c>
      <c r="BW1413" s="89">
        <v>44280</v>
      </c>
      <c r="BX1413" s="89">
        <v>43712</v>
      </c>
      <c r="BY1413" s="89">
        <v>64260</v>
      </c>
      <c r="BZ1413" s="112">
        <v>59.203980099502488</v>
      </c>
    </row>
    <row r="1414" spans="1:89" x14ac:dyDescent="0.15">
      <c r="A1414" s="84">
        <v>1</v>
      </c>
      <c r="B1414" s="85">
        <v>43727</v>
      </c>
      <c r="C1414" s="85">
        <v>43728</v>
      </c>
      <c r="F1414" s="85" t="s">
        <v>338</v>
      </c>
      <c r="H1414" s="85" t="s">
        <v>338</v>
      </c>
      <c r="J1414" s="84">
        <v>2</v>
      </c>
      <c r="K1414" s="85">
        <v>43714</v>
      </c>
      <c r="L1414" s="84" t="s">
        <v>818</v>
      </c>
      <c r="M1414" s="85">
        <v>43712</v>
      </c>
      <c r="N1414" s="85" t="s">
        <v>265</v>
      </c>
      <c r="O1414" s="86" t="s">
        <v>340</v>
      </c>
      <c r="P1414" s="84" t="s">
        <v>26</v>
      </c>
      <c r="Q1414" s="86" t="s">
        <v>46</v>
      </c>
      <c r="R1414" s="86" t="s">
        <v>3619</v>
      </c>
      <c r="S1414" s="87" t="s">
        <v>351</v>
      </c>
      <c r="T1414" s="87" t="s">
        <v>3620</v>
      </c>
      <c r="U1414" s="88">
        <v>275000</v>
      </c>
      <c r="V1414" s="88">
        <v>297000</v>
      </c>
      <c r="W1414" s="88">
        <v>275000</v>
      </c>
      <c r="X1414" s="88">
        <v>297000</v>
      </c>
      <c r="Z1414" s="88">
        <v>0</v>
      </c>
      <c r="AA1414" s="85">
        <v>43712</v>
      </c>
      <c r="AB1414" s="85">
        <v>43721</v>
      </c>
      <c r="AD1414" s="84">
        <v>0</v>
      </c>
      <c r="AG1414" s="84">
        <v>0</v>
      </c>
      <c r="AJ1414" s="84">
        <v>0</v>
      </c>
      <c r="AR1414" s="85">
        <v>43719</v>
      </c>
      <c r="AS1414" s="84">
        <v>6001711113</v>
      </c>
      <c r="AT1414" s="85">
        <v>43719</v>
      </c>
      <c r="AU1414" s="84" t="s">
        <v>3670</v>
      </c>
      <c r="AV1414" s="85">
        <v>43728</v>
      </c>
      <c r="AW1414" s="123">
        <v>43738</v>
      </c>
      <c r="AX1414" s="123">
        <v>43758</v>
      </c>
      <c r="AY1414" s="132">
        <v>264000</v>
      </c>
      <c r="AZ1414" s="132">
        <f>ROUNDDOWN(AY1414+(AY1414*MASTER!$A$2/100),0)</f>
        <v>285120</v>
      </c>
      <c r="BC1414" s="88">
        <v>0</v>
      </c>
      <c r="BG1414" s="88">
        <v>0</v>
      </c>
      <c r="BK1414" s="88">
        <v>0</v>
      </c>
      <c r="BS1414" s="88">
        <v>0</v>
      </c>
      <c r="BV1414" s="89">
        <v>297000</v>
      </c>
      <c r="BW1414" s="89">
        <v>0</v>
      </c>
      <c r="BX1414" s="89">
        <v>0</v>
      </c>
      <c r="BY1414" s="89">
        <v>43714</v>
      </c>
      <c r="BZ1414" s="112">
        <v>100</v>
      </c>
      <c r="CD1414" s="87" t="s">
        <v>3735</v>
      </c>
    </row>
    <row r="1415" spans="1:89" x14ac:dyDescent="0.15">
      <c r="A1415" s="84">
        <v>1</v>
      </c>
      <c r="C1415" s="85" t="s">
        <v>338</v>
      </c>
      <c r="F1415" s="85" t="s">
        <v>338</v>
      </c>
      <c r="H1415" s="85" t="s">
        <v>338</v>
      </c>
      <c r="J1415" s="84">
        <v>2</v>
      </c>
      <c r="L1415" s="84">
        <v>0</v>
      </c>
      <c r="M1415" s="85">
        <v>43713</v>
      </c>
      <c r="N1415" s="85" t="s">
        <v>265</v>
      </c>
      <c r="O1415" s="86" t="s">
        <v>340</v>
      </c>
      <c r="P1415" s="84" t="s">
        <v>26</v>
      </c>
      <c r="Q1415" s="86" t="s">
        <v>46</v>
      </c>
      <c r="R1415" s="86" t="s">
        <v>3622</v>
      </c>
      <c r="S1415" s="87" t="s">
        <v>351</v>
      </c>
      <c r="T1415" s="87" t="s">
        <v>3621</v>
      </c>
      <c r="U1415" s="88">
        <v>35000</v>
      </c>
      <c r="V1415" s="88">
        <v>37800</v>
      </c>
      <c r="W1415" s="88">
        <v>35000</v>
      </c>
      <c r="X1415" s="88">
        <v>37800</v>
      </c>
      <c r="Z1415" s="88">
        <v>0</v>
      </c>
      <c r="AD1415" s="84">
        <v>0</v>
      </c>
      <c r="AG1415" s="84">
        <v>0</v>
      </c>
      <c r="AJ1415" s="84">
        <v>0</v>
      </c>
      <c r="AY1415" s="132">
        <f>ROUNDDOWN((0.96*U1415),0)</f>
        <v>33600</v>
      </c>
      <c r="AZ1415" s="132">
        <f>ROUNDDOWN(AY1415+(AY1415*MASTER!$A$2/100),0)</f>
        <v>36288</v>
      </c>
      <c r="BC1415" s="88">
        <v>0</v>
      </c>
      <c r="BG1415" s="88">
        <v>0</v>
      </c>
      <c r="BK1415" s="88">
        <v>0</v>
      </c>
      <c r="BS1415" s="88">
        <v>0</v>
      </c>
      <c r="BV1415" s="89">
        <v>37800</v>
      </c>
      <c r="BW1415" s="89">
        <v>0</v>
      </c>
      <c r="BX1415" s="89">
        <v>43713</v>
      </c>
      <c r="BY1415" s="89">
        <v>37800</v>
      </c>
      <c r="BZ1415" s="112">
        <v>100</v>
      </c>
    </row>
    <row r="1416" spans="1:89" x14ac:dyDescent="0.15">
      <c r="A1416" s="84">
        <v>1</v>
      </c>
      <c r="C1416" s="85" t="s">
        <v>338</v>
      </c>
      <c r="F1416" s="85" t="s">
        <v>338</v>
      </c>
      <c r="H1416" s="85" t="s">
        <v>338</v>
      </c>
      <c r="J1416" s="84">
        <v>2</v>
      </c>
      <c r="L1416" s="84">
        <v>0</v>
      </c>
      <c r="M1416" s="85">
        <v>43713</v>
      </c>
      <c r="N1416" s="85" t="s">
        <v>265</v>
      </c>
      <c r="O1416" s="86" t="s">
        <v>340</v>
      </c>
      <c r="P1416" s="84" t="s">
        <v>26</v>
      </c>
      <c r="Q1416" s="86" t="s">
        <v>46</v>
      </c>
      <c r="R1416" s="86" t="s">
        <v>3624</v>
      </c>
      <c r="S1416" s="87" t="s">
        <v>351</v>
      </c>
      <c r="T1416" s="87" t="s">
        <v>3623</v>
      </c>
      <c r="U1416" s="88">
        <v>50000</v>
      </c>
      <c r="V1416" s="88">
        <v>54000</v>
      </c>
      <c r="W1416" s="88">
        <v>50000</v>
      </c>
      <c r="X1416" s="88">
        <v>54000</v>
      </c>
      <c r="Z1416" s="88">
        <v>0</v>
      </c>
      <c r="AD1416" s="84">
        <v>0</v>
      </c>
      <c r="AG1416" s="84">
        <v>0</v>
      </c>
      <c r="AJ1416" s="84">
        <v>0</v>
      </c>
      <c r="AY1416" s="132">
        <f>ROUNDDOWN((0.96*U1416),0)</f>
        <v>48000</v>
      </c>
      <c r="AZ1416" s="132">
        <f>ROUNDDOWN(AY1416+(AY1416*MASTER!$A$2/100),0)</f>
        <v>51840</v>
      </c>
      <c r="BC1416" s="88">
        <v>0</v>
      </c>
      <c r="BG1416" s="88">
        <v>0</v>
      </c>
      <c r="BK1416" s="88">
        <v>0</v>
      </c>
      <c r="BS1416" s="88">
        <v>0</v>
      </c>
      <c r="BV1416" s="89">
        <v>54000</v>
      </c>
      <c r="BW1416" s="89">
        <v>0</v>
      </c>
      <c r="BX1416" s="89">
        <v>43713</v>
      </c>
      <c r="BY1416" s="89">
        <v>54000</v>
      </c>
      <c r="BZ1416" s="112">
        <v>100</v>
      </c>
    </row>
    <row r="1417" spans="1:89" x14ac:dyDescent="0.15">
      <c r="A1417" s="84">
        <v>1</v>
      </c>
      <c r="B1417" s="85">
        <v>43720</v>
      </c>
      <c r="C1417" s="85">
        <v>43721</v>
      </c>
      <c r="F1417" s="85" t="s">
        <v>338</v>
      </c>
      <c r="H1417" s="85" t="s">
        <v>338</v>
      </c>
      <c r="J1417" s="84">
        <v>3</v>
      </c>
      <c r="L1417" s="84">
        <v>0</v>
      </c>
      <c r="M1417" s="85">
        <v>43713</v>
      </c>
      <c r="N1417" s="85" t="s">
        <v>265</v>
      </c>
      <c r="O1417" s="86" t="s">
        <v>340</v>
      </c>
      <c r="P1417" s="84" t="s">
        <v>6</v>
      </c>
      <c r="Q1417" s="86" t="s">
        <v>46</v>
      </c>
      <c r="R1417" s="86" t="s">
        <v>3625</v>
      </c>
      <c r="S1417" s="87" t="s">
        <v>1928</v>
      </c>
      <c r="T1417" s="87" t="s">
        <v>2136</v>
      </c>
      <c r="U1417" s="88">
        <v>15000</v>
      </c>
      <c r="V1417" s="88">
        <v>16200</v>
      </c>
      <c r="X1417" s="88">
        <v>0</v>
      </c>
      <c r="Y1417" s="88">
        <v>15000</v>
      </c>
      <c r="Z1417" s="88">
        <v>16200</v>
      </c>
      <c r="AD1417" s="84">
        <v>0</v>
      </c>
      <c r="AG1417" s="84">
        <v>0</v>
      </c>
      <c r="AJ1417" s="84">
        <v>0</v>
      </c>
      <c r="AR1417" s="85">
        <v>43719</v>
      </c>
      <c r="AS1417" s="84">
        <v>6001711114</v>
      </c>
      <c r="AT1417" s="85">
        <v>43719</v>
      </c>
      <c r="AU1417" s="84" t="s">
        <v>3672</v>
      </c>
      <c r="AV1417" s="85">
        <v>43721</v>
      </c>
      <c r="AW1417" s="123">
        <v>43738</v>
      </c>
      <c r="AX1417" s="123">
        <v>43758</v>
      </c>
      <c r="AY1417" s="132">
        <v>14400</v>
      </c>
      <c r="AZ1417" s="132">
        <f>ROUNDDOWN(AY1417+(AY1417*MASTER!$A$2/100),0)</f>
        <v>15552</v>
      </c>
      <c r="BA1417" s="84" t="s">
        <v>109</v>
      </c>
      <c r="BC1417" s="88">
        <v>0</v>
      </c>
      <c r="BG1417" s="88">
        <v>0</v>
      </c>
      <c r="BK1417" s="88">
        <v>0</v>
      </c>
      <c r="BS1417" s="88">
        <v>0</v>
      </c>
      <c r="BV1417" s="89">
        <v>0</v>
      </c>
      <c r="BW1417" s="89">
        <v>0</v>
      </c>
      <c r="BX1417" s="89">
        <v>43713</v>
      </c>
      <c r="BY1417" s="89">
        <v>0</v>
      </c>
      <c r="BZ1417" s="112" t="s">
        <v>338</v>
      </c>
    </row>
    <row r="1418" spans="1:89" x14ac:dyDescent="0.15">
      <c r="A1418" s="84">
        <v>2</v>
      </c>
      <c r="B1418" s="85">
        <v>43756</v>
      </c>
      <c r="C1418" s="85">
        <v>43769</v>
      </c>
      <c r="D1418" s="85">
        <v>43796</v>
      </c>
      <c r="E1418" s="85">
        <v>43767</v>
      </c>
      <c r="F1418" s="85">
        <v>43762</v>
      </c>
      <c r="G1418" s="85">
        <v>43756</v>
      </c>
      <c r="H1418" s="85">
        <v>43758</v>
      </c>
      <c r="I1418" s="84" t="s">
        <v>1191</v>
      </c>
      <c r="J1418" s="84">
        <v>1</v>
      </c>
      <c r="L1418" s="84">
        <v>0</v>
      </c>
      <c r="M1418" s="85">
        <v>43713</v>
      </c>
      <c r="N1418" s="85" t="s">
        <v>265</v>
      </c>
      <c r="O1418" s="86" t="s">
        <v>340</v>
      </c>
      <c r="P1418" s="84" t="s">
        <v>26</v>
      </c>
      <c r="Q1418" s="86" t="s">
        <v>46</v>
      </c>
      <c r="R1418" s="86" t="s">
        <v>3915</v>
      </c>
      <c r="S1418" s="87" t="s">
        <v>1724</v>
      </c>
      <c r="T1418" s="87" t="s">
        <v>1241</v>
      </c>
      <c r="U1418" s="88">
        <v>106000</v>
      </c>
      <c r="V1418" s="88">
        <v>114480</v>
      </c>
      <c r="W1418" s="88">
        <v>97000</v>
      </c>
      <c r="X1418" s="88">
        <v>104760</v>
      </c>
      <c r="Y1418" s="88">
        <v>9000</v>
      </c>
      <c r="Z1418" s="88">
        <v>9720</v>
      </c>
      <c r="AA1418" s="85">
        <v>43754</v>
      </c>
      <c r="AB1418" s="85">
        <v>43755</v>
      </c>
      <c r="AC1418" s="85">
        <v>43755</v>
      </c>
      <c r="AD1418" s="84">
        <v>0</v>
      </c>
      <c r="AG1418" s="84">
        <v>0</v>
      </c>
      <c r="AJ1418" s="84">
        <v>0</v>
      </c>
      <c r="AM1418" s="84" t="s">
        <v>290</v>
      </c>
      <c r="AN1418" s="84" t="s">
        <v>3916</v>
      </c>
      <c r="AR1418" s="85">
        <v>43728</v>
      </c>
      <c r="AS1418" s="84">
        <v>6001714070</v>
      </c>
      <c r="AT1418" s="85">
        <v>43732</v>
      </c>
      <c r="AU1418" s="84" t="s">
        <v>3770</v>
      </c>
      <c r="AV1418" s="85">
        <v>43769</v>
      </c>
      <c r="AW1418" s="123">
        <v>43769</v>
      </c>
      <c r="AX1418" s="123">
        <v>43789</v>
      </c>
      <c r="AY1418" s="132">
        <v>101760</v>
      </c>
      <c r="AZ1418" s="132">
        <f>ROUNDDOWN(AY1418+(AY1418*0.1),0)</f>
        <v>111936</v>
      </c>
      <c r="BA1418" s="84" t="s">
        <v>287</v>
      </c>
      <c r="BB1418" s="88">
        <v>73000</v>
      </c>
      <c r="BC1418" s="88">
        <v>78840</v>
      </c>
      <c r="BD1418" s="84" t="s">
        <v>188</v>
      </c>
      <c r="BG1418" s="88">
        <v>0</v>
      </c>
      <c r="BI1418" s="84" t="s">
        <v>434</v>
      </c>
      <c r="BJ1418" s="88">
        <v>5850</v>
      </c>
      <c r="BK1418" s="88">
        <v>6318</v>
      </c>
      <c r="BL1418" s="84" t="s">
        <v>188</v>
      </c>
      <c r="BS1418" s="88">
        <v>0</v>
      </c>
      <c r="BV1418" s="89">
        <v>104760</v>
      </c>
      <c r="BW1418" s="89">
        <v>85158</v>
      </c>
      <c r="BX1418" s="89">
        <v>43713</v>
      </c>
      <c r="BY1418" s="89">
        <v>19602</v>
      </c>
      <c r="BZ1418" s="112">
        <v>18.711340206185568</v>
      </c>
      <c r="CC1418" s="84">
        <v>2019</v>
      </c>
      <c r="CK1418" s="88">
        <v>0</v>
      </c>
    </row>
    <row r="1419" spans="1:89" x14ac:dyDescent="0.15">
      <c r="A1419" s="84">
        <v>2</v>
      </c>
      <c r="B1419" s="85">
        <v>43738</v>
      </c>
      <c r="C1419" s="85">
        <v>43747</v>
      </c>
      <c r="D1419" s="85" t="s">
        <v>374</v>
      </c>
      <c r="E1419" s="85">
        <v>43754</v>
      </c>
      <c r="F1419" s="85">
        <v>43754</v>
      </c>
      <c r="G1419" s="85">
        <v>43748</v>
      </c>
      <c r="H1419" s="85">
        <v>43750</v>
      </c>
      <c r="I1419" s="84" t="s">
        <v>1191</v>
      </c>
      <c r="J1419" s="84">
        <v>1</v>
      </c>
      <c r="L1419" s="84">
        <v>0</v>
      </c>
      <c r="M1419" s="85">
        <v>43713</v>
      </c>
      <c r="N1419" s="85" t="s">
        <v>265</v>
      </c>
      <c r="O1419" s="86" t="s">
        <v>340</v>
      </c>
      <c r="P1419" s="84" t="s">
        <v>26</v>
      </c>
      <c r="Q1419" s="86" t="s">
        <v>46</v>
      </c>
      <c r="R1419" s="86" t="s">
        <v>3847</v>
      </c>
      <c r="S1419" s="87" t="s">
        <v>2132</v>
      </c>
      <c r="T1419" s="87" t="s">
        <v>721</v>
      </c>
      <c r="U1419" s="88">
        <v>23900</v>
      </c>
      <c r="V1419" s="88">
        <v>25812</v>
      </c>
      <c r="W1419" s="88">
        <v>14700</v>
      </c>
      <c r="X1419" s="88">
        <v>15876</v>
      </c>
      <c r="Y1419" s="88">
        <v>9200</v>
      </c>
      <c r="Z1419" s="88">
        <v>9936</v>
      </c>
      <c r="AA1419" s="85">
        <v>43745</v>
      </c>
      <c r="AB1419" s="85">
        <v>43747</v>
      </c>
      <c r="AC1419" s="85">
        <v>43747</v>
      </c>
      <c r="AD1419" s="84">
        <v>0</v>
      </c>
      <c r="AG1419" s="84">
        <v>0</v>
      </c>
      <c r="AJ1419" s="84">
        <v>0</v>
      </c>
      <c r="AM1419" s="84" t="s">
        <v>290</v>
      </c>
      <c r="AN1419" s="84" t="s">
        <v>3848</v>
      </c>
      <c r="AR1419" s="85">
        <v>43728</v>
      </c>
      <c r="AS1419" s="84">
        <v>6001714070</v>
      </c>
      <c r="AT1419" s="85">
        <v>43732</v>
      </c>
      <c r="AU1419" s="84" t="s">
        <v>3770</v>
      </c>
      <c r="AV1419" s="85">
        <v>43747</v>
      </c>
      <c r="AW1419" s="123">
        <v>43769</v>
      </c>
      <c r="AX1419" s="123">
        <v>43789</v>
      </c>
      <c r="AY1419" s="132">
        <v>22944</v>
      </c>
      <c r="AZ1419" s="132">
        <f>ROUNDDOWN(AY1419+(AY1419*0.1),0)</f>
        <v>25238</v>
      </c>
      <c r="BA1419" s="84" t="s">
        <v>778</v>
      </c>
      <c r="BC1419" s="88">
        <v>0</v>
      </c>
      <c r="BG1419" s="88">
        <v>0</v>
      </c>
      <c r="BI1419" s="84" t="s">
        <v>276</v>
      </c>
      <c r="BJ1419" s="88">
        <v>5980</v>
      </c>
      <c r="BK1419" s="88">
        <f>ROUNDDOWN(BJ1419+(BJ1419*0.1),0)</f>
        <v>6578</v>
      </c>
      <c r="BL1419" s="84" t="s">
        <v>430</v>
      </c>
      <c r="BS1419" s="88">
        <v>0</v>
      </c>
      <c r="BV1419" s="89">
        <v>15876</v>
      </c>
      <c r="BW1419" s="89">
        <v>6458.4</v>
      </c>
      <c r="BX1419" s="89">
        <v>43713</v>
      </c>
      <c r="BY1419" s="89">
        <v>9417.6</v>
      </c>
      <c r="BZ1419" s="112">
        <v>59.319727891156461</v>
      </c>
      <c r="CC1419" s="84">
        <v>2019</v>
      </c>
      <c r="CK1419" s="88">
        <v>0</v>
      </c>
    </row>
    <row r="1420" spans="1:89" x14ac:dyDescent="0.15">
      <c r="A1420" s="84">
        <v>2</v>
      </c>
      <c r="B1420" s="85">
        <v>43728</v>
      </c>
      <c r="C1420" s="85">
        <v>43733</v>
      </c>
      <c r="D1420" s="85">
        <v>43745</v>
      </c>
      <c r="E1420" s="85">
        <v>43734</v>
      </c>
      <c r="F1420" s="85" t="s">
        <v>338</v>
      </c>
      <c r="G1420" s="85">
        <v>43735</v>
      </c>
      <c r="H1420" s="85" t="s">
        <v>338</v>
      </c>
      <c r="I1420" s="84" t="s">
        <v>401</v>
      </c>
      <c r="J1420" s="84">
        <v>2</v>
      </c>
      <c r="L1420" s="84">
        <v>0</v>
      </c>
      <c r="M1420" s="85">
        <v>43713</v>
      </c>
      <c r="N1420" s="85" t="s">
        <v>265</v>
      </c>
      <c r="O1420" s="86" t="s">
        <v>340</v>
      </c>
      <c r="P1420" s="84" t="s">
        <v>26</v>
      </c>
      <c r="Q1420" s="86" t="s">
        <v>46</v>
      </c>
      <c r="R1420" s="86" t="s">
        <v>3748</v>
      </c>
      <c r="S1420" s="87" t="s">
        <v>3749</v>
      </c>
      <c r="T1420" s="87" t="s">
        <v>3750</v>
      </c>
      <c r="U1420" s="88">
        <v>123000</v>
      </c>
      <c r="V1420" s="88">
        <v>132840</v>
      </c>
      <c r="W1420" s="88">
        <v>123000</v>
      </c>
      <c r="X1420" s="88">
        <v>132840</v>
      </c>
      <c r="Z1420" s="88">
        <v>0</v>
      </c>
      <c r="AA1420" s="85">
        <v>43733</v>
      </c>
      <c r="AB1420" s="85">
        <v>43733</v>
      </c>
      <c r="AD1420" s="84">
        <v>0</v>
      </c>
      <c r="AG1420" s="84">
        <v>0</v>
      </c>
      <c r="AJ1420" s="84">
        <v>0</v>
      </c>
      <c r="AM1420" s="84" t="s">
        <v>290</v>
      </c>
      <c r="AN1420" s="84" t="s">
        <v>3751</v>
      </c>
      <c r="AR1420" s="85">
        <v>43726</v>
      </c>
      <c r="AS1420" s="84">
        <v>6001712983</v>
      </c>
      <c r="AT1420" s="85">
        <v>43727</v>
      </c>
      <c r="AU1420" s="84" t="s">
        <v>3736</v>
      </c>
      <c r="AV1420" s="85">
        <v>43733</v>
      </c>
      <c r="AW1420" s="123">
        <v>43738</v>
      </c>
      <c r="AX1420" s="123">
        <v>43758</v>
      </c>
      <c r="AY1420" s="132">
        <v>118080</v>
      </c>
      <c r="AZ1420" s="132">
        <f>ROUNDDOWN(AY1420+(AY1420*MASTER!$A$2/100),0)</f>
        <v>127526</v>
      </c>
      <c r="BA1420" s="84" t="s">
        <v>543</v>
      </c>
      <c r="BB1420" s="88">
        <v>35000</v>
      </c>
      <c r="BC1420" s="88">
        <v>37800</v>
      </c>
      <c r="BD1420" s="84" t="s">
        <v>3431</v>
      </c>
      <c r="BG1420" s="88">
        <v>0</v>
      </c>
      <c r="BK1420" s="88">
        <v>0</v>
      </c>
      <c r="BS1420" s="88">
        <v>0</v>
      </c>
      <c r="BV1420" s="89">
        <v>132840</v>
      </c>
      <c r="BW1420" s="89">
        <v>37800</v>
      </c>
      <c r="BX1420" s="89">
        <v>43713</v>
      </c>
      <c r="BY1420" s="89">
        <v>95040</v>
      </c>
      <c r="BZ1420" s="112">
        <v>71.544715447154474</v>
      </c>
      <c r="CK1420" s="88">
        <v>0</v>
      </c>
    </row>
    <row r="1421" spans="1:89" x14ac:dyDescent="0.15">
      <c r="A1421" s="84">
        <v>2</v>
      </c>
      <c r="B1421" s="85">
        <v>43720</v>
      </c>
      <c r="C1421" s="85">
        <v>43728</v>
      </c>
      <c r="D1421" s="85">
        <v>43720</v>
      </c>
      <c r="E1421" s="85">
        <v>43720</v>
      </c>
      <c r="F1421" s="85" t="s">
        <v>338</v>
      </c>
      <c r="G1421" s="85">
        <v>43720</v>
      </c>
      <c r="H1421" s="85" t="s">
        <v>338</v>
      </c>
      <c r="I1421" s="84" t="s">
        <v>380</v>
      </c>
      <c r="J1421" s="84">
        <v>2</v>
      </c>
      <c r="L1421" s="84">
        <v>0</v>
      </c>
      <c r="M1421" s="85">
        <v>43713</v>
      </c>
      <c r="N1421" s="85" t="s">
        <v>265</v>
      </c>
      <c r="O1421" s="86" t="s">
        <v>340</v>
      </c>
      <c r="P1421" s="84" t="s">
        <v>6</v>
      </c>
      <c r="Q1421" s="86" t="s">
        <v>46</v>
      </c>
      <c r="R1421" s="86" t="s">
        <v>3681</v>
      </c>
      <c r="S1421" s="87" t="s">
        <v>1979</v>
      </c>
      <c r="T1421" s="87" t="s">
        <v>342</v>
      </c>
      <c r="U1421" s="88">
        <v>35000</v>
      </c>
      <c r="V1421" s="88">
        <v>37800</v>
      </c>
      <c r="W1421" s="88">
        <v>35000</v>
      </c>
      <c r="X1421" s="88">
        <v>37800</v>
      </c>
      <c r="Z1421" s="88">
        <v>0</v>
      </c>
      <c r="AA1421" s="85">
        <v>43719</v>
      </c>
      <c r="AB1421" s="85">
        <v>43719</v>
      </c>
      <c r="AD1421" s="84">
        <v>0</v>
      </c>
      <c r="AG1421" s="84">
        <v>0</v>
      </c>
      <c r="AJ1421" s="84">
        <v>0</v>
      </c>
      <c r="AN1421" s="84" t="s">
        <v>338</v>
      </c>
      <c r="AR1421" s="85">
        <v>43719</v>
      </c>
      <c r="AS1421" s="84">
        <v>6001711114</v>
      </c>
      <c r="AT1421" s="85">
        <v>43719</v>
      </c>
      <c r="AU1421" s="84" t="s">
        <v>3672</v>
      </c>
      <c r="AV1421" s="85">
        <v>43728</v>
      </c>
      <c r="AW1421" s="123">
        <v>43738</v>
      </c>
      <c r="AX1421" s="123">
        <v>43758</v>
      </c>
      <c r="AY1421" s="132">
        <v>33600</v>
      </c>
      <c r="AZ1421" s="132">
        <f>ROUNDDOWN(AY1421+(AY1421*MASTER!$A$2/100),0)</f>
        <v>36288</v>
      </c>
      <c r="BA1421" s="84" t="s">
        <v>287</v>
      </c>
      <c r="BB1421" s="88">
        <v>40000</v>
      </c>
      <c r="BC1421" s="88">
        <v>43200</v>
      </c>
      <c r="BD1421" s="84" t="s">
        <v>3431</v>
      </c>
      <c r="BG1421" s="88">
        <v>0</v>
      </c>
      <c r="BK1421" s="88">
        <v>0</v>
      </c>
      <c r="BS1421" s="88">
        <v>0</v>
      </c>
      <c r="BV1421" s="89">
        <v>37800</v>
      </c>
      <c r="BW1421" s="89">
        <v>43200</v>
      </c>
      <c r="BX1421" s="89">
        <v>43713</v>
      </c>
      <c r="BY1421" s="89">
        <v>-5400</v>
      </c>
      <c r="BZ1421" s="112">
        <v>-14.285714285714285</v>
      </c>
      <c r="CK1421" s="88">
        <v>0</v>
      </c>
    </row>
    <row r="1422" spans="1:89" x14ac:dyDescent="0.15">
      <c r="A1422" s="84">
        <v>2</v>
      </c>
      <c r="B1422" s="85">
        <v>43725</v>
      </c>
      <c r="C1422" s="85">
        <v>43733</v>
      </c>
      <c r="D1422" s="85">
        <v>43729</v>
      </c>
      <c r="E1422" s="85">
        <v>43729</v>
      </c>
      <c r="F1422" s="85">
        <v>43735</v>
      </c>
      <c r="G1422" s="85">
        <v>43729</v>
      </c>
      <c r="H1422" s="85">
        <v>43731</v>
      </c>
      <c r="I1422" s="84" t="s">
        <v>569</v>
      </c>
      <c r="J1422" s="84">
        <v>2</v>
      </c>
      <c r="L1422" s="84">
        <v>0</v>
      </c>
      <c r="M1422" s="85">
        <v>43714</v>
      </c>
      <c r="N1422" s="85" t="s">
        <v>265</v>
      </c>
      <c r="O1422" s="86" t="s">
        <v>340</v>
      </c>
      <c r="P1422" s="84" t="s">
        <v>26</v>
      </c>
      <c r="Q1422" s="86" t="s">
        <v>46</v>
      </c>
      <c r="R1422" s="86" t="s">
        <v>3632</v>
      </c>
      <c r="S1422" s="87" t="s">
        <v>1282</v>
      </c>
      <c r="T1422" s="87" t="s">
        <v>3633</v>
      </c>
      <c r="U1422" s="88">
        <v>420650</v>
      </c>
      <c r="V1422" s="88">
        <v>454302</v>
      </c>
      <c r="W1422" s="88">
        <v>420650</v>
      </c>
      <c r="X1422" s="88">
        <v>454302</v>
      </c>
      <c r="Z1422" s="88">
        <v>0</v>
      </c>
      <c r="AA1422" s="85">
        <v>43726</v>
      </c>
      <c r="AB1422" s="85">
        <v>43728</v>
      </c>
      <c r="AC1422" s="85">
        <v>43728</v>
      </c>
      <c r="AD1422" s="84">
        <v>0</v>
      </c>
      <c r="AG1422" s="84">
        <v>0</v>
      </c>
      <c r="AJ1422" s="84">
        <v>0</v>
      </c>
      <c r="AR1422" s="85">
        <v>43719</v>
      </c>
      <c r="AS1422" s="84">
        <v>6001711114</v>
      </c>
      <c r="AT1422" s="85">
        <v>43719</v>
      </c>
      <c r="AU1422" s="84" t="s">
        <v>3672</v>
      </c>
      <c r="AV1422" s="85">
        <v>43733</v>
      </c>
      <c r="AW1422" s="123">
        <v>43738</v>
      </c>
      <c r="AX1422" s="123">
        <v>43758</v>
      </c>
      <c r="AY1422" s="132">
        <v>403824</v>
      </c>
      <c r="AZ1422" s="132">
        <v>436130</v>
      </c>
      <c r="BA1422" s="84" t="s">
        <v>543</v>
      </c>
      <c r="BB1422" s="88">
        <v>201000</v>
      </c>
      <c r="BC1422" s="88">
        <v>217080</v>
      </c>
      <c r="BD1422" s="84" t="s">
        <v>3431</v>
      </c>
      <c r="BG1422" s="88">
        <v>0</v>
      </c>
      <c r="BK1422" s="88">
        <v>0</v>
      </c>
      <c r="BS1422" s="88">
        <v>0</v>
      </c>
      <c r="BV1422" s="89">
        <v>454302</v>
      </c>
      <c r="BW1422" s="89">
        <v>217080</v>
      </c>
      <c r="BX1422" s="89">
        <v>43714</v>
      </c>
      <c r="BY1422" s="89">
        <v>237222</v>
      </c>
      <c r="BZ1422" s="112">
        <v>52.216807322001671</v>
      </c>
      <c r="CK1422" s="88">
        <v>0</v>
      </c>
    </row>
    <row r="1423" spans="1:89" x14ac:dyDescent="0.15">
      <c r="A1423" s="84">
        <v>2</v>
      </c>
      <c r="B1423" s="85">
        <v>43720</v>
      </c>
      <c r="C1423" s="85">
        <v>43732</v>
      </c>
      <c r="D1423" s="85">
        <v>43719</v>
      </c>
      <c r="E1423" s="85">
        <v>43719</v>
      </c>
      <c r="F1423" s="85" t="s">
        <v>338</v>
      </c>
      <c r="G1423" s="85">
        <v>43719</v>
      </c>
      <c r="H1423" s="85" t="s">
        <v>338</v>
      </c>
      <c r="I1423" s="84" t="s">
        <v>547</v>
      </c>
      <c r="J1423" s="84">
        <v>2</v>
      </c>
      <c r="L1423" s="84">
        <v>0</v>
      </c>
      <c r="M1423" s="85">
        <v>43714</v>
      </c>
      <c r="N1423" s="85" t="s">
        <v>265</v>
      </c>
      <c r="O1423" s="86" t="s">
        <v>340</v>
      </c>
      <c r="P1423" s="84" t="s">
        <v>6</v>
      </c>
      <c r="Q1423" s="86" t="s">
        <v>46</v>
      </c>
      <c r="R1423" s="86" t="s">
        <v>3671</v>
      </c>
      <c r="S1423" s="87" t="s">
        <v>558</v>
      </c>
      <c r="T1423" s="87" t="s">
        <v>342</v>
      </c>
      <c r="U1423" s="88">
        <v>35000</v>
      </c>
      <c r="V1423" s="88">
        <v>37800</v>
      </c>
      <c r="W1423" s="88">
        <v>35000</v>
      </c>
      <c r="X1423" s="88">
        <v>37800</v>
      </c>
      <c r="Z1423" s="88">
        <v>0</v>
      </c>
      <c r="AA1423" s="85">
        <v>43718</v>
      </c>
      <c r="AB1423" s="85">
        <v>43718</v>
      </c>
      <c r="AD1423" s="84">
        <v>0</v>
      </c>
      <c r="AG1423" s="84">
        <v>0</v>
      </c>
      <c r="AJ1423" s="84">
        <v>0</v>
      </c>
      <c r="AN1423" s="84" t="s">
        <v>338</v>
      </c>
      <c r="AR1423" s="85">
        <v>43719</v>
      </c>
      <c r="AS1423" s="84">
        <v>6001711114</v>
      </c>
      <c r="AT1423" s="85">
        <v>43719</v>
      </c>
      <c r="AU1423" s="84" t="s">
        <v>3672</v>
      </c>
      <c r="AV1423" s="85">
        <v>43732</v>
      </c>
      <c r="AW1423" s="123">
        <v>43738</v>
      </c>
      <c r="AX1423" s="123">
        <v>43758</v>
      </c>
      <c r="AY1423" s="132">
        <v>33600</v>
      </c>
      <c r="AZ1423" s="132">
        <f>ROUNDDOWN(AY1423+(AY1423*MASTER!$A$2/100),0)</f>
        <v>36288</v>
      </c>
      <c r="BA1423" s="84" t="s">
        <v>486</v>
      </c>
      <c r="BB1423" s="88">
        <v>21000</v>
      </c>
      <c r="BC1423" s="88">
        <v>22680</v>
      </c>
      <c r="BD1423" s="84" t="s">
        <v>3515</v>
      </c>
      <c r="BG1423" s="88">
        <v>0</v>
      </c>
      <c r="BK1423" s="88">
        <v>0</v>
      </c>
      <c r="BS1423" s="88">
        <v>0</v>
      </c>
      <c r="BV1423" s="89">
        <v>37800</v>
      </c>
      <c r="BW1423" s="89">
        <v>22680</v>
      </c>
      <c r="BX1423" s="89">
        <v>43714</v>
      </c>
      <c r="BY1423" s="89">
        <v>15120</v>
      </c>
      <c r="BZ1423" s="112">
        <v>40</v>
      </c>
      <c r="CK1423" s="88">
        <v>0</v>
      </c>
    </row>
    <row r="1424" spans="1:89" x14ac:dyDescent="0.15">
      <c r="A1424" s="84">
        <v>2</v>
      </c>
      <c r="B1424" s="85">
        <v>43726</v>
      </c>
      <c r="C1424" s="85">
        <v>43728</v>
      </c>
      <c r="D1424" s="85">
        <v>43718</v>
      </c>
      <c r="E1424" s="85">
        <v>43718</v>
      </c>
      <c r="F1424" s="85" t="s">
        <v>338</v>
      </c>
      <c r="G1424" s="85">
        <v>43718</v>
      </c>
      <c r="H1424" s="85" t="s">
        <v>338</v>
      </c>
      <c r="I1424" s="84" t="s">
        <v>380</v>
      </c>
      <c r="J1424" s="84">
        <v>2</v>
      </c>
      <c r="L1424" s="84">
        <v>0</v>
      </c>
      <c r="M1424" s="85">
        <v>43714</v>
      </c>
      <c r="N1424" s="85" t="s">
        <v>265</v>
      </c>
      <c r="O1424" s="86" t="s">
        <v>340</v>
      </c>
      <c r="P1424" s="84" t="s">
        <v>6</v>
      </c>
      <c r="Q1424" s="86" t="s">
        <v>46</v>
      </c>
      <c r="R1424" s="86" t="s">
        <v>3663</v>
      </c>
      <c r="S1424" s="87" t="s">
        <v>1078</v>
      </c>
      <c r="T1424" s="87" t="s">
        <v>342</v>
      </c>
      <c r="U1424" s="88">
        <v>35000</v>
      </c>
      <c r="V1424" s="88">
        <v>37800</v>
      </c>
      <c r="W1424" s="88">
        <v>35000</v>
      </c>
      <c r="X1424" s="88">
        <v>37800</v>
      </c>
      <c r="Z1424" s="88">
        <v>0</v>
      </c>
      <c r="AA1424" s="85">
        <v>43714</v>
      </c>
      <c r="AB1424" s="85">
        <v>43714</v>
      </c>
      <c r="AD1424" s="84">
        <v>0</v>
      </c>
      <c r="AG1424" s="84">
        <v>0</v>
      </c>
      <c r="AJ1424" s="84">
        <v>0</v>
      </c>
      <c r="AN1424" s="84" t="s">
        <v>338</v>
      </c>
      <c r="AR1424" s="85">
        <v>43720</v>
      </c>
      <c r="AS1424" s="84">
        <v>6001711559</v>
      </c>
      <c r="AT1424" s="85">
        <v>43725</v>
      </c>
      <c r="AU1424" s="84" t="s">
        <v>3709</v>
      </c>
      <c r="AV1424" s="85">
        <v>43728</v>
      </c>
      <c r="AW1424" s="123">
        <v>43738</v>
      </c>
      <c r="AX1424" s="123">
        <v>43758</v>
      </c>
      <c r="AY1424" s="132">
        <v>33600</v>
      </c>
      <c r="AZ1424" s="132">
        <f>ROUNDDOWN(AY1424+(AY1424*MASTER!$A$2/100),0)</f>
        <v>36288</v>
      </c>
      <c r="BA1424" s="84" t="s">
        <v>286</v>
      </c>
      <c r="BB1424" s="88">
        <v>38000</v>
      </c>
      <c r="BC1424" s="88">
        <v>41040</v>
      </c>
      <c r="BD1424" s="84" t="s">
        <v>3431</v>
      </c>
      <c r="BG1424" s="88">
        <v>0</v>
      </c>
      <c r="BK1424" s="88">
        <v>0</v>
      </c>
      <c r="BS1424" s="88">
        <v>0</v>
      </c>
      <c r="BV1424" s="89">
        <v>37800</v>
      </c>
      <c r="BW1424" s="89">
        <v>41040</v>
      </c>
      <c r="BX1424" s="89">
        <v>43714</v>
      </c>
      <c r="BY1424" s="89">
        <v>-3240</v>
      </c>
      <c r="BZ1424" s="112">
        <v>-8.5714285714285712</v>
      </c>
      <c r="CK1424" s="88">
        <v>0</v>
      </c>
    </row>
    <row r="1425" spans="1:89" x14ac:dyDescent="0.15">
      <c r="A1425" s="84">
        <v>2</v>
      </c>
      <c r="B1425" s="85">
        <v>43726</v>
      </c>
      <c r="C1425" s="85">
        <v>43725</v>
      </c>
      <c r="D1425" s="85">
        <v>43718</v>
      </c>
      <c r="E1425" s="85">
        <v>43718</v>
      </c>
      <c r="F1425" s="85" t="s">
        <v>338</v>
      </c>
      <c r="G1425" s="85">
        <v>43718</v>
      </c>
      <c r="H1425" s="85" t="s">
        <v>338</v>
      </c>
      <c r="I1425" s="84" t="s">
        <v>380</v>
      </c>
      <c r="J1425" s="84">
        <v>2</v>
      </c>
      <c r="L1425" s="84">
        <v>0</v>
      </c>
      <c r="M1425" s="85">
        <v>43717</v>
      </c>
      <c r="N1425" s="85" t="s">
        <v>265</v>
      </c>
      <c r="O1425" s="86" t="s">
        <v>340</v>
      </c>
      <c r="P1425" s="84" t="s">
        <v>6</v>
      </c>
      <c r="Q1425" s="86" t="s">
        <v>46</v>
      </c>
      <c r="R1425" s="86" t="s">
        <v>3664</v>
      </c>
      <c r="S1425" s="87" t="s">
        <v>552</v>
      </c>
      <c r="T1425" s="87" t="s">
        <v>342</v>
      </c>
      <c r="U1425" s="88">
        <v>35000</v>
      </c>
      <c r="V1425" s="88">
        <v>37800</v>
      </c>
      <c r="W1425" s="88">
        <v>35000</v>
      </c>
      <c r="X1425" s="88">
        <v>37800</v>
      </c>
      <c r="Z1425" s="88">
        <v>0</v>
      </c>
      <c r="AA1425" s="85">
        <v>43716</v>
      </c>
      <c r="AB1425" s="85">
        <v>43716</v>
      </c>
      <c r="AD1425" s="84">
        <v>0</v>
      </c>
      <c r="AG1425" s="84">
        <v>0</v>
      </c>
      <c r="AJ1425" s="84">
        <v>0</v>
      </c>
      <c r="AN1425" s="84" t="s">
        <v>338</v>
      </c>
      <c r="AR1425" s="85">
        <v>43720</v>
      </c>
      <c r="AS1425" s="84">
        <v>6001711559</v>
      </c>
      <c r="AT1425" s="85">
        <v>43725</v>
      </c>
      <c r="AU1425" s="84" t="s">
        <v>3709</v>
      </c>
      <c r="AV1425" s="85">
        <v>43725</v>
      </c>
      <c r="AW1425" s="123">
        <v>43738</v>
      </c>
      <c r="AX1425" s="123">
        <v>43758</v>
      </c>
      <c r="AY1425" s="132">
        <v>33600</v>
      </c>
      <c r="AZ1425" s="132">
        <f>ROUNDDOWN(AY1425+(AY1425*MASTER!$A$2/100),0)</f>
        <v>36288</v>
      </c>
      <c r="BA1425" s="84" t="s">
        <v>400</v>
      </c>
      <c r="BB1425" s="88">
        <v>34000</v>
      </c>
      <c r="BC1425" s="88">
        <v>36720</v>
      </c>
      <c r="BD1425" s="84" t="s">
        <v>3431</v>
      </c>
      <c r="BG1425" s="88">
        <v>0</v>
      </c>
      <c r="BK1425" s="88">
        <v>0</v>
      </c>
      <c r="BS1425" s="88">
        <v>0</v>
      </c>
      <c r="BV1425" s="89">
        <v>37800</v>
      </c>
      <c r="BW1425" s="89">
        <v>36720</v>
      </c>
      <c r="BX1425" s="89">
        <v>43717</v>
      </c>
      <c r="BY1425" s="89">
        <v>1080</v>
      </c>
      <c r="BZ1425" s="112">
        <v>2.8571428571428572</v>
      </c>
      <c r="CK1425" s="88">
        <v>0</v>
      </c>
    </row>
    <row r="1426" spans="1:89" x14ac:dyDescent="0.15">
      <c r="A1426" s="84">
        <v>2</v>
      </c>
      <c r="B1426" s="85">
        <v>43739</v>
      </c>
      <c r="C1426" s="85">
        <v>43759</v>
      </c>
      <c r="D1426" s="85">
        <v>43754</v>
      </c>
      <c r="E1426" s="85">
        <v>43754</v>
      </c>
      <c r="F1426" s="85">
        <v>43762</v>
      </c>
      <c r="G1426" s="85">
        <v>43754</v>
      </c>
      <c r="H1426" s="85">
        <v>43758</v>
      </c>
      <c r="I1426" s="84" t="s">
        <v>401</v>
      </c>
      <c r="J1426" s="84">
        <v>2</v>
      </c>
      <c r="L1426" s="84">
        <v>0</v>
      </c>
      <c r="M1426" s="85">
        <v>43717</v>
      </c>
      <c r="N1426" s="85" t="s">
        <v>265</v>
      </c>
      <c r="O1426" s="86" t="s">
        <v>340</v>
      </c>
      <c r="P1426" s="84" t="s">
        <v>26</v>
      </c>
      <c r="Q1426" s="86" t="s">
        <v>46</v>
      </c>
      <c r="R1426" s="86" t="s">
        <v>3856</v>
      </c>
      <c r="S1426" s="87" t="s">
        <v>1539</v>
      </c>
      <c r="T1426" s="87" t="s">
        <v>2952</v>
      </c>
      <c r="U1426" s="88">
        <v>49500</v>
      </c>
      <c r="V1426" s="88">
        <v>53460</v>
      </c>
      <c r="W1426" s="88">
        <v>49500</v>
      </c>
      <c r="X1426" s="88">
        <v>53460</v>
      </c>
      <c r="Z1426" s="88">
        <v>0</v>
      </c>
      <c r="AA1426" s="85">
        <v>43754</v>
      </c>
      <c r="AB1426" s="85">
        <v>43755</v>
      </c>
      <c r="AC1426" s="85">
        <v>43755</v>
      </c>
      <c r="AD1426" s="84">
        <v>0</v>
      </c>
      <c r="AG1426" s="84">
        <v>0</v>
      </c>
      <c r="AJ1426" s="84">
        <v>0</v>
      </c>
      <c r="AN1426" s="84" t="s">
        <v>338</v>
      </c>
      <c r="AR1426" s="85">
        <v>43719</v>
      </c>
      <c r="AS1426" s="84">
        <v>6001711071</v>
      </c>
      <c r="AT1426" s="85">
        <v>43719</v>
      </c>
      <c r="AU1426" s="84" t="s">
        <v>3669</v>
      </c>
      <c r="AV1426" s="85">
        <v>43759</v>
      </c>
      <c r="AW1426" s="123">
        <v>43769</v>
      </c>
      <c r="AX1426" s="123">
        <v>43789</v>
      </c>
      <c r="AY1426" s="132">
        <v>47520</v>
      </c>
      <c r="AZ1426" s="132">
        <f>ROUNDDOWN(AY1426+(AY1426*0.1),0)</f>
        <v>52272</v>
      </c>
      <c r="BA1426" s="84" t="s">
        <v>543</v>
      </c>
      <c r="BB1426" s="88">
        <v>32000</v>
      </c>
      <c r="BC1426" s="88">
        <v>34560</v>
      </c>
      <c r="BD1426" s="84" t="s">
        <v>188</v>
      </c>
      <c r="BG1426" s="88">
        <v>0</v>
      </c>
      <c r="BK1426" s="88">
        <v>0</v>
      </c>
      <c r="BS1426" s="88">
        <v>0</v>
      </c>
      <c r="BV1426" s="89">
        <v>53460</v>
      </c>
      <c r="BW1426" s="89">
        <v>34560</v>
      </c>
      <c r="BX1426" s="89">
        <v>43717</v>
      </c>
      <c r="BY1426" s="89">
        <v>18900</v>
      </c>
      <c r="BZ1426" s="112">
        <v>35.353535353535356</v>
      </c>
      <c r="CC1426" s="84">
        <v>2019</v>
      </c>
      <c r="CK1426" s="88">
        <v>0</v>
      </c>
    </row>
    <row r="1427" spans="1:89" x14ac:dyDescent="0.15">
      <c r="A1427" s="84">
        <v>1</v>
      </c>
      <c r="C1427" s="85" t="s">
        <v>338</v>
      </c>
      <c r="F1427" s="85" t="s">
        <v>338</v>
      </c>
      <c r="H1427" s="85" t="s">
        <v>338</v>
      </c>
      <c r="J1427" s="84">
        <v>4</v>
      </c>
      <c r="L1427" s="84">
        <v>0</v>
      </c>
      <c r="M1427" s="85">
        <v>43717</v>
      </c>
      <c r="N1427" s="85" t="s">
        <v>265</v>
      </c>
      <c r="O1427" s="86" t="s">
        <v>340</v>
      </c>
      <c r="P1427" s="84" t="s">
        <v>272</v>
      </c>
      <c r="Q1427" s="86" t="s">
        <v>46</v>
      </c>
      <c r="R1427" s="86" t="s">
        <v>3650</v>
      </c>
      <c r="S1427" s="87" t="s">
        <v>562</v>
      </c>
      <c r="T1427" s="87" t="s">
        <v>3651</v>
      </c>
      <c r="U1427" s="88">
        <v>0</v>
      </c>
      <c r="V1427" s="88">
        <v>0</v>
      </c>
      <c r="W1427" s="88">
        <v>0</v>
      </c>
      <c r="X1427" s="88">
        <v>0</v>
      </c>
      <c r="Y1427" s="88">
        <v>0</v>
      </c>
      <c r="Z1427" s="88">
        <v>0</v>
      </c>
      <c r="AD1427" s="84">
        <v>0</v>
      </c>
      <c r="AG1427" s="84">
        <v>0</v>
      </c>
      <c r="AJ1427" s="84">
        <v>0</v>
      </c>
      <c r="AN1427" s="84" t="s">
        <v>338</v>
      </c>
      <c r="AY1427" s="132">
        <f>ROUNDDOWN((0.96*U1427),0)</f>
        <v>0</v>
      </c>
      <c r="AZ1427" s="132">
        <f>ROUNDDOWN(AY1427+(AY1427*MASTER!$A$2/100),0)</f>
        <v>0</v>
      </c>
      <c r="BA1427" s="158" t="s">
        <v>275</v>
      </c>
      <c r="BB1427" s="159">
        <v>162000</v>
      </c>
      <c r="BC1427" s="159">
        <v>174960</v>
      </c>
      <c r="BD1427" s="158" t="s">
        <v>3515</v>
      </c>
      <c r="BG1427" s="88">
        <v>0</v>
      </c>
      <c r="BK1427" s="88">
        <v>0</v>
      </c>
      <c r="BS1427" s="88">
        <v>0</v>
      </c>
      <c r="BV1427" s="89">
        <v>0</v>
      </c>
      <c r="BW1427" s="89">
        <v>174960</v>
      </c>
      <c r="BX1427" s="89">
        <v>43717</v>
      </c>
      <c r="BY1427" s="89">
        <v>-174960</v>
      </c>
      <c r="BZ1427" s="112" t="s">
        <v>338</v>
      </c>
    </row>
    <row r="1428" spans="1:89" x14ac:dyDescent="0.15">
      <c r="A1428" s="84">
        <v>2</v>
      </c>
      <c r="B1428" s="85">
        <v>43787</v>
      </c>
      <c r="C1428" s="85">
        <v>43826</v>
      </c>
      <c r="D1428" s="85">
        <v>43843</v>
      </c>
      <c r="E1428" s="85">
        <v>43805</v>
      </c>
      <c r="F1428" s="85">
        <v>43805</v>
      </c>
      <c r="G1428" s="85">
        <v>43798</v>
      </c>
      <c r="H1428" s="85">
        <v>43801</v>
      </c>
      <c r="I1428" s="84" t="s">
        <v>401</v>
      </c>
      <c r="J1428" s="84">
        <v>1</v>
      </c>
      <c r="L1428" s="84">
        <v>0</v>
      </c>
      <c r="M1428" s="85">
        <v>43717</v>
      </c>
      <c r="N1428" s="85" t="s">
        <v>265</v>
      </c>
      <c r="O1428" s="86" t="s">
        <v>340</v>
      </c>
      <c r="P1428" s="84" t="s">
        <v>26</v>
      </c>
      <c r="Q1428" s="86" t="s">
        <v>46</v>
      </c>
      <c r="R1428" s="86" t="s">
        <v>3653</v>
      </c>
      <c r="S1428" s="87" t="s">
        <v>3654</v>
      </c>
      <c r="T1428" s="87" t="s">
        <v>2654</v>
      </c>
      <c r="U1428" s="88">
        <v>153500</v>
      </c>
      <c r="V1428" s="88">
        <v>165780</v>
      </c>
      <c r="W1428" s="88">
        <v>86500</v>
      </c>
      <c r="X1428" s="88">
        <v>93420</v>
      </c>
      <c r="Y1428" s="88">
        <v>67000</v>
      </c>
      <c r="Z1428" s="88">
        <v>72360</v>
      </c>
      <c r="AA1428" s="85">
        <v>43797</v>
      </c>
      <c r="AB1428" s="85">
        <v>43798</v>
      </c>
      <c r="AC1428" s="85">
        <v>43798</v>
      </c>
      <c r="AD1428" s="84">
        <v>0</v>
      </c>
      <c r="AG1428" s="84">
        <v>0</v>
      </c>
      <c r="AJ1428" s="84">
        <v>0</v>
      </c>
      <c r="AR1428" s="85">
        <v>43719</v>
      </c>
      <c r="AS1428" s="84">
        <v>6001711071</v>
      </c>
      <c r="AT1428" s="85">
        <v>43719</v>
      </c>
      <c r="AU1428" s="84" t="s">
        <v>3669</v>
      </c>
      <c r="AV1428" s="85">
        <v>43826</v>
      </c>
      <c r="AW1428" s="123">
        <v>43799</v>
      </c>
      <c r="AX1428" s="123">
        <v>43819</v>
      </c>
      <c r="AY1428" s="132">
        <v>147360</v>
      </c>
      <c r="AZ1428" s="132">
        <f>ROUNDDOWN(AY1428+(AY1428*0.1),0)</f>
        <v>162096</v>
      </c>
      <c r="BA1428" s="84" t="s">
        <v>287</v>
      </c>
      <c r="BB1428" s="88">
        <v>32000</v>
      </c>
      <c r="BC1428" s="88">
        <f>ROUNDDOWN(BB1428+(BB1428*0.1),0)</f>
        <v>35200</v>
      </c>
      <c r="BD1428" s="84" t="s">
        <v>190</v>
      </c>
      <c r="BG1428" s="88">
        <v>0</v>
      </c>
      <c r="BI1428" s="84" t="s">
        <v>434</v>
      </c>
      <c r="BJ1428" s="88">
        <v>43550</v>
      </c>
      <c r="BK1428" s="88">
        <v>47034</v>
      </c>
      <c r="BL1428" s="84" t="s">
        <v>190</v>
      </c>
      <c r="BS1428" s="88">
        <v>0</v>
      </c>
      <c r="BV1428" s="89">
        <v>93420</v>
      </c>
      <c r="BW1428" s="89">
        <v>81594</v>
      </c>
      <c r="BX1428" s="89">
        <v>43717</v>
      </c>
      <c r="BY1428" s="89">
        <v>11826</v>
      </c>
      <c r="BZ1428" s="112">
        <v>12.658959537572253</v>
      </c>
      <c r="CC1428" s="84">
        <v>2019</v>
      </c>
    </row>
    <row r="1429" spans="1:89" x14ac:dyDescent="0.15">
      <c r="A1429" s="84">
        <v>2</v>
      </c>
      <c r="B1429" s="85">
        <v>43733</v>
      </c>
      <c r="C1429" s="85">
        <v>43732</v>
      </c>
      <c r="D1429" s="85">
        <v>43720</v>
      </c>
      <c r="E1429" s="85">
        <v>43720</v>
      </c>
      <c r="F1429" s="85" t="s">
        <v>338</v>
      </c>
      <c r="G1429" s="85">
        <v>43720</v>
      </c>
      <c r="H1429" s="85" t="s">
        <v>338</v>
      </c>
      <c r="I1429" s="84" t="s">
        <v>380</v>
      </c>
      <c r="J1429" s="84">
        <v>2</v>
      </c>
      <c r="L1429" s="84">
        <v>0</v>
      </c>
      <c r="M1429" s="85">
        <v>43717</v>
      </c>
      <c r="N1429" s="85" t="s">
        <v>265</v>
      </c>
      <c r="O1429" s="86" t="s">
        <v>340</v>
      </c>
      <c r="P1429" s="84" t="s">
        <v>6</v>
      </c>
      <c r="Q1429" s="86" t="s">
        <v>46</v>
      </c>
      <c r="R1429" s="86" t="s">
        <v>3655</v>
      </c>
      <c r="S1429" s="87" t="s">
        <v>1688</v>
      </c>
      <c r="T1429" s="87" t="s">
        <v>342</v>
      </c>
      <c r="U1429" s="88">
        <v>35000</v>
      </c>
      <c r="V1429" s="88">
        <v>37800</v>
      </c>
      <c r="W1429" s="88">
        <v>35000</v>
      </c>
      <c r="X1429" s="88">
        <v>37800</v>
      </c>
      <c r="Z1429" s="88">
        <v>0</v>
      </c>
      <c r="AA1429" s="85">
        <v>43719</v>
      </c>
      <c r="AB1429" s="85">
        <v>43719</v>
      </c>
      <c r="AD1429" s="84">
        <v>0</v>
      </c>
      <c r="AG1429" s="84">
        <v>0</v>
      </c>
      <c r="AJ1429" s="84">
        <v>0</v>
      </c>
      <c r="AR1429" s="85">
        <v>43728</v>
      </c>
      <c r="AS1429" s="84">
        <v>6001714069</v>
      </c>
      <c r="AT1429" s="85">
        <v>43732</v>
      </c>
      <c r="AU1429" s="84" t="s">
        <v>3771</v>
      </c>
      <c r="AV1429" s="85">
        <v>43732</v>
      </c>
      <c r="AW1429" s="123">
        <v>43738</v>
      </c>
      <c r="AX1429" s="123">
        <v>43758</v>
      </c>
      <c r="AY1429" s="132">
        <v>33600</v>
      </c>
      <c r="AZ1429" s="132">
        <f>ROUNDDOWN(AY1429+(AY1429*MASTER!$A$2/100),0)</f>
        <v>36288</v>
      </c>
      <c r="BA1429" s="84" t="s">
        <v>745</v>
      </c>
      <c r="BB1429" s="88">
        <v>21000</v>
      </c>
      <c r="BC1429" s="88">
        <v>22680</v>
      </c>
      <c r="BD1429" s="84" t="s">
        <v>3431</v>
      </c>
      <c r="BG1429" s="88">
        <v>0</v>
      </c>
      <c r="BK1429" s="88">
        <v>0</v>
      </c>
      <c r="BS1429" s="88">
        <v>0</v>
      </c>
      <c r="BV1429" s="89">
        <v>37800</v>
      </c>
      <c r="BW1429" s="89">
        <v>22680</v>
      </c>
      <c r="BX1429" s="89">
        <v>43717</v>
      </c>
      <c r="BY1429" s="89">
        <v>15120</v>
      </c>
      <c r="BZ1429" s="112">
        <v>40</v>
      </c>
    </row>
    <row r="1430" spans="1:89" s="151" customFormat="1" x14ac:dyDescent="0.15">
      <c r="A1430" s="141">
        <v>3</v>
      </c>
      <c r="B1430" s="142"/>
      <c r="C1430" s="142" t="s">
        <v>338</v>
      </c>
      <c r="D1430" s="142"/>
      <c r="E1430" s="142"/>
      <c r="F1430" s="142" t="s">
        <v>338</v>
      </c>
      <c r="G1430" s="142"/>
      <c r="H1430" s="142" t="s">
        <v>338</v>
      </c>
      <c r="I1430" s="141"/>
      <c r="J1430" s="141">
        <v>1</v>
      </c>
      <c r="K1430" s="142"/>
      <c r="L1430" s="141">
        <v>0</v>
      </c>
      <c r="M1430" s="142">
        <v>43718</v>
      </c>
      <c r="N1430" s="142" t="s">
        <v>265</v>
      </c>
      <c r="O1430" s="143" t="s">
        <v>340</v>
      </c>
      <c r="P1430" s="141" t="s">
        <v>26</v>
      </c>
      <c r="Q1430" s="143" t="s">
        <v>46</v>
      </c>
      <c r="R1430" s="143" t="s">
        <v>3714</v>
      </c>
      <c r="S1430" s="144" t="s">
        <v>2909</v>
      </c>
      <c r="T1430" s="144" t="s">
        <v>3715</v>
      </c>
      <c r="U1430" s="145">
        <v>87500</v>
      </c>
      <c r="V1430" s="145">
        <v>94500</v>
      </c>
      <c r="W1430" s="145">
        <v>75500</v>
      </c>
      <c r="X1430" s="145">
        <v>81540</v>
      </c>
      <c r="Y1430" s="145">
        <v>12000</v>
      </c>
      <c r="Z1430" s="145">
        <v>12960</v>
      </c>
      <c r="AA1430" s="142">
        <v>43740</v>
      </c>
      <c r="AB1430" s="142">
        <v>43742</v>
      </c>
      <c r="AC1430" s="142"/>
      <c r="AD1430" s="141">
        <v>0</v>
      </c>
      <c r="AE1430" s="141"/>
      <c r="AF1430" s="141"/>
      <c r="AG1430" s="141">
        <v>0</v>
      </c>
      <c r="AH1430" s="141"/>
      <c r="AI1430" s="141"/>
      <c r="AJ1430" s="141">
        <v>0</v>
      </c>
      <c r="AK1430" s="141"/>
      <c r="AL1430" s="141"/>
      <c r="AM1430" s="141" t="s">
        <v>290</v>
      </c>
      <c r="AN1430" s="141" t="s">
        <v>3716</v>
      </c>
      <c r="AO1430" s="142"/>
      <c r="AP1430" s="141"/>
      <c r="AQ1430" s="141"/>
      <c r="AR1430" s="142"/>
      <c r="AS1430" s="141"/>
      <c r="AT1430" s="142"/>
      <c r="AU1430" s="141"/>
      <c r="AV1430" s="142"/>
      <c r="AW1430" s="146"/>
      <c r="AX1430" s="146"/>
      <c r="AY1430" s="147">
        <v>84000</v>
      </c>
      <c r="AZ1430" s="147">
        <f>ROUNDDOWN(AY1430+(AY1430*MASTER!$A$2/100),0)</f>
        <v>90720</v>
      </c>
      <c r="BA1430" s="141"/>
      <c r="BB1430" s="145"/>
      <c r="BC1430" s="145">
        <v>0</v>
      </c>
      <c r="BD1430" s="141"/>
      <c r="BE1430" s="141"/>
      <c r="BF1430" s="145"/>
      <c r="BG1430" s="145">
        <v>0</v>
      </c>
      <c r="BH1430" s="141"/>
      <c r="BI1430" s="141"/>
      <c r="BJ1430" s="145"/>
      <c r="BK1430" s="145">
        <v>0</v>
      </c>
      <c r="BL1430" s="141"/>
      <c r="BM1430" s="145"/>
      <c r="BN1430" s="145"/>
      <c r="BO1430" s="145"/>
      <c r="BP1430" s="145"/>
      <c r="BQ1430" s="145"/>
      <c r="BR1430" s="145"/>
      <c r="BS1430" s="145">
        <v>0</v>
      </c>
      <c r="BT1430" s="148"/>
      <c r="BU1430" s="148"/>
      <c r="BV1430" s="149">
        <v>81540</v>
      </c>
      <c r="BW1430" s="149">
        <v>0</v>
      </c>
      <c r="BX1430" s="149">
        <v>43718</v>
      </c>
      <c r="BY1430" s="149">
        <v>81540</v>
      </c>
      <c r="BZ1430" s="150">
        <v>100</v>
      </c>
      <c r="CA1430" s="141"/>
      <c r="CB1430" s="141"/>
      <c r="CC1430" s="141"/>
      <c r="CD1430" s="144" t="s">
        <v>3717</v>
      </c>
      <c r="CE1430" s="142"/>
      <c r="CF1430" s="142"/>
      <c r="CG1430" s="142"/>
      <c r="CH1430" s="142"/>
      <c r="CI1430" s="142"/>
      <c r="CJ1430" s="142"/>
      <c r="CK1430" s="145">
        <v>0</v>
      </c>
    </row>
    <row r="1431" spans="1:89" x14ac:dyDescent="0.15">
      <c r="A1431" s="84">
        <v>2</v>
      </c>
      <c r="B1431" s="85">
        <v>43728</v>
      </c>
      <c r="C1431" s="85">
        <v>43733</v>
      </c>
      <c r="D1431" s="85">
        <v>43796</v>
      </c>
      <c r="E1431" s="85">
        <v>43741</v>
      </c>
      <c r="F1431" s="85">
        <v>43740</v>
      </c>
      <c r="G1431" s="85">
        <v>43733</v>
      </c>
      <c r="H1431" s="85">
        <v>43736</v>
      </c>
      <c r="I1431" s="84" t="s">
        <v>1191</v>
      </c>
      <c r="J1431" s="84">
        <v>1</v>
      </c>
      <c r="L1431" s="84">
        <v>0</v>
      </c>
      <c r="M1431" s="85">
        <v>43718</v>
      </c>
      <c r="N1431" s="85" t="s">
        <v>265</v>
      </c>
      <c r="O1431" s="86" t="s">
        <v>340</v>
      </c>
      <c r="P1431" s="84" t="s">
        <v>26</v>
      </c>
      <c r="Q1431" s="86" t="s">
        <v>46</v>
      </c>
      <c r="R1431" s="86" t="s">
        <v>3752</v>
      </c>
      <c r="S1431" s="87" t="s">
        <v>571</v>
      </c>
      <c r="T1431" s="87" t="s">
        <v>797</v>
      </c>
      <c r="U1431" s="88">
        <v>50000</v>
      </c>
      <c r="V1431" s="88">
        <v>54000</v>
      </c>
      <c r="W1431" s="88">
        <v>47000</v>
      </c>
      <c r="X1431" s="88">
        <v>50760</v>
      </c>
      <c r="Y1431" s="88">
        <v>3000</v>
      </c>
      <c r="Z1431" s="88">
        <v>3240</v>
      </c>
      <c r="AA1431" s="85">
        <v>43732</v>
      </c>
      <c r="AB1431" s="85">
        <v>43733</v>
      </c>
      <c r="AC1431" s="85">
        <v>43733</v>
      </c>
      <c r="AD1431" s="84">
        <v>0</v>
      </c>
      <c r="AG1431" s="84">
        <v>0</v>
      </c>
      <c r="AJ1431" s="84">
        <v>0</v>
      </c>
      <c r="AM1431" s="84" t="s">
        <v>290</v>
      </c>
      <c r="AN1431" s="84" t="s">
        <v>3753</v>
      </c>
      <c r="AR1431" s="85">
        <v>43726</v>
      </c>
      <c r="AS1431" s="84">
        <v>6001712983</v>
      </c>
      <c r="AT1431" s="85">
        <v>43727</v>
      </c>
      <c r="AU1431" s="84" t="s">
        <v>3736</v>
      </c>
      <c r="AV1431" s="85">
        <v>43733</v>
      </c>
      <c r="AW1431" s="123">
        <v>43738</v>
      </c>
      <c r="AX1431" s="123">
        <v>43758</v>
      </c>
      <c r="AY1431" s="132">
        <v>48000</v>
      </c>
      <c r="AZ1431" s="132">
        <f>ROUNDDOWN(AY1431+(AY1431*MASTER!$A$2/100),0)</f>
        <v>51840</v>
      </c>
      <c r="BA1431" s="84" t="s">
        <v>287</v>
      </c>
      <c r="BB1431" s="88">
        <v>21000</v>
      </c>
      <c r="BC1431" s="88">
        <v>22680</v>
      </c>
      <c r="BD1431" s="84" t="s">
        <v>3431</v>
      </c>
      <c r="BG1431" s="88">
        <v>0</v>
      </c>
      <c r="BI1431" s="84" t="s">
        <v>434</v>
      </c>
      <c r="BJ1431" s="88">
        <v>1950</v>
      </c>
      <c r="BK1431" s="88">
        <v>2106</v>
      </c>
      <c r="BL1431" s="84" t="s">
        <v>3431</v>
      </c>
      <c r="BS1431" s="88">
        <v>0</v>
      </c>
      <c r="BV1431" s="89">
        <v>50760</v>
      </c>
      <c r="BW1431" s="89">
        <v>24786</v>
      </c>
      <c r="BX1431" s="89">
        <v>43718</v>
      </c>
      <c r="BY1431" s="89">
        <v>25974</v>
      </c>
      <c r="BZ1431" s="112">
        <v>51.170212765957444</v>
      </c>
      <c r="CK1431" s="88">
        <v>0</v>
      </c>
    </row>
    <row r="1432" spans="1:89" x14ac:dyDescent="0.15">
      <c r="A1432" s="84">
        <v>2</v>
      </c>
      <c r="B1432" s="85">
        <v>43753</v>
      </c>
      <c r="C1432" s="85">
        <v>43749</v>
      </c>
      <c r="D1432" s="85">
        <v>43796</v>
      </c>
      <c r="E1432" s="85">
        <v>43754</v>
      </c>
      <c r="F1432" s="85">
        <v>43756</v>
      </c>
      <c r="G1432" s="85">
        <v>43753</v>
      </c>
      <c r="H1432" s="85">
        <v>43752</v>
      </c>
      <c r="I1432" s="84" t="s">
        <v>1191</v>
      </c>
      <c r="J1432" s="84">
        <v>1</v>
      </c>
      <c r="L1432" s="84">
        <v>0</v>
      </c>
      <c r="M1432" s="85">
        <v>43718</v>
      </c>
      <c r="N1432" s="85" t="s">
        <v>265</v>
      </c>
      <c r="O1432" s="86" t="s">
        <v>340</v>
      </c>
      <c r="P1432" s="84" t="s">
        <v>26</v>
      </c>
      <c r="Q1432" s="86" t="s">
        <v>46</v>
      </c>
      <c r="R1432" s="86" t="s">
        <v>3910</v>
      </c>
      <c r="S1432" s="87" t="s">
        <v>1248</v>
      </c>
      <c r="T1432" s="87" t="s">
        <v>1308</v>
      </c>
      <c r="U1432" s="88">
        <v>59000</v>
      </c>
      <c r="V1432" s="88">
        <v>63720</v>
      </c>
      <c r="W1432" s="88">
        <v>47000</v>
      </c>
      <c r="X1432" s="88">
        <v>50760</v>
      </c>
      <c r="Y1432" s="88">
        <v>12000</v>
      </c>
      <c r="Z1432" s="88">
        <v>12960</v>
      </c>
      <c r="AA1432" s="85">
        <v>43748</v>
      </c>
      <c r="AB1432" s="85">
        <v>43749</v>
      </c>
      <c r="AC1432" s="85">
        <v>43749</v>
      </c>
      <c r="AD1432" s="84">
        <v>0</v>
      </c>
      <c r="AG1432" s="84">
        <v>0</v>
      </c>
      <c r="AJ1432" s="84">
        <v>0</v>
      </c>
      <c r="AM1432" s="84" t="s">
        <v>290</v>
      </c>
      <c r="AN1432" s="84" t="s">
        <v>3911</v>
      </c>
      <c r="AR1432" s="85">
        <v>43748</v>
      </c>
      <c r="AS1432" s="84">
        <v>6001720128</v>
      </c>
      <c r="AT1432" s="85">
        <v>43749</v>
      </c>
      <c r="AU1432" s="84" t="s">
        <v>3909</v>
      </c>
      <c r="AV1432" s="85">
        <v>43749</v>
      </c>
      <c r="AW1432" s="123">
        <v>43769</v>
      </c>
      <c r="AX1432" s="123">
        <v>43789</v>
      </c>
      <c r="AY1432" s="132">
        <v>56640</v>
      </c>
      <c r="AZ1432" s="132">
        <f>ROUNDDOWN(AY1432+(AY1432*0.1),0)</f>
        <v>62304</v>
      </c>
      <c r="BA1432" s="84" t="s">
        <v>287</v>
      </c>
      <c r="BB1432" s="88">
        <v>22000</v>
      </c>
      <c r="BC1432" s="88">
        <v>23760</v>
      </c>
      <c r="BD1432" s="84" t="s">
        <v>188</v>
      </c>
      <c r="BG1432" s="88">
        <v>0</v>
      </c>
      <c r="BK1432" s="88">
        <v>0</v>
      </c>
      <c r="BS1432" s="88">
        <v>0</v>
      </c>
      <c r="BV1432" s="89">
        <v>50760</v>
      </c>
      <c r="BW1432" s="89">
        <v>23760</v>
      </c>
      <c r="BX1432" s="89">
        <v>43718</v>
      </c>
      <c r="BY1432" s="89">
        <v>27000</v>
      </c>
      <c r="BZ1432" s="112">
        <v>53.191489361702125</v>
      </c>
      <c r="CC1432" s="84">
        <v>2019</v>
      </c>
      <c r="CK1432" s="88">
        <v>0</v>
      </c>
    </row>
    <row r="1433" spans="1:89" x14ac:dyDescent="0.15">
      <c r="A1433" s="84">
        <v>2</v>
      </c>
      <c r="B1433" s="85">
        <v>43726</v>
      </c>
      <c r="C1433" s="85">
        <v>43725</v>
      </c>
      <c r="D1433" s="85">
        <v>43725</v>
      </c>
      <c r="E1433" s="85">
        <v>43725</v>
      </c>
      <c r="F1433" s="85" t="s">
        <v>338</v>
      </c>
      <c r="G1433" s="85">
        <v>43725</v>
      </c>
      <c r="H1433" s="85" t="s">
        <v>338</v>
      </c>
      <c r="I1433" s="84" t="s">
        <v>380</v>
      </c>
      <c r="J1433" s="84">
        <v>2</v>
      </c>
      <c r="L1433" s="84">
        <v>0</v>
      </c>
      <c r="M1433" s="85">
        <v>43718</v>
      </c>
      <c r="N1433" s="85" t="s">
        <v>265</v>
      </c>
      <c r="O1433" s="86" t="s">
        <v>340</v>
      </c>
      <c r="P1433" s="84" t="s">
        <v>6</v>
      </c>
      <c r="Q1433" s="86" t="s">
        <v>46</v>
      </c>
      <c r="R1433" s="86" t="s">
        <v>3665</v>
      </c>
      <c r="S1433" s="87" t="s">
        <v>2210</v>
      </c>
      <c r="T1433" s="87" t="s">
        <v>342</v>
      </c>
      <c r="U1433" s="88">
        <v>35000</v>
      </c>
      <c r="V1433" s="88">
        <v>37800</v>
      </c>
      <c r="W1433" s="88">
        <v>35000</v>
      </c>
      <c r="X1433" s="88">
        <v>37800</v>
      </c>
      <c r="Z1433" s="88">
        <v>0</v>
      </c>
      <c r="AA1433" s="85">
        <v>43720</v>
      </c>
      <c r="AB1433" s="85">
        <v>43720</v>
      </c>
      <c r="AD1433" s="84">
        <v>0</v>
      </c>
      <c r="AG1433" s="84">
        <v>0</v>
      </c>
      <c r="AJ1433" s="84">
        <v>0</v>
      </c>
      <c r="AN1433" s="84" t="s">
        <v>338</v>
      </c>
      <c r="AR1433" s="85">
        <v>43720</v>
      </c>
      <c r="AS1433" s="84">
        <v>6001711559</v>
      </c>
      <c r="AT1433" s="85">
        <v>43725</v>
      </c>
      <c r="AU1433" s="84" t="s">
        <v>3709</v>
      </c>
      <c r="AV1433" s="85">
        <v>43725</v>
      </c>
      <c r="AW1433" s="123">
        <v>43738</v>
      </c>
      <c r="AX1433" s="123">
        <v>43758</v>
      </c>
      <c r="AY1433" s="132">
        <v>33600</v>
      </c>
      <c r="AZ1433" s="132">
        <f>ROUNDDOWN(AY1433+(AY1433*MASTER!$A$2/100),0)</f>
        <v>36288</v>
      </c>
      <c r="BA1433" s="84" t="s">
        <v>287</v>
      </c>
      <c r="BB1433" s="88">
        <v>42000</v>
      </c>
      <c r="BC1433" s="88">
        <v>45360</v>
      </c>
      <c r="BD1433" s="84" t="s">
        <v>3431</v>
      </c>
      <c r="BG1433" s="88">
        <v>0</v>
      </c>
      <c r="BK1433" s="88">
        <v>0</v>
      </c>
      <c r="BS1433" s="88">
        <v>0</v>
      </c>
      <c r="BV1433" s="89">
        <v>37800</v>
      </c>
      <c r="BW1433" s="89">
        <v>45360</v>
      </c>
      <c r="BX1433" s="89">
        <v>43718</v>
      </c>
      <c r="BY1433" s="89">
        <v>-7560</v>
      </c>
      <c r="BZ1433" s="112">
        <v>-20</v>
      </c>
      <c r="CK1433" s="88">
        <v>0</v>
      </c>
    </row>
    <row r="1434" spans="1:89" x14ac:dyDescent="0.15">
      <c r="A1434" s="84">
        <v>1</v>
      </c>
      <c r="B1434" s="85">
        <v>43739</v>
      </c>
      <c r="C1434" s="85">
        <v>43753</v>
      </c>
      <c r="F1434" s="85" t="s">
        <v>338</v>
      </c>
      <c r="H1434" s="85" t="s">
        <v>338</v>
      </c>
      <c r="J1434" s="84">
        <v>3</v>
      </c>
      <c r="L1434" s="84">
        <v>0</v>
      </c>
      <c r="M1434" s="85">
        <v>43719</v>
      </c>
      <c r="N1434" s="85" t="s">
        <v>265</v>
      </c>
      <c r="O1434" s="86" t="s">
        <v>340</v>
      </c>
      <c r="P1434" s="84" t="s">
        <v>6</v>
      </c>
      <c r="Q1434" s="86" t="s">
        <v>46</v>
      </c>
      <c r="R1434" s="86" t="s">
        <v>3673</v>
      </c>
      <c r="S1434" s="87" t="s">
        <v>2399</v>
      </c>
      <c r="T1434" s="87" t="s">
        <v>2599</v>
      </c>
      <c r="U1434" s="88">
        <v>9000</v>
      </c>
      <c r="V1434" s="88">
        <v>9720</v>
      </c>
      <c r="X1434" s="88">
        <v>0</v>
      </c>
      <c r="Y1434" s="88">
        <v>9000</v>
      </c>
      <c r="Z1434" s="88">
        <v>9720</v>
      </c>
      <c r="AD1434" s="84">
        <v>0</v>
      </c>
      <c r="AG1434" s="84">
        <v>0</v>
      </c>
      <c r="AJ1434" s="84">
        <v>0</v>
      </c>
      <c r="AR1434" s="85">
        <v>43725</v>
      </c>
      <c r="AS1434" s="84">
        <v>6001712466</v>
      </c>
      <c r="AT1434" s="85">
        <v>43725</v>
      </c>
      <c r="AU1434" s="84" t="s">
        <v>3707</v>
      </c>
      <c r="AV1434" s="85">
        <v>43753</v>
      </c>
      <c r="AW1434" s="123">
        <v>43769</v>
      </c>
      <c r="AX1434" s="123">
        <v>43789</v>
      </c>
      <c r="AY1434" s="132">
        <v>8640</v>
      </c>
      <c r="AZ1434" s="132">
        <f>ROUNDDOWN(AY1434+(AY1434*0.1),0)</f>
        <v>9504</v>
      </c>
      <c r="BC1434" s="88">
        <v>0</v>
      </c>
      <c r="BG1434" s="88">
        <v>0</v>
      </c>
      <c r="BK1434" s="88">
        <v>0</v>
      </c>
      <c r="BS1434" s="88">
        <v>0</v>
      </c>
      <c r="BV1434" s="89">
        <v>0</v>
      </c>
      <c r="BW1434" s="89">
        <v>0</v>
      </c>
      <c r="BX1434" s="89">
        <v>43719</v>
      </c>
      <c r="BY1434" s="89">
        <v>0</v>
      </c>
      <c r="BZ1434" s="112" t="s">
        <v>338</v>
      </c>
    </row>
    <row r="1435" spans="1:89" x14ac:dyDescent="0.15">
      <c r="A1435" s="84">
        <v>1</v>
      </c>
      <c r="C1435" s="85" t="s">
        <v>338</v>
      </c>
      <c r="F1435" s="85" t="s">
        <v>338</v>
      </c>
      <c r="H1435" s="85" t="s">
        <v>338</v>
      </c>
      <c r="J1435" s="84">
        <v>2</v>
      </c>
      <c r="L1435" s="84">
        <v>0</v>
      </c>
      <c r="M1435" s="85">
        <v>43684</v>
      </c>
      <c r="N1435" s="85" t="s">
        <v>264</v>
      </c>
      <c r="O1435" s="86" t="s">
        <v>340</v>
      </c>
      <c r="P1435" s="84" t="s">
        <v>272</v>
      </c>
      <c r="Q1435" s="86" t="s">
        <v>46</v>
      </c>
      <c r="R1435" s="86" t="s">
        <v>3674</v>
      </c>
      <c r="S1435" s="87" t="s">
        <v>387</v>
      </c>
      <c r="T1435" s="87" t="s">
        <v>3675</v>
      </c>
      <c r="U1435" s="88">
        <v>155000</v>
      </c>
      <c r="V1435" s="88">
        <v>167400</v>
      </c>
      <c r="W1435" s="88">
        <v>155000</v>
      </c>
      <c r="X1435" s="88">
        <v>167400</v>
      </c>
      <c r="Y1435" s="88">
        <v>0</v>
      </c>
      <c r="Z1435" s="88">
        <v>0</v>
      </c>
      <c r="AD1435" s="84">
        <v>0</v>
      </c>
      <c r="AG1435" s="84">
        <v>0</v>
      </c>
      <c r="AJ1435" s="84">
        <v>0</v>
      </c>
      <c r="AR1435" s="85">
        <v>43725</v>
      </c>
      <c r="AS1435" s="84">
        <v>6001712509</v>
      </c>
      <c r="AT1435" s="85">
        <v>43727</v>
      </c>
      <c r="AU1435" s="84" t="s">
        <v>3738</v>
      </c>
      <c r="AV1435" s="85">
        <v>43728</v>
      </c>
      <c r="AW1435" s="123">
        <v>43738</v>
      </c>
      <c r="AX1435" s="123">
        <v>43758</v>
      </c>
      <c r="AY1435" s="140">
        <v>155000</v>
      </c>
      <c r="AZ1435" s="132">
        <f>ROUNDDOWN(AY1435+(AY1435*MASTER!$A$2/100),0)</f>
        <v>167400</v>
      </c>
      <c r="BC1435" s="88">
        <v>0</v>
      </c>
      <c r="BG1435" s="88">
        <v>0</v>
      </c>
      <c r="BK1435" s="88">
        <v>0</v>
      </c>
      <c r="BS1435" s="88">
        <v>0</v>
      </c>
      <c r="BV1435" s="89">
        <v>167400</v>
      </c>
      <c r="BW1435" s="89">
        <v>0</v>
      </c>
      <c r="BX1435" s="89">
        <v>43684</v>
      </c>
      <c r="BY1435" s="89">
        <v>167400</v>
      </c>
      <c r="BZ1435" s="112">
        <v>100</v>
      </c>
    </row>
    <row r="1436" spans="1:89" x14ac:dyDescent="0.15">
      <c r="A1436" s="84">
        <v>1</v>
      </c>
      <c r="B1436" s="85">
        <v>43733</v>
      </c>
      <c r="C1436" s="85">
        <v>43732</v>
      </c>
      <c r="F1436" s="85" t="s">
        <v>338</v>
      </c>
      <c r="H1436" s="85" t="s">
        <v>338</v>
      </c>
      <c r="J1436" s="84">
        <v>2</v>
      </c>
      <c r="L1436" s="84">
        <v>0</v>
      </c>
      <c r="M1436" s="85">
        <v>43720</v>
      </c>
      <c r="N1436" s="85" t="s">
        <v>265</v>
      </c>
      <c r="O1436" s="86" t="s">
        <v>340</v>
      </c>
      <c r="P1436" s="84" t="s">
        <v>78</v>
      </c>
      <c r="Q1436" s="86" t="s">
        <v>46</v>
      </c>
      <c r="R1436" s="86" t="s">
        <v>3676</v>
      </c>
      <c r="S1436" s="87" t="s">
        <v>600</v>
      </c>
      <c r="T1436" s="87" t="s">
        <v>3677</v>
      </c>
      <c r="U1436" s="88">
        <v>65000</v>
      </c>
      <c r="V1436" s="88">
        <v>70200</v>
      </c>
      <c r="W1436" s="88">
        <v>65000</v>
      </c>
      <c r="X1436" s="88">
        <v>70200</v>
      </c>
      <c r="Z1436" s="88">
        <v>0</v>
      </c>
      <c r="AA1436" s="85">
        <v>43724</v>
      </c>
      <c r="AB1436" s="85">
        <v>43725</v>
      </c>
      <c r="AD1436" s="84">
        <v>0</v>
      </c>
      <c r="AG1436" s="84">
        <v>0</v>
      </c>
      <c r="AJ1436" s="84">
        <v>0</v>
      </c>
      <c r="AN1436" s="84" t="s">
        <v>338</v>
      </c>
      <c r="AR1436" s="85">
        <v>43728</v>
      </c>
      <c r="AS1436" s="84">
        <v>6001714069</v>
      </c>
      <c r="AT1436" s="85">
        <v>43732</v>
      </c>
      <c r="AU1436" s="84" t="s">
        <v>3771</v>
      </c>
      <c r="AV1436" s="85">
        <v>43732</v>
      </c>
      <c r="AW1436" s="123">
        <v>43738</v>
      </c>
      <c r="AX1436" s="123">
        <v>43758</v>
      </c>
      <c r="AY1436" s="132">
        <v>62400</v>
      </c>
      <c r="AZ1436" s="132">
        <f>ROUNDDOWN(AY1436+(AY1436*MASTER!$A$2/100),0)</f>
        <v>67392</v>
      </c>
      <c r="BC1436" s="88">
        <v>0</v>
      </c>
      <c r="BG1436" s="88">
        <v>0</v>
      </c>
      <c r="BK1436" s="88">
        <v>0</v>
      </c>
      <c r="BS1436" s="88">
        <v>0</v>
      </c>
      <c r="BV1436" s="89">
        <v>70200</v>
      </c>
      <c r="BW1436" s="89">
        <v>0</v>
      </c>
      <c r="BX1436" s="89">
        <v>43720</v>
      </c>
      <c r="BY1436" s="89">
        <v>70200</v>
      </c>
      <c r="BZ1436" s="112">
        <v>100</v>
      </c>
      <c r="CK1436" s="88">
        <v>0</v>
      </c>
    </row>
    <row r="1437" spans="1:89" x14ac:dyDescent="0.15">
      <c r="A1437" s="84">
        <v>1</v>
      </c>
      <c r="B1437" s="85">
        <v>43733</v>
      </c>
      <c r="C1437" s="85">
        <v>43732</v>
      </c>
      <c r="F1437" s="85" t="s">
        <v>338</v>
      </c>
      <c r="H1437" s="85" t="s">
        <v>338</v>
      </c>
      <c r="J1437" s="84">
        <v>2</v>
      </c>
      <c r="L1437" s="84">
        <v>0</v>
      </c>
      <c r="M1437" s="85">
        <v>43720</v>
      </c>
      <c r="N1437" s="85" t="s">
        <v>265</v>
      </c>
      <c r="O1437" s="86" t="s">
        <v>340</v>
      </c>
      <c r="P1437" s="84" t="s">
        <v>78</v>
      </c>
      <c r="Q1437" s="86" t="s">
        <v>46</v>
      </c>
      <c r="R1437" s="86" t="s">
        <v>3678</v>
      </c>
      <c r="S1437" s="87" t="s">
        <v>1204</v>
      </c>
      <c r="T1437" s="87" t="s">
        <v>1067</v>
      </c>
      <c r="U1437" s="88">
        <v>65000</v>
      </c>
      <c r="V1437" s="88">
        <v>70200</v>
      </c>
      <c r="W1437" s="88">
        <v>65000</v>
      </c>
      <c r="X1437" s="88">
        <v>70200</v>
      </c>
      <c r="Z1437" s="88">
        <v>0</v>
      </c>
      <c r="AA1437" s="85">
        <v>43725</v>
      </c>
      <c r="AB1437" s="85">
        <v>43726</v>
      </c>
      <c r="AD1437" s="84">
        <v>0</v>
      </c>
      <c r="AG1437" s="84">
        <v>0</v>
      </c>
      <c r="AJ1437" s="84">
        <v>0</v>
      </c>
      <c r="AN1437" s="84" t="s">
        <v>338</v>
      </c>
      <c r="AR1437" s="85">
        <v>43728</v>
      </c>
      <c r="AS1437" s="84">
        <v>6001714069</v>
      </c>
      <c r="AT1437" s="85">
        <v>43732</v>
      </c>
      <c r="AU1437" s="84" t="s">
        <v>3771</v>
      </c>
      <c r="AV1437" s="85">
        <v>43732</v>
      </c>
      <c r="AW1437" s="123">
        <v>43738</v>
      </c>
      <c r="AX1437" s="123">
        <v>43758</v>
      </c>
      <c r="AY1437" s="132">
        <v>62400</v>
      </c>
      <c r="AZ1437" s="132">
        <f>ROUNDDOWN(AY1437+(AY1437*MASTER!$A$2/100),0)</f>
        <v>67392</v>
      </c>
      <c r="BC1437" s="88">
        <v>0</v>
      </c>
      <c r="BG1437" s="88">
        <v>0</v>
      </c>
      <c r="BK1437" s="88">
        <v>0</v>
      </c>
      <c r="BS1437" s="88">
        <v>0</v>
      </c>
      <c r="BV1437" s="89">
        <v>70200</v>
      </c>
      <c r="BW1437" s="89">
        <v>0</v>
      </c>
      <c r="BX1437" s="89">
        <v>43720</v>
      </c>
      <c r="BY1437" s="89">
        <v>70200</v>
      </c>
      <c r="BZ1437" s="112">
        <v>100</v>
      </c>
      <c r="CK1437" s="88">
        <v>0</v>
      </c>
    </row>
    <row r="1438" spans="1:89" x14ac:dyDescent="0.15">
      <c r="A1438" s="84">
        <v>1</v>
      </c>
      <c r="B1438" s="85">
        <v>43733</v>
      </c>
      <c r="C1438" s="85">
        <v>43732</v>
      </c>
      <c r="F1438" s="85" t="s">
        <v>338</v>
      </c>
      <c r="H1438" s="85" t="s">
        <v>338</v>
      </c>
      <c r="J1438" s="84">
        <v>2</v>
      </c>
      <c r="L1438" s="84">
        <v>0</v>
      </c>
      <c r="M1438" s="85">
        <v>43720</v>
      </c>
      <c r="N1438" s="85" t="s">
        <v>265</v>
      </c>
      <c r="O1438" s="86" t="s">
        <v>340</v>
      </c>
      <c r="P1438" s="84" t="s">
        <v>78</v>
      </c>
      <c r="Q1438" s="86" t="s">
        <v>46</v>
      </c>
      <c r="R1438" s="86" t="s">
        <v>3796</v>
      </c>
      <c r="S1438" s="87" t="s">
        <v>1908</v>
      </c>
      <c r="T1438" s="87" t="s">
        <v>1067</v>
      </c>
      <c r="U1438" s="88">
        <v>65000</v>
      </c>
      <c r="V1438" s="88">
        <v>70200</v>
      </c>
      <c r="W1438" s="88">
        <v>65000</v>
      </c>
      <c r="X1438" s="88">
        <v>70200</v>
      </c>
      <c r="Z1438" s="88">
        <v>0</v>
      </c>
      <c r="AA1438" s="85">
        <v>43726</v>
      </c>
      <c r="AB1438" s="85">
        <v>43727</v>
      </c>
      <c r="AD1438" s="84">
        <v>0</v>
      </c>
      <c r="AG1438" s="84">
        <v>0</v>
      </c>
      <c r="AJ1438" s="84">
        <v>0</v>
      </c>
      <c r="AN1438" s="84" t="s">
        <v>338</v>
      </c>
      <c r="AR1438" s="85">
        <v>43728</v>
      </c>
      <c r="AS1438" s="84">
        <v>6001714069</v>
      </c>
      <c r="AT1438" s="85">
        <v>43732</v>
      </c>
      <c r="AU1438" s="84" t="s">
        <v>3771</v>
      </c>
      <c r="AV1438" s="85">
        <v>43732</v>
      </c>
      <c r="AW1438" s="123">
        <v>43738</v>
      </c>
      <c r="AX1438" s="123">
        <v>43758</v>
      </c>
      <c r="AY1438" s="132">
        <v>62400</v>
      </c>
      <c r="AZ1438" s="132">
        <f>ROUNDDOWN(AY1438+(AY1438*MASTER!$A$2/100),0)</f>
        <v>67392</v>
      </c>
      <c r="BC1438" s="88">
        <v>0</v>
      </c>
      <c r="BG1438" s="88">
        <v>0</v>
      </c>
      <c r="BK1438" s="88">
        <v>0</v>
      </c>
      <c r="BS1438" s="88">
        <v>0</v>
      </c>
      <c r="BV1438" s="89">
        <v>70200</v>
      </c>
      <c r="BW1438" s="89">
        <v>0</v>
      </c>
      <c r="BX1438" s="89">
        <v>43720</v>
      </c>
      <c r="BY1438" s="89">
        <v>70200</v>
      </c>
      <c r="BZ1438" s="112">
        <v>100</v>
      </c>
      <c r="CK1438" s="88">
        <v>0</v>
      </c>
    </row>
    <row r="1439" spans="1:89" x14ac:dyDescent="0.15">
      <c r="A1439" s="84">
        <v>1</v>
      </c>
      <c r="B1439" s="85">
        <v>43733</v>
      </c>
      <c r="C1439" s="85">
        <v>43734</v>
      </c>
      <c r="F1439" s="85" t="s">
        <v>338</v>
      </c>
      <c r="H1439" s="85" t="s">
        <v>338</v>
      </c>
      <c r="J1439" s="84">
        <v>2</v>
      </c>
      <c r="L1439" s="84">
        <v>0</v>
      </c>
      <c r="M1439" s="85">
        <v>43720</v>
      </c>
      <c r="N1439" s="85" t="s">
        <v>265</v>
      </c>
      <c r="O1439" s="86" t="s">
        <v>340</v>
      </c>
      <c r="P1439" s="84" t="s">
        <v>78</v>
      </c>
      <c r="Q1439" s="86" t="s">
        <v>46</v>
      </c>
      <c r="R1439" s="86" t="s">
        <v>3795</v>
      </c>
      <c r="S1439" s="87" t="s">
        <v>1900</v>
      </c>
      <c r="T1439" s="87" t="s">
        <v>1067</v>
      </c>
      <c r="U1439" s="88">
        <v>65000</v>
      </c>
      <c r="V1439" s="88">
        <v>70200</v>
      </c>
      <c r="W1439" s="88">
        <v>65000</v>
      </c>
      <c r="X1439" s="88">
        <v>70200</v>
      </c>
      <c r="Z1439" s="88">
        <v>0</v>
      </c>
      <c r="AA1439" s="85">
        <v>43738</v>
      </c>
      <c r="AB1439" s="85">
        <v>43739</v>
      </c>
      <c r="AD1439" s="84">
        <v>0</v>
      </c>
      <c r="AG1439" s="84">
        <v>0</v>
      </c>
      <c r="AJ1439" s="84">
        <v>0</v>
      </c>
      <c r="AN1439" s="84" t="s">
        <v>338</v>
      </c>
      <c r="AR1439" s="85">
        <v>43728</v>
      </c>
      <c r="AS1439" s="84">
        <v>6001714069</v>
      </c>
      <c r="AT1439" s="85">
        <v>43732</v>
      </c>
      <c r="AU1439" s="84" t="s">
        <v>3771</v>
      </c>
      <c r="AV1439" s="85">
        <v>43734</v>
      </c>
      <c r="AW1439" s="123">
        <v>43738</v>
      </c>
      <c r="AX1439" s="123">
        <v>43758</v>
      </c>
      <c r="AY1439" s="132">
        <v>62400</v>
      </c>
      <c r="AZ1439" s="132">
        <f>ROUNDDOWN(AY1439+(AY1439*MASTER!$A$2/100),0)</f>
        <v>67392</v>
      </c>
      <c r="BC1439" s="88">
        <v>0</v>
      </c>
      <c r="BG1439" s="88">
        <v>0</v>
      </c>
      <c r="BK1439" s="88">
        <v>0</v>
      </c>
      <c r="BS1439" s="88">
        <v>0</v>
      </c>
      <c r="BV1439" s="89">
        <v>70200</v>
      </c>
      <c r="BW1439" s="89">
        <v>0</v>
      </c>
      <c r="BX1439" s="89">
        <v>43720</v>
      </c>
      <c r="BY1439" s="89">
        <v>70200</v>
      </c>
      <c r="BZ1439" s="112">
        <v>100</v>
      </c>
      <c r="CK1439" s="88">
        <v>0</v>
      </c>
    </row>
    <row r="1440" spans="1:89" x14ac:dyDescent="0.15">
      <c r="A1440" s="84">
        <v>1</v>
      </c>
      <c r="B1440" s="85">
        <v>43733</v>
      </c>
      <c r="C1440" s="85">
        <v>43735</v>
      </c>
      <c r="F1440" s="85" t="s">
        <v>338</v>
      </c>
      <c r="H1440" s="85" t="s">
        <v>338</v>
      </c>
      <c r="J1440" s="84">
        <v>2</v>
      </c>
      <c r="L1440" s="84">
        <v>0</v>
      </c>
      <c r="M1440" s="85">
        <v>43720</v>
      </c>
      <c r="N1440" s="85" t="s">
        <v>265</v>
      </c>
      <c r="O1440" s="86" t="s">
        <v>340</v>
      </c>
      <c r="P1440" s="84" t="s">
        <v>78</v>
      </c>
      <c r="Q1440" s="86" t="s">
        <v>46</v>
      </c>
      <c r="R1440" s="86" t="s">
        <v>3794</v>
      </c>
      <c r="S1440" s="87" t="s">
        <v>1876</v>
      </c>
      <c r="T1440" s="87" t="s">
        <v>495</v>
      </c>
      <c r="U1440" s="88">
        <v>65000</v>
      </c>
      <c r="V1440" s="88">
        <v>70200</v>
      </c>
      <c r="W1440" s="88">
        <v>65000</v>
      </c>
      <c r="X1440" s="88">
        <v>70200</v>
      </c>
      <c r="Z1440" s="88">
        <v>0</v>
      </c>
      <c r="AA1440" s="85">
        <v>43734</v>
      </c>
      <c r="AB1440" s="85">
        <v>43735</v>
      </c>
      <c r="AD1440" s="84">
        <v>0</v>
      </c>
      <c r="AG1440" s="84">
        <v>0</v>
      </c>
      <c r="AJ1440" s="84">
        <v>0</v>
      </c>
      <c r="AN1440" s="84" t="s">
        <v>338</v>
      </c>
      <c r="AR1440" s="85">
        <v>43728</v>
      </c>
      <c r="AS1440" s="84">
        <v>6001714069</v>
      </c>
      <c r="AT1440" s="85">
        <v>43732</v>
      </c>
      <c r="AU1440" s="84" t="s">
        <v>3771</v>
      </c>
      <c r="AV1440" s="85">
        <v>43735</v>
      </c>
      <c r="AW1440" s="123">
        <v>43738</v>
      </c>
      <c r="AX1440" s="123">
        <v>43758</v>
      </c>
      <c r="AY1440" s="132">
        <v>62400</v>
      </c>
      <c r="AZ1440" s="132">
        <f>ROUNDDOWN(AY1440+(AY1440*MASTER!$A$2/100),0)</f>
        <v>67392</v>
      </c>
      <c r="BC1440" s="88">
        <v>0</v>
      </c>
      <c r="BG1440" s="88">
        <v>0</v>
      </c>
      <c r="BK1440" s="88">
        <v>0</v>
      </c>
      <c r="BS1440" s="88">
        <v>0</v>
      </c>
      <c r="BV1440" s="89">
        <v>70200</v>
      </c>
      <c r="BW1440" s="89">
        <v>0</v>
      </c>
      <c r="BX1440" s="89">
        <v>43720</v>
      </c>
      <c r="BY1440" s="89">
        <v>70200</v>
      </c>
      <c r="BZ1440" s="112">
        <v>100</v>
      </c>
      <c r="CK1440" s="88">
        <v>0</v>
      </c>
    </row>
    <row r="1441" spans="1:89" x14ac:dyDescent="0.15">
      <c r="A1441" s="84">
        <v>1</v>
      </c>
      <c r="B1441" s="85">
        <v>43733</v>
      </c>
      <c r="C1441" s="85">
        <v>43737</v>
      </c>
      <c r="F1441" s="85" t="s">
        <v>338</v>
      </c>
      <c r="H1441" s="85" t="s">
        <v>338</v>
      </c>
      <c r="J1441" s="84">
        <v>2</v>
      </c>
      <c r="L1441" s="84">
        <v>0</v>
      </c>
      <c r="M1441" s="85">
        <v>43720</v>
      </c>
      <c r="N1441" s="85" t="s">
        <v>265</v>
      </c>
      <c r="O1441" s="86" t="s">
        <v>340</v>
      </c>
      <c r="P1441" s="84" t="s">
        <v>78</v>
      </c>
      <c r="Q1441" s="86" t="s">
        <v>46</v>
      </c>
      <c r="R1441" s="86" t="s">
        <v>3793</v>
      </c>
      <c r="S1441" s="87" t="s">
        <v>1047</v>
      </c>
      <c r="T1441" s="87" t="s">
        <v>1067</v>
      </c>
      <c r="U1441" s="88">
        <v>65000</v>
      </c>
      <c r="V1441" s="88">
        <v>70200</v>
      </c>
      <c r="W1441" s="88">
        <v>65000</v>
      </c>
      <c r="X1441" s="88">
        <v>70200</v>
      </c>
      <c r="Z1441" s="88">
        <v>0</v>
      </c>
      <c r="AA1441" s="85">
        <v>43736</v>
      </c>
      <c r="AB1441" s="85">
        <v>43737</v>
      </c>
      <c r="AD1441" s="84">
        <v>0</v>
      </c>
      <c r="AG1441" s="84">
        <v>0</v>
      </c>
      <c r="AJ1441" s="84">
        <v>0</v>
      </c>
      <c r="AN1441" s="84" t="s">
        <v>338</v>
      </c>
      <c r="AR1441" s="85">
        <v>43728</v>
      </c>
      <c r="AS1441" s="84">
        <v>6001714069</v>
      </c>
      <c r="AT1441" s="85">
        <v>43732</v>
      </c>
      <c r="AU1441" s="84" t="s">
        <v>3771</v>
      </c>
      <c r="AV1441" s="85">
        <v>43737</v>
      </c>
      <c r="AW1441" s="123">
        <v>43738</v>
      </c>
      <c r="AX1441" s="123">
        <v>43758</v>
      </c>
      <c r="AY1441" s="132">
        <v>62400</v>
      </c>
      <c r="AZ1441" s="132">
        <f>ROUNDDOWN(AY1441+(AY1441*MASTER!$A$2/100),0)</f>
        <v>67392</v>
      </c>
      <c r="BC1441" s="88">
        <v>0</v>
      </c>
      <c r="BG1441" s="88">
        <v>0</v>
      </c>
      <c r="BK1441" s="88">
        <v>0</v>
      </c>
      <c r="BS1441" s="88">
        <v>0</v>
      </c>
      <c r="BV1441" s="89">
        <v>70200</v>
      </c>
      <c r="BW1441" s="89">
        <v>0</v>
      </c>
      <c r="BX1441" s="89">
        <v>43720</v>
      </c>
      <c r="BY1441" s="89">
        <v>70200</v>
      </c>
      <c r="BZ1441" s="112">
        <v>100</v>
      </c>
      <c r="CK1441" s="88">
        <v>0</v>
      </c>
    </row>
    <row r="1442" spans="1:89" x14ac:dyDescent="0.15">
      <c r="A1442" s="84">
        <v>2</v>
      </c>
      <c r="B1442" s="85">
        <v>43756</v>
      </c>
      <c r="C1442" s="85">
        <v>43778</v>
      </c>
      <c r="D1442" s="85">
        <v>43843</v>
      </c>
      <c r="E1442" s="85">
        <v>43763</v>
      </c>
      <c r="F1442" s="85">
        <v>43766</v>
      </c>
      <c r="G1442" s="85">
        <v>43759</v>
      </c>
      <c r="H1442" s="85">
        <v>43762</v>
      </c>
      <c r="I1442" s="84" t="s">
        <v>1191</v>
      </c>
      <c r="J1442" s="84">
        <v>1</v>
      </c>
      <c r="L1442" s="84">
        <v>0</v>
      </c>
      <c r="M1442" s="85">
        <v>43720</v>
      </c>
      <c r="N1442" s="85" t="s">
        <v>265</v>
      </c>
      <c r="O1442" s="86" t="s">
        <v>340</v>
      </c>
      <c r="P1442" s="84" t="s">
        <v>26</v>
      </c>
      <c r="Q1442" s="86" t="s">
        <v>46</v>
      </c>
      <c r="R1442" s="86" t="s">
        <v>3921</v>
      </c>
      <c r="S1442" s="87" t="s">
        <v>1476</v>
      </c>
      <c r="T1442" s="87" t="s">
        <v>828</v>
      </c>
      <c r="U1442" s="88">
        <v>95000</v>
      </c>
      <c r="V1442" s="88">
        <v>102600</v>
      </c>
      <c r="W1442" s="88">
        <v>80000</v>
      </c>
      <c r="X1442" s="88">
        <v>86400</v>
      </c>
      <c r="Y1442" s="88">
        <v>15000</v>
      </c>
      <c r="Z1442" s="88">
        <v>16200</v>
      </c>
      <c r="AA1442" s="85">
        <v>43759</v>
      </c>
      <c r="AB1442" s="85">
        <v>43759</v>
      </c>
      <c r="AC1442" s="85">
        <v>43759</v>
      </c>
      <c r="AD1442" s="84">
        <v>0</v>
      </c>
      <c r="AG1442" s="84">
        <v>0</v>
      </c>
      <c r="AJ1442" s="84">
        <v>0</v>
      </c>
      <c r="AN1442" s="84" t="s">
        <v>338</v>
      </c>
      <c r="AR1442" s="85">
        <v>43725</v>
      </c>
      <c r="AS1442" s="84">
        <v>6001712466</v>
      </c>
      <c r="AT1442" s="85">
        <v>43725</v>
      </c>
      <c r="AU1442" s="84" t="s">
        <v>3707</v>
      </c>
      <c r="AV1442" s="85">
        <v>43778</v>
      </c>
      <c r="AW1442" s="123">
        <v>43769</v>
      </c>
      <c r="AX1442" s="123">
        <v>43789</v>
      </c>
      <c r="AY1442" s="132">
        <v>91200</v>
      </c>
      <c r="AZ1442" s="132">
        <f>ROUNDDOWN(AY1442+(AY1442*0.1),0)</f>
        <v>100320</v>
      </c>
      <c r="BA1442" s="84" t="s">
        <v>287</v>
      </c>
      <c r="BB1442" s="88">
        <v>21000</v>
      </c>
      <c r="BC1442" s="88">
        <v>22680</v>
      </c>
      <c r="BD1442" s="84" t="s">
        <v>189</v>
      </c>
      <c r="BG1442" s="88">
        <v>0</v>
      </c>
      <c r="BI1442" s="84" t="s">
        <v>434</v>
      </c>
      <c r="BJ1442" s="88">
        <v>9750</v>
      </c>
      <c r="BK1442" s="88">
        <v>10530</v>
      </c>
      <c r="BL1442" s="84" t="s">
        <v>189</v>
      </c>
      <c r="BS1442" s="88">
        <v>0</v>
      </c>
      <c r="BV1442" s="89">
        <v>86400</v>
      </c>
      <c r="BW1442" s="89">
        <v>33210</v>
      </c>
      <c r="BX1442" s="89">
        <v>43720</v>
      </c>
      <c r="BY1442" s="89">
        <v>53190</v>
      </c>
      <c r="BZ1442" s="112">
        <v>61.5625</v>
      </c>
      <c r="CC1442" s="84">
        <v>2019</v>
      </c>
      <c r="CK1442" s="88">
        <v>0</v>
      </c>
    </row>
    <row r="1443" spans="1:89" s="151" customFormat="1" x14ac:dyDescent="0.15">
      <c r="A1443" s="141">
        <v>3</v>
      </c>
      <c r="B1443" s="142"/>
      <c r="C1443" s="142" t="s">
        <v>338</v>
      </c>
      <c r="D1443" s="142"/>
      <c r="E1443" s="142"/>
      <c r="F1443" s="142" t="s">
        <v>338</v>
      </c>
      <c r="G1443" s="142"/>
      <c r="H1443" s="142" t="s">
        <v>338</v>
      </c>
      <c r="I1443" s="141"/>
      <c r="J1443" s="141">
        <v>2</v>
      </c>
      <c r="K1443" s="142"/>
      <c r="L1443" s="141">
        <v>0</v>
      </c>
      <c r="M1443" s="142">
        <v>43720</v>
      </c>
      <c r="N1443" s="142" t="s">
        <v>265</v>
      </c>
      <c r="O1443" s="143" t="s">
        <v>340</v>
      </c>
      <c r="P1443" s="141" t="s">
        <v>271</v>
      </c>
      <c r="Q1443" s="143" t="s">
        <v>46</v>
      </c>
      <c r="R1443" s="143" t="s">
        <v>3683</v>
      </c>
      <c r="S1443" s="144" t="s">
        <v>351</v>
      </c>
      <c r="T1443" s="144" t="s">
        <v>3684</v>
      </c>
      <c r="U1443" s="145">
        <v>1600000</v>
      </c>
      <c r="V1443" s="145">
        <v>1728000</v>
      </c>
      <c r="W1443" s="145">
        <v>1600000</v>
      </c>
      <c r="X1443" s="145">
        <v>1728000</v>
      </c>
      <c r="Y1443" s="145"/>
      <c r="Z1443" s="145">
        <v>0</v>
      </c>
      <c r="AA1443" s="142"/>
      <c r="AB1443" s="142"/>
      <c r="AC1443" s="142"/>
      <c r="AD1443" s="141">
        <v>0</v>
      </c>
      <c r="AE1443" s="141"/>
      <c r="AF1443" s="141"/>
      <c r="AG1443" s="141">
        <v>0</v>
      </c>
      <c r="AH1443" s="141"/>
      <c r="AI1443" s="141"/>
      <c r="AJ1443" s="141">
        <v>0</v>
      </c>
      <c r="AK1443" s="141"/>
      <c r="AL1443" s="141"/>
      <c r="AM1443" s="141"/>
      <c r="AN1443" s="141"/>
      <c r="AO1443" s="142"/>
      <c r="AP1443" s="141"/>
      <c r="AQ1443" s="141"/>
      <c r="AR1443" s="142"/>
      <c r="AS1443" s="141"/>
      <c r="AT1443" s="142"/>
      <c r="AU1443" s="141"/>
      <c r="AV1443" s="142"/>
      <c r="AW1443" s="146"/>
      <c r="AX1443" s="146"/>
      <c r="AY1443" s="154">
        <v>1600000</v>
      </c>
      <c r="AZ1443" s="147">
        <f>ROUNDDOWN(AY1443+(AY1443*MASTER!$A$2/100),0)</f>
        <v>1728000</v>
      </c>
      <c r="BA1443" s="141"/>
      <c r="BB1443" s="145"/>
      <c r="BC1443" s="145">
        <v>0</v>
      </c>
      <c r="BD1443" s="141"/>
      <c r="BE1443" s="141"/>
      <c r="BF1443" s="145"/>
      <c r="BG1443" s="145">
        <v>0</v>
      </c>
      <c r="BH1443" s="141"/>
      <c r="BI1443" s="141"/>
      <c r="BJ1443" s="145"/>
      <c r="BK1443" s="145">
        <v>0</v>
      </c>
      <c r="BL1443" s="141"/>
      <c r="BM1443" s="145"/>
      <c r="BN1443" s="145"/>
      <c r="BO1443" s="145"/>
      <c r="BP1443" s="145"/>
      <c r="BQ1443" s="145"/>
      <c r="BR1443" s="145"/>
      <c r="BS1443" s="145">
        <v>0</v>
      </c>
      <c r="BT1443" s="148"/>
      <c r="BU1443" s="148"/>
      <c r="BV1443" s="149">
        <v>1728000</v>
      </c>
      <c r="BW1443" s="149">
        <v>0</v>
      </c>
      <c r="BX1443" s="149">
        <v>43720</v>
      </c>
      <c r="BY1443" s="149">
        <v>1728000</v>
      </c>
      <c r="BZ1443" s="150">
        <v>100</v>
      </c>
      <c r="CA1443" s="141"/>
      <c r="CB1443" s="141"/>
      <c r="CC1443" s="141"/>
      <c r="CD1443" s="144"/>
      <c r="CE1443" s="142"/>
      <c r="CF1443" s="142"/>
      <c r="CG1443" s="142"/>
      <c r="CH1443" s="142"/>
      <c r="CI1443" s="142"/>
      <c r="CJ1443" s="142"/>
      <c r="CK1443" s="145">
        <v>0</v>
      </c>
    </row>
    <row r="1444" spans="1:89" x14ac:dyDescent="0.15">
      <c r="A1444" s="84">
        <v>1</v>
      </c>
      <c r="B1444" s="85">
        <v>43728</v>
      </c>
      <c r="C1444" s="85">
        <v>43733</v>
      </c>
      <c r="F1444" s="85" t="s">
        <v>338</v>
      </c>
      <c r="H1444" s="85" t="s">
        <v>338</v>
      </c>
      <c r="J1444" s="84">
        <v>2</v>
      </c>
      <c r="K1444" s="85">
        <v>43725</v>
      </c>
      <c r="L1444" s="84" t="s">
        <v>818</v>
      </c>
      <c r="M1444" s="85">
        <v>43720</v>
      </c>
      <c r="N1444" s="85" t="s">
        <v>265</v>
      </c>
      <c r="O1444" s="86" t="s">
        <v>340</v>
      </c>
      <c r="P1444" s="84" t="s">
        <v>271</v>
      </c>
      <c r="Q1444" s="86" t="s">
        <v>46</v>
      </c>
      <c r="R1444" s="86" t="s">
        <v>3685</v>
      </c>
      <c r="S1444" s="87" t="s">
        <v>351</v>
      </c>
      <c r="T1444" s="87" t="s">
        <v>3684</v>
      </c>
      <c r="U1444" s="88">
        <v>1314000</v>
      </c>
      <c r="V1444" s="88">
        <v>1419120</v>
      </c>
      <c r="W1444" s="88">
        <v>1314000</v>
      </c>
      <c r="X1444" s="88">
        <v>1419120</v>
      </c>
      <c r="Z1444" s="88">
        <v>0</v>
      </c>
      <c r="AD1444" s="84">
        <v>0</v>
      </c>
      <c r="AG1444" s="84">
        <v>0</v>
      </c>
      <c r="AJ1444" s="84">
        <v>0</v>
      </c>
      <c r="AR1444" s="85">
        <v>43727</v>
      </c>
      <c r="AS1444" s="84">
        <v>6001713552</v>
      </c>
      <c r="AT1444" s="85">
        <v>43727</v>
      </c>
      <c r="AU1444" s="84" t="s">
        <v>3743</v>
      </c>
      <c r="AV1444" s="85">
        <v>43733</v>
      </c>
      <c r="AW1444" s="123">
        <v>43738</v>
      </c>
      <c r="AX1444" s="123">
        <v>43758</v>
      </c>
      <c r="AY1444" s="140">
        <v>1314000</v>
      </c>
      <c r="AZ1444" s="132">
        <f>ROUNDDOWN(AY1444+(AY1444*MASTER!$A$2/100),0)</f>
        <v>1419120</v>
      </c>
      <c r="BC1444" s="88">
        <v>0</v>
      </c>
      <c r="BG1444" s="88">
        <v>0</v>
      </c>
      <c r="BK1444" s="88">
        <v>0</v>
      </c>
      <c r="BS1444" s="88">
        <v>0</v>
      </c>
      <c r="BV1444" s="89">
        <v>1419120</v>
      </c>
      <c r="BW1444" s="89">
        <v>0</v>
      </c>
      <c r="BX1444" s="89">
        <v>0</v>
      </c>
      <c r="BY1444" s="89">
        <v>43725</v>
      </c>
      <c r="BZ1444" s="112">
        <v>100</v>
      </c>
      <c r="CK1444" s="88">
        <v>0</v>
      </c>
    </row>
    <row r="1445" spans="1:89" x14ac:dyDescent="0.15">
      <c r="A1445" s="84">
        <v>1</v>
      </c>
      <c r="B1445" s="85">
        <v>43748</v>
      </c>
      <c r="C1445" s="85">
        <v>43758</v>
      </c>
      <c r="F1445" s="85" t="s">
        <v>338</v>
      </c>
      <c r="H1445" s="85" t="s">
        <v>338</v>
      </c>
      <c r="J1445" s="84">
        <v>2</v>
      </c>
      <c r="L1445" s="84">
        <v>0</v>
      </c>
      <c r="M1445" s="85">
        <v>43721</v>
      </c>
      <c r="N1445" s="85" t="s">
        <v>265</v>
      </c>
      <c r="O1445" s="86" t="s">
        <v>340</v>
      </c>
      <c r="P1445" s="84" t="s">
        <v>26</v>
      </c>
      <c r="Q1445" s="86" t="s">
        <v>46</v>
      </c>
      <c r="R1445" s="86" t="s">
        <v>3900</v>
      </c>
      <c r="S1445" s="87" t="s">
        <v>351</v>
      </c>
      <c r="T1445" s="87" t="s">
        <v>1889</v>
      </c>
      <c r="U1445" s="88">
        <v>110000</v>
      </c>
      <c r="V1445" s="88">
        <v>118800</v>
      </c>
      <c r="W1445" s="88">
        <v>110000</v>
      </c>
      <c r="X1445" s="88">
        <v>118800</v>
      </c>
      <c r="Z1445" s="88">
        <v>0</v>
      </c>
      <c r="AD1445" s="84">
        <v>0</v>
      </c>
      <c r="AG1445" s="84">
        <v>0</v>
      </c>
      <c r="AJ1445" s="84">
        <v>0</v>
      </c>
      <c r="AN1445" s="84" t="s">
        <v>338</v>
      </c>
      <c r="AR1445" s="85">
        <v>43747</v>
      </c>
      <c r="AS1445" s="84">
        <v>6001719690</v>
      </c>
      <c r="AT1445" s="85">
        <v>43747</v>
      </c>
      <c r="AU1445" s="84" t="s">
        <v>3899</v>
      </c>
      <c r="AV1445" s="85">
        <v>43758</v>
      </c>
      <c r="AW1445" s="123">
        <v>43769</v>
      </c>
      <c r="AX1445" s="123">
        <v>43789</v>
      </c>
      <c r="AY1445" s="132">
        <v>105600</v>
      </c>
      <c r="AZ1445" s="132">
        <f>ROUNDDOWN(AY1445+(AY1445*0.1),0)</f>
        <v>116160</v>
      </c>
      <c r="BC1445" s="88">
        <v>0</v>
      </c>
      <c r="BG1445" s="88">
        <v>0</v>
      </c>
      <c r="BK1445" s="88">
        <v>0</v>
      </c>
      <c r="BS1445" s="88">
        <v>0</v>
      </c>
      <c r="BV1445" s="89">
        <v>118800</v>
      </c>
      <c r="BW1445" s="89">
        <v>0</v>
      </c>
      <c r="BX1445" s="89">
        <v>43721</v>
      </c>
      <c r="BY1445" s="89">
        <v>118800</v>
      </c>
      <c r="BZ1445" s="112">
        <v>100</v>
      </c>
      <c r="CK1445" s="88">
        <v>0</v>
      </c>
    </row>
    <row r="1446" spans="1:89" x14ac:dyDescent="0.15">
      <c r="A1446" s="84">
        <v>1</v>
      </c>
      <c r="B1446" s="85">
        <v>43735</v>
      </c>
      <c r="C1446" s="85">
        <v>43747</v>
      </c>
      <c r="F1446" s="85" t="s">
        <v>338</v>
      </c>
      <c r="H1446" s="85" t="s">
        <v>338</v>
      </c>
      <c r="J1446" s="84">
        <v>2</v>
      </c>
      <c r="L1446" s="84">
        <v>0</v>
      </c>
      <c r="M1446" s="85">
        <v>43721</v>
      </c>
      <c r="N1446" s="85" t="s">
        <v>265</v>
      </c>
      <c r="O1446" s="86" t="s">
        <v>340</v>
      </c>
      <c r="P1446" s="84" t="s">
        <v>272</v>
      </c>
      <c r="Q1446" s="86" t="s">
        <v>46</v>
      </c>
      <c r="R1446" s="86" t="s">
        <v>3689</v>
      </c>
      <c r="S1446" s="87" t="s">
        <v>1900</v>
      </c>
      <c r="T1446" s="87" t="s">
        <v>3690</v>
      </c>
      <c r="U1446" s="88">
        <v>50000</v>
      </c>
      <c r="V1446" s="88">
        <v>54000</v>
      </c>
      <c r="W1446" s="88">
        <v>50000</v>
      </c>
      <c r="X1446" s="88">
        <v>54000</v>
      </c>
      <c r="Z1446" s="88">
        <v>0</v>
      </c>
      <c r="AA1446" s="85">
        <v>43745</v>
      </c>
      <c r="AB1446" s="85">
        <v>43747</v>
      </c>
      <c r="AC1446" s="85">
        <v>43747</v>
      </c>
      <c r="AD1446" s="84">
        <v>0</v>
      </c>
      <c r="AG1446" s="84">
        <v>0</v>
      </c>
      <c r="AJ1446" s="84">
        <v>0</v>
      </c>
      <c r="AR1446" s="85">
        <v>43726</v>
      </c>
      <c r="AS1446" s="84">
        <v>6001712986</v>
      </c>
      <c r="AT1446" s="85">
        <v>43727</v>
      </c>
      <c r="AU1446" s="84" t="s">
        <v>3737</v>
      </c>
      <c r="AV1446" s="85">
        <v>43747</v>
      </c>
      <c r="AW1446" s="123">
        <v>43769</v>
      </c>
      <c r="AX1446" s="123">
        <v>43789</v>
      </c>
      <c r="AY1446" s="132">
        <v>48000</v>
      </c>
      <c r="AZ1446" s="132">
        <f>ROUNDDOWN(AY1446+(AY1446*0.1),0)</f>
        <v>52800</v>
      </c>
      <c r="BC1446" s="88">
        <v>0</v>
      </c>
      <c r="BG1446" s="88">
        <v>0</v>
      </c>
      <c r="BK1446" s="88">
        <v>0</v>
      </c>
      <c r="BS1446" s="88">
        <v>0</v>
      </c>
      <c r="BV1446" s="89">
        <v>54000</v>
      </c>
      <c r="BW1446" s="89">
        <v>0</v>
      </c>
      <c r="BX1446" s="89">
        <v>43721</v>
      </c>
      <c r="BY1446" s="89">
        <v>54000</v>
      </c>
      <c r="BZ1446" s="112">
        <v>100</v>
      </c>
      <c r="CD1446" s="87" t="s">
        <v>3692</v>
      </c>
    </row>
    <row r="1447" spans="1:89" x14ac:dyDescent="0.15">
      <c r="A1447" s="84">
        <v>1</v>
      </c>
      <c r="B1447" s="85">
        <v>43735</v>
      </c>
      <c r="C1447" s="85">
        <v>43747</v>
      </c>
      <c r="F1447" s="85" t="s">
        <v>338</v>
      </c>
      <c r="H1447" s="85" t="s">
        <v>338</v>
      </c>
      <c r="J1447" s="84">
        <v>2</v>
      </c>
      <c r="L1447" s="84">
        <v>0</v>
      </c>
      <c r="M1447" s="85">
        <v>43721</v>
      </c>
      <c r="N1447" s="85" t="s">
        <v>265</v>
      </c>
      <c r="O1447" s="86" t="s">
        <v>340</v>
      </c>
      <c r="P1447" s="84" t="s">
        <v>272</v>
      </c>
      <c r="Q1447" s="86" t="s">
        <v>46</v>
      </c>
      <c r="R1447" s="86" t="s">
        <v>3691</v>
      </c>
      <c r="S1447" s="87" t="s">
        <v>1467</v>
      </c>
      <c r="T1447" s="87" t="s">
        <v>3690</v>
      </c>
      <c r="U1447" s="88">
        <v>50000</v>
      </c>
      <c r="V1447" s="88">
        <v>54000</v>
      </c>
      <c r="W1447" s="88">
        <v>50000</v>
      </c>
      <c r="X1447" s="88">
        <v>54000</v>
      </c>
      <c r="Z1447" s="88">
        <v>0</v>
      </c>
      <c r="AD1447" s="84">
        <v>0</v>
      </c>
      <c r="AG1447" s="84">
        <v>0</v>
      </c>
      <c r="AJ1447" s="84">
        <v>0</v>
      </c>
      <c r="AR1447" s="85">
        <v>43726</v>
      </c>
      <c r="AS1447" s="84">
        <v>6001712986</v>
      </c>
      <c r="AT1447" s="85">
        <v>43727</v>
      </c>
      <c r="AU1447" s="84" t="s">
        <v>3737</v>
      </c>
      <c r="AV1447" s="85">
        <v>43747</v>
      </c>
      <c r="AW1447" s="123">
        <v>43769</v>
      </c>
      <c r="AX1447" s="123">
        <v>43789</v>
      </c>
      <c r="AY1447" s="132">
        <v>48000</v>
      </c>
      <c r="AZ1447" s="132">
        <f>ROUNDDOWN(AY1447+(AY1447*0.1),0)</f>
        <v>52800</v>
      </c>
      <c r="BC1447" s="88">
        <v>0</v>
      </c>
      <c r="BG1447" s="88">
        <v>0</v>
      </c>
      <c r="BK1447" s="88">
        <v>0</v>
      </c>
      <c r="BS1447" s="88">
        <v>0</v>
      </c>
      <c r="BV1447" s="89">
        <v>54000</v>
      </c>
      <c r="BW1447" s="89">
        <v>0</v>
      </c>
      <c r="BX1447" s="89">
        <v>43721</v>
      </c>
      <c r="BY1447" s="89">
        <v>54000</v>
      </c>
      <c r="BZ1447" s="112">
        <v>100</v>
      </c>
      <c r="CD1447" s="87" t="s">
        <v>3692</v>
      </c>
    </row>
    <row r="1448" spans="1:89" x14ac:dyDescent="0.15">
      <c r="A1448" s="84">
        <v>1</v>
      </c>
      <c r="B1448" s="85">
        <v>43844</v>
      </c>
      <c r="C1448" s="85">
        <v>43861</v>
      </c>
      <c r="F1448" s="85" t="s">
        <v>338</v>
      </c>
      <c r="H1448" s="85" t="s">
        <v>338</v>
      </c>
      <c r="J1448" s="84">
        <v>2</v>
      </c>
      <c r="L1448" s="84">
        <v>0</v>
      </c>
      <c r="M1448" s="85">
        <v>43721</v>
      </c>
      <c r="N1448" s="85" t="s">
        <v>265</v>
      </c>
      <c r="O1448" s="86" t="s">
        <v>340</v>
      </c>
      <c r="P1448" s="84" t="s">
        <v>272</v>
      </c>
      <c r="Q1448" s="86" t="s">
        <v>46</v>
      </c>
      <c r="R1448" s="86" t="s">
        <v>3693</v>
      </c>
      <c r="S1448" s="87" t="s">
        <v>1053</v>
      </c>
      <c r="T1448" s="87" t="s">
        <v>3690</v>
      </c>
      <c r="U1448" s="88">
        <v>50000</v>
      </c>
      <c r="V1448" s="88">
        <v>54000</v>
      </c>
      <c r="W1448" s="88">
        <v>50000</v>
      </c>
      <c r="X1448" s="88">
        <v>54000</v>
      </c>
      <c r="Z1448" s="88">
        <v>0</v>
      </c>
      <c r="AD1448" s="84">
        <v>0</v>
      </c>
      <c r="AG1448" s="84">
        <v>0</v>
      </c>
      <c r="AJ1448" s="84">
        <v>0</v>
      </c>
      <c r="AR1448" s="85">
        <v>43726</v>
      </c>
      <c r="AS1448" s="84">
        <v>6001712986</v>
      </c>
      <c r="AT1448" s="85">
        <v>43727</v>
      </c>
      <c r="AU1448" s="84" t="s">
        <v>3737</v>
      </c>
      <c r="AV1448" s="85">
        <v>43861</v>
      </c>
      <c r="AW1448" s="123">
        <v>43861</v>
      </c>
      <c r="AX1448" s="123">
        <v>43881</v>
      </c>
      <c r="AY1448" s="132">
        <v>48000</v>
      </c>
      <c r="AZ1448" s="132">
        <f t="shared" ref="AZ1448:AZ1456" si="10">ROUNDDOWN(AY1448+(AY1448*0.1),0)</f>
        <v>52800</v>
      </c>
      <c r="BC1448" s="88">
        <v>0</v>
      </c>
      <c r="BG1448" s="88">
        <v>0</v>
      </c>
      <c r="BK1448" s="88">
        <v>0</v>
      </c>
      <c r="BS1448" s="88">
        <v>0</v>
      </c>
      <c r="BV1448" s="89">
        <v>54000</v>
      </c>
      <c r="BW1448" s="89">
        <v>0</v>
      </c>
      <c r="BX1448" s="89">
        <v>43721</v>
      </c>
      <c r="BY1448" s="89">
        <v>54000</v>
      </c>
      <c r="BZ1448" s="112">
        <v>100</v>
      </c>
      <c r="CD1448" s="87" t="s">
        <v>3692</v>
      </c>
    </row>
    <row r="1449" spans="1:89" x14ac:dyDescent="0.15">
      <c r="A1449" s="84">
        <v>1</v>
      </c>
      <c r="B1449" s="85">
        <v>43738</v>
      </c>
      <c r="C1449" s="85">
        <v>43749</v>
      </c>
      <c r="F1449" s="85" t="s">
        <v>338</v>
      </c>
      <c r="H1449" s="85" t="s">
        <v>338</v>
      </c>
      <c r="J1449" s="84">
        <v>2</v>
      </c>
      <c r="L1449" s="84">
        <v>0</v>
      </c>
      <c r="M1449" s="85">
        <v>43721</v>
      </c>
      <c r="N1449" s="85" t="s">
        <v>265</v>
      </c>
      <c r="O1449" s="86" t="s">
        <v>340</v>
      </c>
      <c r="P1449" s="84" t="s">
        <v>272</v>
      </c>
      <c r="Q1449" s="86" t="s">
        <v>46</v>
      </c>
      <c r="R1449" s="86" t="s">
        <v>3694</v>
      </c>
      <c r="S1449" s="87" t="s">
        <v>3695</v>
      </c>
      <c r="T1449" s="87" t="s">
        <v>3690</v>
      </c>
      <c r="U1449" s="88">
        <v>50000</v>
      </c>
      <c r="V1449" s="88">
        <v>54000</v>
      </c>
      <c r="W1449" s="88">
        <v>50000</v>
      </c>
      <c r="X1449" s="88">
        <v>54000</v>
      </c>
      <c r="Z1449" s="88">
        <v>0</v>
      </c>
      <c r="AD1449" s="84">
        <v>0</v>
      </c>
      <c r="AG1449" s="84">
        <v>0</v>
      </c>
      <c r="AJ1449" s="84">
        <v>0</v>
      </c>
      <c r="AR1449" s="85">
        <v>43726</v>
      </c>
      <c r="AS1449" s="84">
        <v>6001712986</v>
      </c>
      <c r="AT1449" s="85">
        <v>43727</v>
      </c>
      <c r="AU1449" s="84" t="s">
        <v>3737</v>
      </c>
      <c r="AV1449" s="85">
        <v>43749</v>
      </c>
      <c r="AW1449" s="123">
        <v>43769</v>
      </c>
      <c r="AX1449" s="123">
        <v>43789</v>
      </c>
      <c r="AY1449" s="132">
        <v>48000</v>
      </c>
      <c r="AZ1449" s="132">
        <f t="shared" si="10"/>
        <v>52800</v>
      </c>
      <c r="BC1449" s="88">
        <v>0</v>
      </c>
      <c r="BG1449" s="88">
        <v>0</v>
      </c>
      <c r="BK1449" s="88">
        <v>0</v>
      </c>
      <c r="BS1449" s="88">
        <v>0</v>
      </c>
      <c r="BV1449" s="89">
        <v>54000</v>
      </c>
      <c r="BW1449" s="89">
        <v>0</v>
      </c>
      <c r="BX1449" s="89">
        <v>43721</v>
      </c>
      <c r="BY1449" s="89">
        <v>54000</v>
      </c>
      <c r="BZ1449" s="112">
        <v>100</v>
      </c>
      <c r="CD1449" s="87" t="s">
        <v>3692</v>
      </c>
    </row>
    <row r="1450" spans="1:89" x14ac:dyDescent="0.15">
      <c r="A1450" s="84">
        <v>1</v>
      </c>
      <c r="B1450" s="85">
        <v>43738</v>
      </c>
      <c r="C1450" s="85">
        <v>43756</v>
      </c>
      <c r="F1450" s="85" t="s">
        <v>338</v>
      </c>
      <c r="H1450" s="85" t="s">
        <v>338</v>
      </c>
      <c r="J1450" s="84">
        <v>2</v>
      </c>
      <c r="L1450" s="84">
        <v>0</v>
      </c>
      <c r="M1450" s="85">
        <v>43721</v>
      </c>
      <c r="N1450" s="85" t="s">
        <v>265</v>
      </c>
      <c r="O1450" s="86" t="s">
        <v>340</v>
      </c>
      <c r="P1450" s="84" t="s">
        <v>272</v>
      </c>
      <c r="Q1450" s="86" t="s">
        <v>46</v>
      </c>
      <c r="R1450" s="86" t="s">
        <v>3696</v>
      </c>
      <c r="S1450" s="87" t="s">
        <v>1009</v>
      </c>
      <c r="T1450" s="87" t="s">
        <v>3690</v>
      </c>
      <c r="U1450" s="88">
        <v>50000</v>
      </c>
      <c r="V1450" s="88">
        <v>54000</v>
      </c>
      <c r="W1450" s="88">
        <v>50000</v>
      </c>
      <c r="X1450" s="88">
        <v>54000</v>
      </c>
      <c r="Z1450" s="88">
        <v>0</v>
      </c>
      <c r="AD1450" s="84">
        <v>0</v>
      </c>
      <c r="AG1450" s="84">
        <v>0</v>
      </c>
      <c r="AJ1450" s="84">
        <v>0</v>
      </c>
      <c r="AR1450" s="85">
        <v>43726</v>
      </c>
      <c r="AS1450" s="84">
        <v>6001712986</v>
      </c>
      <c r="AT1450" s="85">
        <v>43727</v>
      </c>
      <c r="AU1450" s="84" t="s">
        <v>3737</v>
      </c>
      <c r="AV1450" s="85">
        <v>43756</v>
      </c>
      <c r="AW1450" s="123">
        <v>43769</v>
      </c>
      <c r="AX1450" s="123">
        <v>43789</v>
      </c>
      <c r="AY1450" s="132">
        <v>48000</v>
      </c>
      <c r="AZ1450" s="132">
        <f t="shared" si="10"/>
        <v>52800</v>
      </c>
      <c r="BC1450" s="88">
        <v>0</v>
      </c>
      <c r="BG1450" s="88">
        <v>0</v>
      </c>
      <c r="BK1450" s="88">
        <v>0</v>
      </c>
      <c r="BS1450" s="88">
        <v>0</v>
      </c>
      <c r="BV1450" s="89">
        <v>54000</v>
      </c>
      <c r="BW1450" s="89">
        <v>0</v>
      </c>
      <c r="BX1450" s="89">
        <v>43721</v>
      </c>
      <c r="BY1450" s="89">
        <v>54000</v>
      </c>
      <c r="BZ1450" s="112">
        <v>100</v>
      </c>
      <c r="CD1450" s="87" t="s">
        <v>3692</v>
      </c>
    </row>
    <row r="1451" spans="1:89" x14ac:dyDescent="0.15">
      <c r="A1451" s="84">
        <v>1</v>
      </c>
      <c r="B1451" s="85">
        <v>43844</v>
      </c>
      <c r="C1451" s="85">
        <v>43861</v>
      </c>
      <c r="F1451" s="85" t="s">
        <v>338</v>
      </c>
      <c r="H1451" s="85" t="s">
        <v>338</v>
      </c>
      <c r="J1451" s="84">
        <v>2</v>
      </c>
      <c r="L1451" s="84">
        <v>0</v>
      </c>
      <c r="M1451" s="85">
        <v>43721</v>
      </c>
      <c r="N1451" s="85" t="s">
        <v>265</v>
      </c>
      <c r="O1451" s="86" t="s">
        <v>340</v>
      </c>
      <c r="P1451" s="84" t="s">
        <v>272</v>
      </c>
      <c r="Q1451" s="86" t="s">
        <v>46</v>
      </c>
      <c r="R1451" s="86" t="s">
        <v>3697</v>
      </c>
      <c r="S1451" s="87" t="s">
        <v>2453</v>
      </c>
      <c r="T1451" s="87" t="s">
        <v>3690</v>
      </c>
      <c r="U1451" s="88">
        <v>50000</v>
      </c>
      <c r="V1451" s="88">
        <v>54000</v>
      </c>
      <c r="W1451" s="88">
        <v>50000</v>
      </c>
      <c r="X1451" s="88">
        <v>54000</v>
      </c>
      <c r="Z1451" s="88">
        <v>0</v>
      </c>
      <c r="AD1451" s="84">
        <v>0</v>
      </c>
      <c r="AG1451" s="84">
        <v>0</v>
      </c>
      <c r="AJ1451" s="84">
        <v>0</v>
      </c>
      <c r="AR1451" s="85">
        <v>43726</v>
      </c>
      <c r="AS1451" s="84">
        <v>6001712986</v>
      </c>
      <c r="AT1451" s="85">
        <v>43727</v>
      </c>
      <c r="AU1451" s="84" t="s">
        <v>3737</v>
      </c>
      <c r="AV1451" s="85">
        <v>43861</v>
      </c>
      <c r="AW1451" s="123">
        <v>43861</v>
      </c>
      <c r="AX1451" s="123">
        <v>43881</v>
      </c>
      <c r="AY1451" s="132">
        <v>48000</v>
      </c>
      <c r="AZ1451" s="132">
        <f t="shared" si="10"/>
        <v>52800</v>
      </c>
      <c r="BC1451" s="88">
        <v>0</v>
      </c>
      <c r="BG1451" s="88">
        <v>0</v>
      </c>
      <c r="BK1451" s="88">
        <v>0</v>
      </c>
      <c r="BS1451" s="88">
        <v>0</v>
      </c>
      <c r="BV1451" s="89">
        <v>54000</v>
      </c>
      <c r="BW1451" s="89">
        <v>0</v>
      </c>
      <c r="BX1451" s="89">
        <v>43721</v>
      </c>
      <c r="BY1451" s="89">
        <v>54000</v>
      </c>
      <c r="BZ1451" s="112">
        <v>100</v>
      </c>
      <c r="CD1451" s="87" t="s">
        <v>3692</v>
      </c>
    </row>
    <row r="1452" spans="1:89" x14ac:dyDescent="0.15">
      <c r="A1452" s="84">
        <v>1</v>
      </c>
      <c r="B1452" s="85">
        <v>43774</v>
      </c>
      <c r="C1452" s="85">
        <v>43798</v>
      </c>
      <c r="F1452" s="85" t="s">
        <v>338</v>
      </c>
      <c r="H1452" s="85" t="s">
        <v>338</v>
      </c>
      <c r="J1452" s="84">
        <v>2</v>
      </c>
      <c r="L1452" s="84">
        <v>0</v>
      </c>
      <c r="M1452" s="85">
        <v>43721</v>
      </c>
      <c r="N1452" s="85" t="s">
        <v>265</v>
      </c>
      <c r="O1452" s="86" t="s">
        <v>340</v>
      </c>
      <c r="P1452" s="84" t="s">
        <v>272</v>
      </c>
      <c r="Q1452" s="86" t="s">
        <v>46</v>
      </c>
      <c r="R1452" s="86" t="s">
        <v>3698</v>
      </c>
      <c r="S1452" s="87" t="s">
        <v>635</v>
      </c>
      <c r="T1452" s="87" t="s">
        <v>3690</v>
      </c>
      <c r="U1452" s="88">
        <v>50000</v>
      </c>
      <c r="V1452" s="88">
        <v>54000</v>
      </c>
      <c r="W1452" s="88">
        <v>50000</v>
      </c>
      <c r="X1452" s="88">
        <v>54000</v>
      </c>
      <c r="Z1452" s="88">
        <v>0</v>
      </c>
      <c r="AD1452" s="84">
        <v>0</v>
      </c>
      <c r="AG1452" s="84">
        <v>0</v>
      </c>
      <c r="AJ1452" s="84">
        <v>0</v>
      </c>
      <c r="AR1452" s="85">
        <v>43726</v>
      </c>
      <c r="AS1452" s="84">
        <v>6001712986</v>
      </c>
      <c r="AT1452" s="85">
        <v>43727</v>
      </c>
      <c r="AU1452" s="84" t="s">
        <v>3737</v>
      </c>
      <c r="AV1452" s="85">
        <v>43798</v>
      </c>
      <c r="AW1452" s="123">
        <v>43799</v>
      </c>
      <c r="AX1452" s="123">
        <v>43819</v>
      </c>
      <c r="AY1452" s="132">
        <v>48000</v>
      </c>
      <c r="AZ1452" s="132">
        <f t="shared" si="10"/>
        <v>52800</v>
      </c>
      <c r="BC1452" s="88">
        <v>0</v>
      </c>
      <c r="BG1452" s="88">
        <v>0</v>
      </c>
      <c r="BK1452" s="88">
        <v>0</v>
      </c>
      <c r="BS1452" s="88">
        <v>0</v>
      </c>
      <c r="BV1452" s="89">
        <v>54000</v>
      </c>
      <c r="BW1452" s="89">
        <v>0</v>
      </c>
      <c r="BX1452" s="89">
        <v>43721</v>
      </c>
      <c r="BY1452" s="89">
        <v>54000</v>
      </c>
      <c r="BZ1452" s="112">
        <v>100</v>
      </c>
      <c r="CC1452" s="84">
        <v>2019</v>
      </c>
      <c r="CD1452" s="87" t="s">
        <v>3692</v>
      </c>
    </row>
    <row r="1453" spans="1:89" x14ac:dyDescent="0.15">
      <c r="A1453" s="84">
        <v>1</v>
      </c>
      <c r="B1453" s="85">
        <v>43844</v>
      </c>
      <c r="C1453" s="85">
        <v>43861</v>
      </c>
      <c r="F1453" s="85" t="s">
        <v>338</v>
      </c>
      <c r="H1453" s="85" t="s">
        <v>338</v>
      </c>
      <c r="J1453" s="84">
        <v>2</v>
      </c>
      <c r="L1453" s="84">
        <v>0</v>
      </c>
      <c r="M1453" s="85">
        <v>43721</v>
      </c>
      <c r="N1453" s="85" t="s">
        <v>265</v>
      </c>
      <c r="O1453" s="86" t="s">
        <v>340</v>
      </c>
      <c r="P1453" s="84" t="s">
        <v>272</v>
      </c>
      <c r="Q1453" s="86" t="s">
        <v>46</v>
      </c>
      <c r="R1453" s="86" t="s">
        <v>3699</v>
      </c>
      <c r="S1453" s="87" t="s">
        <v>3406</v>
      </c>
      <c r="T1453" s="87" t="s">
        <v>3690</v>
      </c>
      <c r="U1453" s="88">
        <v>50000</v>
      </c>
      <c r="V1453" s="88">
        <v>54000</v>
      </c>
      <c r="W1453" s="88">
        <v>50000</v>
      </c>
      <c r="X1453" s="88">
        <v>54000</v>
      </c>
      <c r="Z1453" s="88">
        <v>0</v>
      </c>
      <c r="AD1453" s="84">
        <v>0</v>
      </c>
      <c r="AG1453" s="84">
        <v>0</v>
      </c>
      <c r="AJ1453" s="84">
        <v>0</v>
      </c>
      <c r="AR1453" s="85">
        <v>43726</v>
      </c>
      <c r="AS1453" s="84">
        <v>6001712986</v>
      </c>
      <c r="AT1453" s="85">
        <v>43727</v>
      </c>
      <c r="AU1453" s="84" t="s">
        <v>3737</v>
      </c>
      <c r="AV1453" s="85">
        <v>43861</v>
      </c>
      <c r="AW1453" s="123">
        <v>43861</v>
      </c>
      <c r="AX1453" s="123">
        <v>43881</v>
      </c>
      <c r="AY1453" s="132">
        <v>48000</v>
      </c>
      <c r="AZ1453" s="132">
        <f t="shared" si="10"/>
        <v>52800</v>
      </c>
      <c r="BC1453" s="88">
        <v>0</v>
      </c>
      <c r="BG1453" s="88">
        <v>0</v>
      </c>
      <c r="BK1453" s="88">
        <v>0</v>
      </c>
      <c r="BS1453" s="88">
        <v>0</v>
      </c>
      <c r="BV1453" s="89">
        <v>54000</v>
      </c>
      <c r="BW1453" s="89">
        <v>0</v>
      </c>
      <c r="BX1453" s="89">
        <v>43721</v>
      </c>
      <c r="BY1453" s="89">
        <v>54000</v>
      </c>
      <c r="BZ1453" s="112">
        <v>100</v>
      </c>
      <c r="CD1453" s="87" t="s">
        <v>3692</v>
      </c>
    </row>
    <row r="1454" spans="1:89" x14ac:dyDescent="0.15">
      <c r="A1454" s="84">
        <v>1</v>
      </c>
      <c r="B1454" s="85">
        <v>43787</v>
      </c>
      <c r="C1454" s="85">
        <v>43798</v>
      </c>
      <c r="F1454" s="85" t="s">
        <v>338</v>
      </c>
      <c r="H1454" s="85" t="s">
        <v>338</v>
      </c>
      <c r="J1454" s="84">
        <v>2</v>
      </c>
      <c r="L1454" s="84">
        <v>0</v>
      </c>
      <c r="M1454" s="85">
        <v>43721</v>
      </c>
      <c r="N1454" s="85" t="s">
        <v>265</v>
      </c>
      <c r="O1454" s="86" t="s">
        <v>340</v>
      </c>
      <c r="P1454" s="84" t="s">
        <v>272</v>
      </c>
      <c r="Q1454" s="86" t="s">
        <v>46</v>
      </c>
      <c r="R1454" s="86" t="s">
        <v>3700</v>
      </c>
      <c r="S1454" s="87" t="s">
        <v>3398</v>
      </c>
      <c r="T1454" s="87" t="s">
        <v>3690</v>
      </c>
      <c r="U1454" s="88">
        <v>50000</v>
      </c>
      <c r="V1454" s="88">
        <v>54000</v>
      </c>
      <c r="W1454" s="88">
        <v>50000</v>
      </c>
      <c r="X1454" s="88">
        <v>54000</v>
      </c>
      <c r="Z1454" s="88">
        <v>0</v>
      </c>
      <c r="AD1454" s="84">
        <v>0</v>
      </c>
      <c r="AG1454" s="84">
        <v>0</v>
      </c>
      <c r="AJ1454" s="84">
        <v>0</v>
      </c>
      <c r="AR1454" s="85">
        <v>43726</v>
      </c>
      <c r="AS1454" s="84">
        <v>6001712986</v>
      </c>
      <c r="AT1454" s="85">
        <v>43727</v>
      </c>
      <c r="AU1454" s="84" t="s">
        <v>3737</v>
      </c>
      <c r="AV1454" s="85">
        <v>43798</v>
      </c>
      <c r="AW1454" s="123">
        <v>43799</v>
      </c>
      <c r="AX1454" s="123">
        <v>43819</v>
      </c>
      <c r="AY1454" s="132">
        <v>48000</v>
      </c>
      <c r="AZ1454" s="132">
        <f t="shared" si="10"/>
        <v>52800</v>
      </c>
      <c r="BC1454" s="88">
        <v>0</v>
      </c>
      <c r="BG1454" s="88">
        <v>0</v>
      </c>
      <c r="BK1454" s="88">
        <v>0</v>
      </c>
      <c r="BS1454" s="88">
        <v>0</v>
      </c>
      <c r="BV1454" s="89">
        <v>54000</v>
      </c>
      <c r="BW1454" s="89">
        <v>0</v>
      </c>
      <c r="BX1454" s="89">
        <v>43721</v>
      </c>
      <c r="BY1454" s="89">
        <v>54000</v>
      </c>
      <c r="BZ1454" s="112">
        <v>100</v>
      </c>
      <c r="CC1454" s="84">
        <v>2019</v>
      </c>
      <c r="CD1454" s="87" t="s">
        <v>3692</v>
      </c>
    </row>
    <row r="1455" spans="1:89" x14ac:dyDescent="0.15">
      <c r="A1455" s="84">
        <v>1</v>
      </c>
      <c r="B1455" s="85">
        <v>43787</v>
      </c>
      <c r="C1455" s="85">
        <v>43798</v>
      </c>
      <c r="F1455" s="85" t="s">
        <v>338</v>
      </c>
      <c r="H1455" s="85" t="s">
        <v>338</v>
      </c>
      <c r="J1455" s="84">
        <v>2</v>
      </c>
      <c r="L1455" s="84">
        <v>0</v>
      </c>
      <c r="M1455" s="85">
        <v>43721</v>
      </c>
      <c r="N1455" s="85" t="s">
        <v>265</v>
      </c>
      <c r="O1455" s="86" t="s">
        <v>340</v>
      </c>
      <c r="P1455" s="84" t="s">
        <v>272</v>
      </c>
      <c r="Q1455" s="86" t="s">
        <v>46</v>
      </c>
      <c r="R1455" s="86" t="s">
        <v>3701</v>
      </c>
      <c r="S1455" s="87" t="s">
        <v>2617</v>
      </c>
      <c r="T1455" s="87" t="s">
        <v>3690</v>
      </c>
      <c r="U1455" s="88">
        <v>50000</v>
      </c>
      <c r="V1455" s="88">
        <v>54000</v>
      </c>
      <c r="W1455" s="88">
        <v>50000</v>
      </c>
      <c r="X1455" s="88">
        <v>54000</v>
      </c>
      <c r="Z1455" s="88">
        <v>0</v>
      </c>
      <c r="AD1455" s="84">
        <v>0</v>
      </c>
      <c r="AG1455" s="84">
        <v>0</v>
      </c>
      <c r="AJ1455" s="84">
        <v>0</v>
      </c>
      <c r="AR1455" s="85">
        <v>43726</v>
      </c>
      <c r="AS1455" s="84">
        <v>6001712986</v>
      </c>
      <c r="AT1455" s="85">
        <v>43727</v>
      </c>
      <c r="AU1455" s="84" t="s">
        <v>3737</v>
      </c>
      <c r="AV1455" s="85">
        <v>43798</v>
      </c>
      <c r="AW1455" s="123">
        <v>43799</v>
      </c>
      <c r="AX1455" s="123">
        <v>43819</v>
      </c>
      <c r="AY1455" s="132">
        <v>48000</v>
      </c>
      <c r="AZ1455" s="132">
        <f t="shared" si="10"/>
        <v>52800</v>
      </c>
      <c r="BC1455" s="88">
        <v>0</v>
      </c>
      <c r="BG1455" s="88">
        <v>0</v>
      </c>
      <c r="BK1455" s="88">
        <v>0</v>
      </c>
      <c r="BS1455" s="88">
        <v>0</v>
      </c>
      <c r="BV1455" s="89">
        <v>54000</v>
      </c>
      <c r="BW1455" s="89">
        <v>0</v>
      </c>
      <c r="BX1455" s="89">
        <v>43721</v>
      </c>
      <c r="BY1455" s="89">
        <v>54000</v>
      </c>
      <c r="BZ1455" s="112">
        <v>100</v>
      </c>
      <c r="CC1455" s="84">
        <v>2019</v>
      </c>
      <c r="CD1455" s="87" t="s">
        <v>3692</v>
      </c>
    </row>
    <row r="1456" spans="1:89" x14ac:dyDescent="0.15">
      <c r="A1456" s="84">
        <v>1</v>
      </c>
      <c r="B1456" s="85">
        <v>43787</v>
      </c>
      <c r="C1456" s="85">
        <v>43798</v>
      </c>
      <c r="F1456" s="85" t="s">
        <v>338</v>
      </c>
      <c r="H1456" s="85" t="s">
        <v>338</v>
      </c>
      <c r="J1456" s="84">
        <v>2</v>
      </c>
      <c r="L1456" s="84">
        <v>0</v>
      </c>
      <c r="M1456" s="85">
        <v>43721</v>
      </c>
      <c r="N1456" s="85" t="s">
        <v>265</v>
      </c>
      <c r="O1456" s="86" t="s">
        <v>340</v>
      </c>
      <c r="P1456" s="84" t="s">
        <v>272</v>
      </c>
      <c r="Q1456" s="86" t="s">
        <v>46</v>
      </c>
      <c r="R1456" s="86" t="s">
        <v>3702</v>
      </c>
      <c r="S1456" s="87" t="s">
        <v>1056</v>
      </c>
      <c r="T1456" s="87" t="s">
        <v>3690</v>
      </c>
      <c r="U1456" s="88">
        <v>50000</v>
      </c>
      <c r="V1456" s="88">
        <v>54000</v>
      </c>
      <c r="W1456" s="88">
        <v>50000</v>
      </c>
      <c r="X1456" s="88">
        <v>54000</v>
      </c>
      <c r="Z1456" s="88">
        <v>0</v>
      </c>
      <c r="AD1456" s="84">
        <v>0</v>
      </c>
      <c r="AG1456" s="84">
        <v>0</v>
      </c>
      <c r="AJ1456" s="84">
        <v>0</v>
      </c>
      <c r="AR1456" s="85">
        <v>43726</v>
      </c>
      <c r="AS1456" s="84">
        <v>6001712986</v>
      </c>
      <c r="AT1456" s="85">
        <v>43727</v>
      </c>
      <c r="AU1456" s="84" t="s">
        <v>3737</v>
      </c>
      <c r="AV1456" s="85">
        <v>43798</v>
      </c>
      <c r="AW1456" s="123">
        <v>43799</v>
      </c>
      <c r="AX1456" s="123">
        <v>43819</v>
      </c>
      <c r="AY1456" s="132">
        <v>48000</v>
      </c>
      <c r="AZ1456" s="132">
        <f t="shared" si="10"/>
        <v>52800</v>
      </c>
      <c r="BC1456" s="88">
        <v>0</v>
      </c>
      <c r="BG1456" s="88">
        <v>0</v>
      </c>
      <c r="BK1456" s="88">
        <v>0</v>
      </c>
      <c r="BS1456" s="88">
        <v>0</v>
      </c>
      <c r="BV1456" s="89">
        <v>54000</v>
      </c>
      <c r="BW1456" s="89">
        <v>0</v>
      </c>
      <c r="BX1456" s="89">
        <v>43721</v>
      </c>
      <c r="BY1456" s="89">
        <v>54000</v>
      </c>
      <c r="BZ1456" s="112">
        <v>100</v>
      </c>
      <c r="CC1456" s="84">
        <v>2019</v>
      </c>
      <c r="CD1456" s="87" t="s">
        <v>3692</v>
      </c>
    </row>
    <row r="1457" spans="1:89" x14ac:dyDescent="0.15">
      <c r="A1457" s="84">
        <v>2</v>
      </c>
      <c r="B1457" s="85">
        <v>43753</v>
      </c>
      <c r="C1457" s="85">
        <v>43763</v>
      </c>
      <c r="D1457" s="85">
        <v>43798</v>
      </c>
      <c r="E1457" s="85">
        <v>43768</v>
      </c>
      <c r="F1457" s="85">
        <v>43770</v>
      </c>
      <c r="G1457" s="85">
        <v>43768</v>
      </c>
      <c r="H1457" s="85">
        <v>43766</v>
      </c>
      <c r="I1457" s="84" t="s">
        <v>401</v>
      </c>
      <c r="J1457" s="84">
        <v>1</v>
      </c>
      <c r="L1457" s="84">
        <v>0</v>
      </c>
      <c r="M1457" s="85">
        <v>43725</v>
      </c>
      <c r="N1457" s="85" t="s">
        <v>265</v>
      </c>
      <c r="O1457" s="86" t="s">
        <v>340</v>
      </c>
      <c r="P1457" s="84" t="s">
        <v>26</v>
      </c>
      <c r="Q1457" s="86" t="s">
        <v>46</v>
      </c>
      <c r="R1457" s="86" t="s">
        <v>3704</v>
      </c>
      <c r="S1457" s="87" t="s">
        <v>1946</v>
      </c>
      <c r="T1457" s="87" t="s">
        <v>3705</v>
      </c>
      <c r="U1457" s="88">
        <v>50000</v>
      </c>
      <c r="V1457" s="88">
        <v>54000</v>
      </c>
      <c r="W1457" s="88">
        <v>47000</v>
      </c>
      <c r="X1457" s="88">
        <v>50760</v>
      </c>
      <c r="Y1457" s="88">
        <v>3000</v>
      </c>
      <c r="Z1457" s="88">
        <v>3240</v>
      </c>
      <c r="AA1457" s="85">
        <v>43762</v>
      </c>
      <c r="AB1457" s="85">
        <v>43763</v>
      </c>
      <c r="AC1457" s="85">
        <v>43763</v>
      </c>
      <c r="AD1457" s="84">
        <v>0</v>
      </c>
      <c r="AG1457" s="84">
        <v>0</v>
      </c>
      <c r="AJ1457" s="84">
        <v>0</v>
      </c>
      <c r="AM1457" s="84" t="s">
        <v>290</v>
      </c>
      <c r="AN1457" s="84" t="s">
        <v>3706</v>
      </c>
      <c r="AR1457" s="85">
        <v>43745</v>
      </c>
      <c r="AS1457" s="84">
        <v>6001718895</v>
      </c>
      <c r="AT1457" s="85">
        <v>43746</v>
      </c>
      <c r="AU1457" s="84" t="s">
        <v>3895</v>
      </c>
      <c r="AV1457" s="85">
        <v>43763</v>
      </c>
      <c r="AW1457" s="123">
        <v>43769</v>
      </c>
      <c r="AX1457" s="123">
        <v>43789</v>
      </c>
      <c r="AY1457" s="132">
        <v>48000</v>
      </c>
      <c r="AZ1457" s="132">
        <f>ROUNDDOWN(AY1457+(AY1457*0.1),0)</f>
        <v>52800</v>
      </c>
      <c r="BA1457" s="163" t="s">
        <v>286</v>
      </c>
      <c r="BB1457" s="88">
        <v>26000</v>
      </c>
      <c r="BC1457" s="88">
        <f>ROUNDDOWN(BB1457+(BB1457*0.1),0)</f>
        <v>28600</v>
      </c>
      <c r="BD1457" s="84" t="s">
        <v>189</v>
      </c>
      <c r="BG1457" s="88">
        <v>0</v>
      </c>
      <c r="BI1457" s="84" t="s">
        <v>434</v>
      </c>
      <c r="BJ1457" s="88">
        <v>1950</v>
      </c>
      <c r="BK1457" s="88">
        <f>ROUNDDOWN(BJ1457+(BJ1457*0.1),0)</f>
        <v>2145</v>
      </c>
      <c r="BL1457" s="84" t="s">
        <v>189</v>
      </c>
      <c r="BS1457" s="88">
        <v>0</v>
      </c>
      <c r="BV1457" s="89">
        <v>50760</v>
      </c>
      <c r="BW1457" s="89">
        <v>30186</v>
      </c>
      <c r="BX1457" s="89">
        <v>43725</v>
      </c>
      <c r="BY1457" s="89">
        <v>20574</v>
      </c>
      <c r="BZ1457" s="112">
        <v>40.531914893617021</v>
      </c>
      <c r="CC1457" s="84">
        <v>2019</v>
      </c>
      <c r="CK1457" s="88">
        <v>0</v>
      </c>
    </row>
    <row r="1458" spans="1:89" x14ac:dyDescent="0.15">
      <c r="A1458" s="84">
        <v>2</v>
      </c>
      <c r="B1458" s="85">
        <v>43733</v>
      </c>
      <c r="C1458" s="85">
        <v>43733</v>
      </c>
      <c r="D1458" s="85">
        <v>43732</v>
      </c>
      <c r="E1458" s="85">
        <v>43732</v>
      </c>
      <c r="F1458" s="85" t="s">
        <v>338</v>
      </c>
      <c r="G1458" s="85">
        <v>43732</v>
      </c>
      <c r="H1458" s="85" t="s">
        <v>338</v>
      </c>
      <c r="I1458" s="84" t="s">
        <v>547</v>
      </c>
      <c r="J1458" s="84">
        <v>2</v>
      </c>
      <c r="L1458" s="84">
        <v>0</v>
      </c>
      <c r="M1458" s="85">
        <v>43725</v>
      </c>
      <c r="N1458" s="85" t="s">
        <v>265</v>
      </c>
      <c r="O1458" s="86" t="s">
        <v>340</v>
      </c>
      <c r="P1458" s="84" t="s">
        <v>6</v>
      </c>
      <c r="Q1458" s="86" t="s">
        <v>46</v>
      </c>
      <c r="R1458" s="86" t="s">
        <v>3762</v>
      </c>
      <c r="S1458" s="87" t="s">
        <v>898</v>
      </c>
      <c r="T1458" s="87" t="s">
        <v>342</v>
      </c>
      <c r="U1458" s="88">
        <v>35000</v>
      </c>
      <c r="V1458" s="88">
        <v>37800</v>
      </c>
      <c r="W1458" s="88">
        <v>35000</v>
      </c>
      <c r="X1458" s="88">
        <v>37800</v>
      </c>
      <c r="Y1458" s="88">
        <v>0</v>
      </c>
      <c r="Z1458" s="88">
        <v>0</v>
      </c>
      <c r="AA1458" s="85">
        <v>43728</v>
      </c>
      <c r="AB1458" s="85">
        <v>43728</v>
      </c>
      <c r="AD1458" s="84">
        <v>0</v>
      </c>
      <c r="AG1458" s="84">
        <v>0</v>
      </c>
      <c r="AJ1458" s="84">
        <v>0</v>
      </c>
      <c r="AN1458" s="84" t="s">
        <v>338</v>
      </c>
      <c r="AR1458" s="85">
        <v>43728</v>
      </c>
      <c r="AS1458" s="84">
        <v>6001714069</v>
      </c>
      <c r="AT1458" s="85">
        <v>43732</v>
      </c>
      <c r="AU1458" s="84" t="s">
        <v>3771</v>
      </c>
      <c r="AV1458" s="85">
        <v>43733</v>
      </c>
      <c r="AW1458" s="123">
        <v>43738</v>
      </c>
      <c r="AX1458" s="123">
        <v>43758</v>
      </c>
      <c r="AY1458" s="132">
        <v>33600</v>
      </c>
      <c r="AZ1458" s="132">
        <f>ROUNDDOWN(AY1458+(AY1458*MASTER!$A$2/100),0)</f>
        <v>36288</v>
      </c>
      <c r="BA1458" s="84" t="s">
        <v>834</v>
      </c>
      <c r="BB1458" s="88">
        <v>42000</v>
      </c>
      <c r="BC1458" s="88">
        <v>45360</v>
      </c>
      <c r="BD1458" s="84" t="s">
        <v>3515</v>
      </c>
      <c r="BG1458" s="88">
        <v>0</v>
      </c>
      <c r="BK1458" s="88">
        <v>0</v>
      </c>
      <c r="BS1458" s="88">
        <v>0</v>
      </c>
      <c r="BV1458" s="89">
        <v>37800</v>
      </c>
      <c r="BW1458" s="89">
        <v>45360</v>
      </c>
      <c r="BX1458" s="89">
        <v>43725</v>
      </c>
      <c r="BY1458" s="89">
        <v>-7560</v>
      </c>
      <c r="BZ1458" s="112">
        <v>-20</v>
      </c>
      <c r="CK1458" s="88">
        <v>0</v>
      </c>
    </row>
    <row r="1459" spans="1:89" s="151" customFormat="1" x14ac:dyDescent="0.15">
      <c r="A1459" s="141">
        <v>3</v>
      </c>
      <c r="B1459" s="142"/>
      <c r="C1459" s="142" t="s">
        <v>338</v>
      </c>
      <c r="D1459" s="142"/>
      <c r="E1459" s="142"/>
      <c r="F1459" s="142" t="s">
        <v>338</v>
      </c>
      <c r="G1459" s="142"/>
      <c r="H1459" s="142" t="s">
        <v>338</v>
      </c>
      <c r="I1459" s="141"/>
      <c r="J1459" s="141">
        <v>2</v>
      </c>
      <c r="K1459" s="142"/>
      <c r="L1459" s="141">
        <v>0</v>
      </c>
      <c r="M1459" s="142">
        <v>43725</v>
      </c>
      <c r="N1459" s="142" t="s">
        <v>265</v>
      </c>
      <c r="O1459" s="143" t="s">
        <v>340</v>
      </c>
      <c r="P1459" s="141" t="s">
        <v>6</v>
      </c>
      <c r="Q1459" s="143" t="s">
        <v>46</v>
      </c>
      <c r="R1459" s="143" t="s">
        <v>3710</v>
      </c>
      <c r="S1459" s="144" t="s">
        <v>562</v>
      </c>
      <c r="T1459" s="144" t="s">
        <v>3711</v>
      </c>
      <c r="U1459" s="145">
        <v>114000</v>
      </c>
      <c r="V1459" s="145">
        <v>123120</v>
      </c>
      <c r="W1459" s="145">
        <v>114000</v>
      </c>
      <c r="X1459" s="145">
        <v>123120</v>
      </c>
      <c r="Y1459" s="145"/>
      <c r="Z1459" s="145">
        <v>0</v>
      </c>
      <c r="AA1459" s="142" t="s">
        <v>3431</v>
      </c>
      <c r="AB1459" s="142"/>
      <c r="AC1459" s="142"/>
      <c r="AD1459" s="141">
        <v>0</v>
      </c>
      <c r="AE1459" s="141"/>
      <c r="AF1459" s="141"/>
      <c r="AG1459" s="141">
        <v>0</v>
      </c>
      <c r="AH1459" s="141"/>
      <c r="AI1459" s="141"/>
      <c r="AJ1459" s="141">
        <v>0</v>
      </c>
      <c r="AK1459" s="141"/>
      <c r="AL1459" s="141"/>
      <c r="AM1459" s="141"/>
      <c r="AN1459" s="141" t="s">
        <v>338</v>
      </c>
      <c r="AO1459" s="142"/>
      <c r="AP1459" s="141"/>
      <c r="AQ1459" s="141"/>
      <c r="AR1459" s="142"/>
      <c r="AS1459" s="141"/>
      <c r="AT1459" s="142"/>
      <c r="AU1459" s="141"/>
      <c r="AV1459" s="142"/>
      <c r="AW1459" s="146"/>
      <c r="AX1459" s="146"/>
      <c r="AY1459" s="147">
        <v>109440</v>
      </c>
      <c r="AZ1459" s="147">
        <f>ROUNDDOWN(AY1459+(AY1459*MASTER!$A$2/100),0)</f>
        <v>118195</v>
      </c>
      <c r="BA1459" s="141"/>
      <c r="BB1459" s="145"/>
      <c r="BC1459" s="145">
        <v>0</v>
      </c>
      <c r="BD1459" s="141"/>
      <c r="BE1459" s="141"/>
      <c r="BF1459" s="145"/>
      <c r="BG1459" s="145">
        <v>0</v>
      </c>
      <c r="BH1459" s="141"/>
      <c r="BI1459" s="141"/>
      <c r="BJ1459" s="145"/>
      <c r="BK1459" s="145">
        <v>0</v>
      </c>
      <c r="BL1459" s="141"/>
      <c r="BM1459" s="145"/>
      <c r="BN1459" s="145"/>
      <c r="BO1459" s="145"/>
      <c r="BP1459" s="145"/>
      <c r="BQ1459" s="145"/>
      <c r="BR1459" s="145"/>
      <c r="BS1459" s="145">
        <v>0</v>
      </c>
      <c r="BT1459" s="148"/>
      <c r="BU1459" s="148"/>
      <c r="BV1459" s="149">
        <v>123120</v>
      </c>
      <c r="BW1459" s="149">
        <v>0</v>
      </c>
      <c r="BX1459" s="149">
        <v>43725</v>
      </c>
      <c r="BY1459" s="149">
        <v>123120</v>
      </c>
      <c r="BZ1459" s="150">
        <v>100</v>
      </c>
      <c r="CA1459" s="141"/>
      <c r="CB1459" s="141"/>
      <c r="CC1459" s="141"/>
      <c r="CD1459" s="144"/>
      <c r="CE1459" s="142"/>
      <c r="CF1459" s="142"/>
      <c r="CG1459" s="142"/>
      <c r="CH1459" s="142"/>
      <c r="CI1459" s="142"/>
      <c r="CJ1459" s="142"/>
      <c r="CK1459" s="145">
        <v>0</v>
      </c>
    </row>
    <row r="1460" spans="1:89" s="151" customFormat="1" x14ac:dyDescent="0.15">
      <c r="A1460" s="141">
        <v>3</v>
      </c>
      <c r="B1460" s="142"/>
      <c r="C1460" s="142" t="s">
        <v>338</v>
      </c>
      <c r="D1460" s="142"/>
      <c r="E1460" s="142"/>
      <c r="F1460" s="142" t="s">
        <v>338</v>
      </c>
      <c r="G1460" s="142"/>
      <c r="H1460" s="142" t="s">
        <v>338</v>
      </c>
      <c r="I1460" s="141"/>
      <c r="J1460" s="141">
        <v>2</v>
      </c>
      <c r="K1460" s="142"/>
      <c r="L1460" s="141">
        <v>0</v>
      </c>
      <c r="M1460" s="142">
        <v>43725</v>
      </c>
      <c r="N1460" s="142" t="s">
        <v>265</v>
      </c>
      <c r="O1460" s="143" t="s">
        <v>340</v>
      </c>
      <c r="P1460" s="141" t="s">
        <v>6</v>
      </c>
      <c r="Q1460" s="143" t="s">
        <v>46</v>
      </c>
      <c r="R1460" s="143" t="s">
        <v>3712</v>
      </c>
      <c r="S1460" s="144" t="s">
        <v>562</v>
      </c>
      <c r="T1460" s="144" t="s">
        <v>3713</v>
      </c>
      <c r="U1460" s="145">
        <v>114000</v>
      </c>
      <c r="V1460" s="145">
        <v>123120</v>
      </c>
      <c r="W1460" s="145">
        <v>114000</v>
      </c>
      <c r="X1460" s="145">
        <v>123120</v>
      </c>
      <c r="Y1460" s="145"/>
      <c r="Z1460" s="145">
        <v>0</v>
      </c>
      <c r="AA1460" s="142" t="s">
        <v>3431</v>
      </c>
      <c r="AB1460" s="142"/>
      <c r="AC1460" s="142"/>
      <c r="AD1460" s="141">
        <v>0</v>
      </c>
      <c r="AE1460" s="141"/>
      <c r="AF1460" s="141"/>
      <c r="AG1460" s="141">
        <v>0</v>
      </c>
      <c r="AH1460" s="141"/>
      <c r="AI1460" s="141"/>
      <c r="AJ1460" s="141">
        <v>0</v>
      </c>
      <c r="AK1460" s="141"/>
      <c r="AL1460" s="141"/>
      <c r="AM1460" s="141"/>
      <c r="AN1460" s="141" t="s">
        <v>338</v>
      </c>
      <c r="AO1460" s="142"/>
      <c r="AP1460" s="141"/>
      <c r="AQ1460" s="141"/>
      <c r="AR1460" s="142"/>
      <c r="AS1460" s="141"/>
      <c r="AT1460" s="142"/>
      <c r="AU1460" s="141"/>
      <c r="AV1460" s="142"/>
      <c r="AW1460" s="146"/>
      <c r="AX1460" s="146"/>
      <c r="AY1460" s="147">
        <v>109440</v>
      </c>
      <c r="AZ1460" s="147">
        <f>ROUNDDOWN(AY1460+(AY1460*MASTER!$A$2/100),0)</f>
        <v>118195</v>
      </c>
      <c r="BA1460" s="141"/>
      <c r="BB1460" s="145"/>
      <c r="BC1460" s="145">
        <v>0</v>
      </c>
      <c r="BD1460" s="141"/>
      <c r="BE1460" s="141"/>
      <c r="BF1460" s="145"/>
      <c r="BG1460" s="145">
        <v>0</v>
      </c>
      <c r="BH1460" s="141"/>
      <c r="BI1460" s="141"/>
      <c r="BJ1460" s="145"/>
      <c r="BK1460" s="145">
        <v>0</v>
      </c>
      <c r="BL1460" s="141"/>
      <c r="BM1460" s="145"/>
      <c r="BN1460" s="145"/>
      <c r="BO1460" s="145"/>
      <c r="BP1460" s="145"/>
      <c r="BQ1460" s="145"/>
      <c r="BR1460" s="145"/>
      <c r="BS1460" s="145">
        <v>0</v>
      </c>
      <c r="BT1460" s="148"/>
      <c r="BU1460" s="148"/>
      <c r="BV1460" s="149">
        <v>123120</v>
      </c>
      <c r="BW1460" s="149">
        <v>0</v>
      </c>
      <c r="BX1460" s="149">
        <v>43725</v>
      </c>
      <c r="BY1460" s="149">
        <v>123120</v>
      </c>
      <c r="BZ1460" s="150">
        <v>100</v>
      </c>
      <c r="CA1460" s="141"/>
      <c r="CB1460" s="141"/>
      <c r="CC1460" s="141"/>
      <c r="CD1460" s="144"/>
      <c r="CE1460" s="142"/>
      <c r="CF1460" s="142"/>
      <c r="CG1460" s="142"/>
      <c r="CH1460" s="142"/>
      <c r="CI1460" s="142"/>
      <c r="CJ1460" s="142"/>
      <c r="CK1460" s="145">
        <v>0</v>
      </c>
    </row>
    <row r="1461" spans="1:89" s="151" customFormat="1" x14ac:dyDescent="0.15">
      <c r="A1461" s="141">
        <v>3</v>
      </c>
      <c r="B1461" s="142"/>
      <c r="C1461" s="142" t="s">
        <v>338</v>
      </c>
      <c r="D1461" s="142"/>
      <c r="E1461" s="142"/>
      <c r="F1461" s="142" t="s">
        <v>338</v>
      </c>
      <c r="G1461" s="142"/>
      <c r="H1461" s="142" t="s">
        <v>338</v>
      </c>
      <c r="I1461" s="141"/>
      <c r="J1461" s="141">
        <v>3</v>
      </c>
      <c r="K1461" s="142"/>
      <c r="L1461" s="141">
        <v>0</v>
      </c>
      <c r="M1461" s="142">
        <v>43726</v>
      </c>
      <c r="N1461" s="142" t="s">
        <v>265</v>
      </c>
      <c r="O1461" s="143" t="s">
        <v>340</v>
      </c>
      <c r="P1461" s="141" t="s">
        <v>26</v>
      </c>
      <c r="Q1461" s="143" t="s">
        <v>46</v>
      </c>
      <c r="R1461" s="143" t="s">
        <v>3719</v>
      </c>
      <c r="S1461" s="144" t="s">
        <v>562</v>
      </c>
      <c r="T1461" s="144" t="s">
        <v>3718</v>
      </c>
      <c r="U1461" s="145">
        <v>70000</v>
      </c>
      <c r="V1461" s="145">
        <v>75600</v>
      </c>
      <c r="W1461" s="145"/>
      <c r="X1461" s="145">
        <v>0</v>
      </c>
      <c r="Y1461" s="145">
        <v>70000</v>
      </c>
      <c r="Z1461" s="145">
        <v>75600</v>
      </c>
      <c r="AA1461" s="142"/>
      <c r="AB1461" s="142"/>
      <c r="AC1461" s="142"/>
      <c r="AD1461" s="141">
        <v>0</v>
      </c>
      <c r="AE1461" s="141"/>
      <c r="AF1461" s="141"/>
      <c r="AG1461" s="141">
        <v>0</v>
      </c>
      <c r="AH1461" s="141"/>
      <c r="AI1461" s="141"/>
      <c r="AJ1461" s="141">
        <v>0</v>
      </c>
      <c r="AK1461" s="141"/>
      <c r="AL1461" s="141"/>
      <c r="AM1461" s="141"/>
      <c r="AN1461" s="141"/>
      <c r="AO1461" s="142"/>
      <c r="AP1461" s="141"/>
      <c r="AQ1461" s="141"/>
      <c r="AR1461" s="142"/>
      <c r="AS1461" s="141"/>
      <c r="AT1461" s="142"/>
      <c r="AU1461" s="141"/>
      <c r="AV1461" s="142"/>
      <c r="AW1461" s="146"/>
      <c r="AX1461" s="146"/>
      <c r="AY1461" s="147">
        <v>67200</v>
      </c>
      <c r="AZ1461" s="147">
        <f>ROUNDDOWN(AY1461+(AY1461*MASTER!$A$2/100),0)</f>
        <v>72576</v>
      </c>
      <c r="BA1461" s="141"/>
      <c r="BB1461" s="145"/>
      <c r="BC1461" s="145">
        <v>0</v>
      </c>
      <c r="BD1461" s="141"/>
      <c r="BE1461" s="141"/>
      <c r="BF1461" s="145"/>
      <c r="BG1461" s="145">
        <v>0</v>
      </c>
      <c r="BH1461" s="141"/>
      <c r="BI1461" s="141"/>
      <c r="BJ1461" s="145"/>
      <c r="BK1461" s="145">
        <v>0</v>
      </c>
      <c r="BL1461" s="141"/>
      <c r="BM1461" s="145"/>
      <c r="BN1461" s="145"/>
      <c r="BO1461" s="145"/>
      <c r="BP1461" s="145"/>
      <c r="BQ1461" s="145"/>
      <c r="BR1461" s="145"/>
      <c r="BS1461" s="145">
        <v>0</v>
      </c>
      <c r="BT1461" s="148"/>
      <c r="BU1461" s="148"/>
      <c r="BV1461" s="149">
        <v>0</v>
      </c>
      <c r="BW1461" s="149">
        <v>0</v>
      </c>
      <c r="BX1461" s="149">
        <v>43726</v>
      </c>
      <c r="BY1461" s="149">
        <v>0</v>
      </c>
      <c r="BZ1461" s="150" t="s">
        <v>338</v>
      </c>
      <c r="CA1461" s="141"/>
      <c r="CB1461" s="141"/>
      <c r="CC1461" s="141"/>
      <c r="CD1461" s="144" t="s">
        <v>3741</v>
      </c>
      <c r="CE1461" s="142"/>
      <c r="CF1461" s="142"/>
      <c r="CG1461" s="142"/>
      <c r="CH1461" s="142"/>
      <c r="CI1461" s="142"/>
      <c r="CJ1461" s="142"/>
      <c r="CK1461" s="145"/>
    </row>
    <row r="1462" spans="1:89" x14ac:dyDescent="0.15">
      <c r="A1462" s="84">
        <v>1</v>
      </c>
      <c r="B1462" s="85">
        <v>43761</v>
      </c>
      <c r="C1462" s="85">
        <v>43762</v>
      </c>
      <c r="F1462" s="85" t="s">
        <v>338</v>
      </c>
      <c r="H1462" s="85" t="s">
        <v>338</v>
      </c>
      <c r="J1462" s="84">
        <v>3</v>
      </c>
      <c r="L1462" s="84">
        <v>0</v>
      </c>
      <c r="M1462" s="85">
        <v>43726</v>
      </c>
      <c r="N1462" s="85" t="s">
        <v>265</v>
      </c>
      <c r="O1462" s="86" t="s">
        <v>340</v>
      </c>
      <c r="P1462" s="84" t="s">
        <v>6</v>
      </c>
      <c r="Q1462" s="86" t="s">
        <v>46</v>
      </c>
      <c r="R1462" s="86" t="s">
        <v>3729</v>
      </c>
      <c r="S1462" s="87" t="s">
        <v>1928</v>
      </c>
      <c r="T1462" s="87" t="s">
        <v>3730</v>
      </c>
      <c r="U1462" s="88">
        <v>15000</v>
      </c>
      <c r="V1462" s="88">
        <v>16200</v>
      </c>
      <c r="X1462" s="88">
        <v>0</v>
      </c>
      <c r="Y1462" s="88">
        <v>15000</v>
      </c>
      <c r="Z1462" s="88">
        <v>16200</v>
      </c>
      <c r="AD1462" s="84">
        <v>0</v>
      </c>
      <c r="AG1462" s="84">
        <v>0</v>
      </c>
      <c r="AJ1462" s="84">
        <v>0</v>
      </c>
      <c r="AR1462" s="85">
        <v>43740</v>
      </c>
      <c r="AS1462" s="84">
        <v>6001716906</v>
      </c>
      <c r="AT1462" s="85">
        <v>43740</v>
      </c>
      <c r="AU1462" s="84" t="s">
        <v>3869</v>
      </c>
      <c r="AV1462" s="85">
        <v>43762</v>
      </c>
      <c r="AW1462" s="123">
        <v>43769</v>
      </c>
      <c r="AX1462" s="123">
        <v>43789</v>
      </c>
      <c r="AY1462" s="132">
        <v>14400</v>
      </c>
      <c r="AZ1462" s="132">
        <f>ROUNDDOWN(AY1462+(AY1462*0.1),0)</f>
        <v>15840</v>
      </c>
      <c r="BC1462" s="88">
        <v>0</v>
      </c>
      <c r="BG1462" s="88">
        <v>0</v>
      </c>
      <c r="BK1462" s="88">
        <v>0</v>
      </c>
      <c r="BS1462" s="88">
        <v>0</v>
      </c>
      <c r="BV1462" s="89">
        <v>0</v>
      </c>
      <c r="BW1462" s="89">
        <v>0</v>
      </c>
      <c r="BX1462" s="89">
        <v>43726</v>
      </c>
      <c r="BY1462" s="89">
        <v>0</v>
      </c>
      <c r="BZ1462" s="112" t="s">
        <v>338</v>
      </c>
    </row>
    <row r="1463" spans="1:89" x14ac:dyDescent="0.15">
      <c r="A1463" s="84">
        <v>1</v>
      </c>
      <c r="B1463" s="85">
        <v>43795</v>
      </c>
      <c r="C1463" s="85">
        <v>43804</v>
      </c>
      <c r="F1463" s="85" t="s">
        <v>338</v>
      </c>
      <c r="H1463" s="85" t="s">
        <v>338</v>
      </c>
      <c r="J1463" s="84">
        <v>3</v>
      </c>
      <c r="L1463" s="84">
        <v>0</v>
      </c>
      <c r="M1463" s="85">
        <v>43726</v>
      </c>
      <c r="N1463" s="85" t="s">
        <v>265</v>
      </c>
      <c r="O1463" s="86" t="s">
        <v>340</v>
      </c>
      <c r="P1463" s="84" t="s">
        <v>6</v>
      </c>
      <c r="Q1463" s="86" t="s">
        <v>46</v>
      </c>
      <c r="R1463" s="86" t="s">
        <v>3731</v>
      </c>
      <c r="S1463" s="87" t="s">
        <v>598</v>
      </c>
      <c r="T1463" s="87" t="s">
        <v>3730</v>
      </c>
      <c r="U1463" s="88">
        <v>15000</v>
      </c>
      <c r="V1463" s="88">
        <v>16200</v>
      </c>
      <c r="X1463" s="88">
        <v>0</v>
      </c>
      <c r="Y1463" s="88">
        <v>15000</v>
      </c>
      <c r="Z1463" s="88">
        <v>16200</v>
      </c>
      <c r="AD1463" s="84">
        <v>0</v>
      </c>
      <c r="AG1463" s="84">
        <v>0</v>
      </c>
      <c r="AJ1463" s="84">
        <v>0</v>
      </c>
      <c r="AR1463" s="85">
        <v>43763</v>
      </c>
      <c r="AS1463" s="84">
        <v>6001724342</v>
      </c>
      <c r="AT1463" s="85">
        <v>43763</v>
      </c>
      <c r="AU1463" s="84" t="s">
        <v>3927</v>
      </c>
      <c r="AV1463" s="85">
        <v>43804</v>
      </c>
      <c r="AW1463" s="123">
        <v>43830</v>
      </c>
      <c r="AX1463" s="123">
        <v>43850</v>
      </c>
      <c r="AY1463" s="132">
        <v>14400</v>
      </c>
      <c r="AZ1463" s="132">
        <f>ROUNDDOWN(AY1463+(AY1463*0.1),0)</f>
        <v>15840</v>
      </c>
      <c r="BC1463" s="88">
        <v>0</v>
      </c>
      <c r="BG1463" s="88">
        <v>0</v>
      </c>
      <c r="BK1463" s="88">
        <v>0</v>
      </c>
      <c r="BS1463" s="88">
        <v>0</v>
      </c>
      <c r="BV1463" s="89">
        <v>0</v>
      </c>
      <c r="BW1463" s="89">
        <v>0</v>
      </c>
      <c r="BX1463" s="89">
        <v>43726</v>
      </c>
      <c r="BY1463" s="89">
        <v>0</v>
      </c>
      <c r="BZ1463" s="112" t="s">
        <v>338</v>
      </c>
    </row>
    <row r="1464" spans="1:89" s="151" customFormat="1" x14ac:dyDescent="0.15">
      <c r="A1464" s="141">
        <v>3</v>
      </c>
      <c r="B1464" s="142"/>
      <c r="C1464" s="142" t="s">
        <v>338</v>
      </c>
      <c r="D1464" s="142"/>
      <c r="E1464" s="142"/>
      <c r="F1464" s="142" t="s">
        <v>338</v>
      </c>
      <c r="G1464" s="142"/>
      <c r="H1464" s="142" t="s">
        <v>338</v>
      </c>
      <c r="I1464" s="141"/>
      <c r="J1464" s="141">
        <v>1</v>
      </c>
      <c r="K1464" s="142"/>
      <c r="L1464" s="141">
        <v>0</v>
      </c>
      <c r="M1464" s="142">
        <v>43727</v>
      </c>
      <c r="N1464" s="142" t="s">
        <v>265</v>
      </c>
      <c r="O1464" s="143" t="s">
        <v>340</v>
      </c>
      <c r="P1464" s="141" t="s">
        <v>26</v>
      </c>
      <c r="Q1464" s="143" t="s">
        <v>46</v>
      </c>
      <c r="R1464" s="143" t="s">
        <v>3940</v>
      </c>
      <c r="S1464" s="144" t="s">
        <v>955</v>
      </c>
      <c r="T1464" s="144" t="s">
        <v>3941</v>
      </c>
      <c r="U1464" s="145">
        <v>67000</v>
      </c>
      <c r="V1464" s="145">
        <v>72360</v>
      </c>
      <c r="W1464" s="145">
        <v>47000</v>
      </c>
      <c r="X1464" s="145">
        <v>50760</v>
      </c>
      <c r="Y1464" s="145">
        <v>20000</v>
      </c>
      <c r="Z1464" s="145">
        <v>21600</v>
      </c>
      <c r="AA1464" s="142"/>
      <c r="AB1464" s="142"/>
      <c r="AC1464" s="142"/>
      <c r="AD1464" s="141">
        <v>0</v>
      </c>
      <c r="AE1464" s="141"/>
      <c r="AF1464" s="141"/>
      <c r="AG1464" s="141">
        <v>0</v>
      </c>
      <c r="AH1464" s="141"/>
      <c r="AI1464" s="141"/>
      <c r="AJ1464" s="141">
        <v>0</v>
      </c>
      <c r="AK1464" s="141"/>
      <c r="AL1464" s="141"/>
      <c r="AM1464" s="141" t="s">
        <v>290</v>
      </c>
      <c r="AN1464" s="141" t="s">
        <v>3942</v>
      </c>
      <c r="AO1464" s="142"/>
      <c r="AP1464" s="141"/>
      <c r="AQ1464" s="141"/>
      <c r="AR1464" s="142"/>
      <c r="AS1464" s="141"/>
      <c r="AT1464" s="142"/>
      <c r="AU1464" s="141"/>
      <c r="AV1464" s="142"/>
      <c r="AW1464" s="146"/>
      <c r="AX1464" s="146"/>
      <c r="AY1464" s="147">
        <v>64320</v>
      </c>
      <c r="AZ1464" s="147">
        <f>ROUNDDOWN(AY1464+(AY1464*MASTER!$A$2/100),0)</f>
        <v>69465</v>
      </c>
      <c r="BA1464" s="141"/>
      <c r="BB1464" s="145"/>
      <c r="BC1464" s="145">
        <v>0</v>
      </c>
      <c r="BD1464" s="141"/>
      <c r="BE1464" s="141"/>
      <c r="BF1464" s="145"/>
      <c r="BG1464" s="145">
        <v>0</v>
      </c>
      <c r="BH1464" s="141"/>
      <c r="BI1464" s="141"/>
      <c r="BJ1464" s="145"/>
      <c r="BK1464" s="145">
        <v>0</v>
      </c>
      <c r="BL1464" s="141"/>
      <c r="BM1464" s="145"/>
      <c r="BN1464" s="145"/>
      <c r="BO1464" s="145"/>
      <c r="BP1464" s="145"/>
      <c r="BQ1464" s="145"/>
      <c r="BR1464" s="145"/>
      <c r="BS1464" s="145">
        <v>0</v>
      </c>
      <c r="BT1464" s="148"/>
      <c r="BU1464" s="148"/>
      <c r="BV1464" s="149">
        <v>50760</v>
      </c>
      <c r="BW1464" s="149">
        <v>0</v>
      </c>
      <c r="BX1464" s="149">
        <v>43727</v>
      </c>
      <c r="BY1464" s="149">
        <v>50760</v>
      </c>
      <c r="BZ1464" s="150">
        <v>100</v>
      </c>
      <c r="CA1464" s="141"/>
      <c r="CB1464" s="141"/>
      <c r="CC1464" s="141"/>
      <c r="CD1464" s="144" t="s">
        <v>3943</v>
      </c>
      <c r="CE1464" s="142"/>
      <c r="CF1464" s="142"/>
      <c r="CG1464" s="142"/>
      <c r="CH1464" s="142"/>
      <c r="CI1464" s="142"/>
      <c r="CJ1464" s="142"/>
      <c r="CK1464" s="145">
        <v>0</v>
      </c>
    </row>
    <row r="1465" spans="1:89" x14ac:dyDescent="0.15">
      <c r="A1465" s="84">
        <v>2</v>
      </c>
      <c r="B1465" s="85">
        <v>43741</v>
      </c>
      <c r="C1465" s="85">
        <v>43742</v>
      </c>
      <c r="D1465" s="85">
        <v>43732</v>
      </c>
      <c r="E1465" s="85">
        <v>43732</v>
      </c>
      <c r="F1465" s="85" t="s">
        <v>338</v>
      </c>
      <c r="G1465" s="85">
        <v>43732</v>
      </c>
      <c r="H1465" s="85" t="s">
        <v>338</v>
      </c>
      <c r="I1465" s="84" t="s">
        <v>380</v>
      </c>
      <c r="J1465" s="84">
        <v>2</v>
      </c>
      <c r="L1465" s="84">
        <v>0</v>
      </c>
      <c r="M1465" s="85">
        <v>43727</v>
      </c>
      <c r="N1465" s="85" t="s">
        <v>265</v>
      </c>
      <c r="O1465" s="86" t="s">
        <v>340</v>
      </c>
      <c r="P1465" s="84" t="s">
        <v>6</v>
      </c>
      <c r="Q1465" s="86" t="s">
        <v>46</v>
      </c>
      <c r="R1465" s="86" t="s">
        <v>3763</v>
      </c>
      <c r="S1465" s="87" t="s">
        <v>3764</v>
      </c>
      <c r="T1465" s="87" t="s">
        <v>342</v>
      </c>
      <c r="U1465" s="88">
        <v>35000</v>
      </c>
      <c r="V1465" s="88">
        <v>37800</v>
      </c>
      <c r="W1465" s="88">
        <v>35000</v>
      </c>
      <c r="X1465" s="88">
        <v>37800</v>
      </c>
      <c r="Z1465" s="88">
        <v>0</v>
      </c>
      <c r="AA1465" s="85">
        <v>43727</v>
      </c>
      <c r="AB1465" s="85">
        <v>43727</v>
      </c>
      <c r="AD1465" s="84">
        <v>0</v>
      </c>
      <c r="AG1465" s="84">
        <v>0</v>
      </c>
      <c r="AJ1465" s="84">
        <v>0</v>
      </c>
      <c r="AN1465" s="84" t="s">
        <v>338</v>
      </c>
      <c r="AR1465" s="85">
        <v>43740</v>
      </c>
      <c r="AS1465" s="84">
        <v>6001716906</v>
      </c>
      <c r="AT1465" s="85">
        <v>43740</v>
      </c>
      <c r="AU1465" s="84" t="s">
        <v>3869</v>
      </c>
      <c r="AV1465" s="85">
        <v>43742</v>
      </c>
      <c r="AW1465" s="123">
        <v>43769</v>
      </c>
      <c r="AX1465" s="123">
        <v>43789</v>
      </c>
      <c r="AY1465" s="132">
        <v>33600</v>
      </c>
      <c r="AZ1465" s="132">
        <f>ROUNDDOWN(AY1465+(AY1465*0.1),0)</f>
        <v>36960</v>
      </c>
      <c r="BA1465" s="84" t="s">
        <v>286</v>
      </c>
      <c r="BB1465" s="88">
        <v>24000</v>
      </c>
      <c r="BC1465" s="88">
        <v>25920</v>
      </c>
      <c r="BD1465" s="84" t="s">
        <v>3431</v>
      </c>
      <c r="BG1465" s="88">
        <v>0</v>
      </c>
      <c r="BK1465" s="88">
        <v>0</v>
      </c>
      <c r="BS1465" s="88">
        <v>0</v>
      </c>
      <c r="BV1465" s="89">
        <v>37800</v>
      </c>
      <c r="BW1465" s="89">
        <v>25920</v>
      </c>
      <c r="BX1465" s="89">
        <v>43727</v>
      </c>
      <c r="BY1465" s="89">
        <v>11880</v>
      </c>
      <c r="BZ1465" s="112">
        <v>31.428571428571427</v>
      </c>
      <c r="CK1465" s="88">
        <v>0</v>
      </c>
    </row>
    <row r="1466" spans="1:89" x14ac:dyDescent="0.15">
      <c r="A1466" s="84">
        <v>1</v>
      </c>
      <c r="B1466" s="85">
        <v>43738</v>
      </c>
      <c r="C1466" s="85">
        <v>43746</v>
      </c>
      <c r="F1466" s="85" t="s">
        <v>338</v>
      </c>
      <c r="H1466" s="85" t="s">
        <v>338</v>
      </c>
      <c r="J1466" s="84">
        <v>2</v>
      </c>
      <c r="L1466" s="84">
        <v>0</v>
      </c>
      <c r="M1466" s="85">
        <v>43727</v>
      </c>
      <c r="N1466" s="85" t="s">
        <v>265</v>
      </c>
      <c r="O1466" s="86" t="s">
        <v>340</v>
      </c>
      <c r="P1466" s="84" t="s">
        <v>26</v>
      </c>
      <c r="Q1466" s="86" t="s">
        <v>46</v>
      </c>
      <c r="R1466" s="86" t="s">
        <v>3739</v>
      </c>
      <c r="S1466" s="87" t="s">
        <v>489</v>
      </c>
      <c r="T1466" s="87" t="s">
        <v>3740</v>
      </c>
      <c r="U1466" s="88">
        <v>20000</v>
      </c>
      <c r="V1466" s="88">
        <v>21600</v>
      </c>
      <c r="W1466" s="88">
        <v>20000</v>
      </c>
      <c r="X1466" s="88">
        <v>21600</v>
      </c>
      <c r="Z1466" s="88">
        <v>0</v>
      </c>
      <c r="AD1466" s="84">
        <v>0</v>
      </c>
      <c r="AG1466" s="84">
        <v>0</v>
      </c>
      <c r="AJ1466" s="84">
        <v>0</v>
      </c>
      <c r="AN1466" s="84" t="s">
        <v>338</v>
      </c>
      <c r="AR1466" s="85">
        <v>43733</v>
      </c>
      <c r="AS1466" s="84">
        <v>6001715291</v>
      </c>
      <c r="AT1466" s="85">
        <v>43733</v>
      </c>
      <c r="AU1466" s="84" t="s">
        <v>3811</v>
      </c>
      <c r="AV1466" s="85">
        <v>43746</v>
      </c>
      <c r="AW1466" s="123">
        <v>43769</v>
      </c>
      <c r="AX1466" s="123">
        <v>43789</v>
      </c>
      <c r="AY1466" s="132">
        <v>19200</v>
      </c>
      <c r="AZ1466" s="132">
        <f>ROUNDDOWN(AY1466+(AY1466*0.1),0)</f>
        <v>21120</v>
      </c>
      <c r="BC1466" s="88">
        <v>0</v>
      </c>
      <c r="BG1466" s="88">
        <v>0</v>
      </c>
      <c r="BK1466" s="88">
        <v>0</v>
      </c>
      <c r="BS1466" s="88">
        <v>0</v>
      </c>
      <c r="BV1466" s="89">
        <v>21600</v>
      </c>
      <c r="BW1466" s="89">
        <v>0</v>
      </c>
      <c r="BX1466" s="89">
        <v>43727</v>
      </c>
      <c r="BY1466" s="89">
        <v>21600</v>
      </c>
      <c r="BZ1466" s="112">
        <v>100</v>
      </c>
      <c r="CD1466" s="87" t="s">
        <v>3849</v>
      </c>
      <c r="CK1466" s="88">
        <v>0</v>
      </c>
    </row>
    <row r="1467" spans="1:89" x14ac:dyDescent="0.15">
      <c r="A1467" s="84">
        <v>1</v>
      </c>
      <c r="B1467" s="85">
        <v>43741</v>
      </c>
      <c r="C1467" s="85">
        <v>43760</v>
      </c>
      <c r="F1467" s="85" t="s">
        <v>338</v>
      </c>
      <c r="H1467" s="85" t="s">
        <v>338</v>
      </c>
      <c r="J1467" s="84">
        <v>2</v>
      </c>
      <c r="L1467" s="84">
        <v>0</v>
      </c>
      <c r="M1467" s="85">
        <v>43727</v>
      </c>
      <c r="N1467" s="85" t="s">
        <v>265</v>
      </c>
      <c r="O1467" s="86" t="s">
        <v>340</v>
      </c>
      <c r="P1467" s="84" t="s">
        <v>26</v>
      </c>
      <c r="Q1467" s="86" t="s">
        <v>46</v>
      </c>
      <c r="R1467" s="86" t="s">
        <v>3879</v>
      </c>
      <c r="S1467" s="87" t="s">
        <v>720</v>
      </c>
      <c r="T1467" s="87" t="s">
        <v>3880</v>
      </c>
      <c r="U1467" s="88">
        <v>20000</v>
      </c>
      <c r="V1467" s="88">
        <v>21600</v>
      </c>
      <c r="W1467" s="88">
        <v>20000</v>
      </c>
      <c r="X1467" s="88">
        <v>21600</v>
      </c>
      <c r="Z1467" s="88">
        <v>0</v>
      </c>
      <c r="AD1467" s="84">
        <v>0</v>
      </c>
      <c r="AG1467" s="84">
        <v>0</v>
      </c>
      <c r="AJ1467" s="84">
        <v>0</v>
      </c>
      <c r="AN1467" s="84" t="s">
        <v>338</v>
      </c>
      <c r="AR1467" s="85">
        <v>43733</v>
      </c>
      <c r="AS1467" s="84">
        <v>6001715291</v>
      </c>
      <c r="AT1467" s="85">
        <v>43733</v>
      </c>
      <c r="AU1467" s="84" t="s">
        <v>3811</v>
      </c>
      <c r="AV1467" s="85">
        <v>43760</v>
      </c>
      <c r="AW1467" s="123">
        <v>43769</v>
      </c>
      <c r="AX1467" s="123">
        <v>43789</v>
      </c>
      <c r="AY1467" s="132">
        <v>19200</v>
      </c>
      <c r="AZ1467" s="132">
        <f>ROUNDDOWN(AY1467+(AY1467*0.1),0)</f>
        <v>21120</v>
      </c>
      <c r="BC1467" s="88">
        <v>0</v>
      </c>
      <c r="BG1467" s="88">
        <v>0</v>
      </c>
      <c r="BK1467" s="88">
        <v>0</v>
      </c>
      <c r="BS1467" s="88">
        <v>0</v>
      </c>
      <c r="BV1467" s="89">
        <v>21600</v>
      </c>
      <c r="BW1467" s="89">
        <v>0</v>
      </c>
      <c r="BX1467" s="89">
        <v>43727</v>
      </c>
      <c r="BY1467" s="89">
        <v>21600</v>
      </c>
      <c r="BZ1467" s="112">
        <v>100</v>
      </c>
      <c r="CD1467" s="87" t="s">
        <v>3849</v>
      </c>
      <c r="CK1467" s="88">
        <v>0</v>
      </c>
    </row>
    <row r="1468" spans="1:89" x14ac:dyDescent="0.15">
      <c r="A1468" s="84">
        <v>1</v>
      </c>
      <c r="B1468" s="85">
        <v>43741</v>
      </c>
      <c r="C1468" s="85">
        <v>43761</v>
      </c>
      <c r="F1468" s="85" t="s">
        <v>338</v>
      </c>
      <c r="H1468" s="85" t="s">
        <v>338</v>
      </c>
      <c r="J1468" s="84">
        <v>2</v>
      </c>
      <c r="L1468" s="84">
        <v>0</v>
      </c>
      <c r="M1468" s="85">
        <v>43727</v>
      </c>
      <c r="N1468" s="85" t="s">
        <v>265</v>
      </c>
      <c r="O1468" s="86" t="s">
        <v>340</v>
      </c>
      <c r="P1468" s="84" t="s">
        <v>26</v>
      </c>
      <c r="Q1468" s="86" t="s">
        <v>46</v>
      </c>
      <c r="R1468" s="86" t="s">
        <v>3889</v>
      </c>
      <c r="S1468" s="87" t="s">
        <v>849</v>
      </c>
      <c r="T1468" s="87" t="s">
        <v>3880</v>
      </c>
      <c r="U1468" s="88">
        <v>20000</v>
      </c>
      <c r="V1468" s="88">
        <v>21600</v>
      </c>
      <c r="W1468" s="88">
        <v>20000</v>
      </c>
      <c r="X1468" s="88">
        <v>21600</v>
      </c>
      <c r="Z1468" s="88">
        <v>0</v>
      </c>
      <c r="AD1468" s="84">
        <v>0</v>
      </c>
      <c r="AG1468" s="84">
        <v>0</v>
      </c>
      <c r="AJ1468" s="84">
        <v>0</v>
      </c>
      <c r="AN1468" s="84" t="s">
        <v>338</v>
      </c>
      <c r="AR1468" s="85">
        <v>43733</v>
      </c>
      <c r="AS1468" s="84">
        <v>6001715291</v>
      </c>
      <c r="AT1468" s="85">
        <v>43733</v>
      </c>
      <c r="AU1468" s="84" t="s">
        <v>3811</v>
      </c>
      <c r="AV1468" s="85">
        <v>43761</v>
      </c>
      <c r="AW1468" s="123">
        <v>43769</v>
      </c>
      <c r="AX1468" s="123">
        <v>43789</v>
      </c>
      <c r="AY1468" s="132">
        <v>19200</v>
      </c>
      <c r="AZ1468" s="132">
        <f>ROUNDDOWN(AY1468+(AY1468*0.1),0)</f>
        <v>21120</v>
      </c>
      <c r="BC1468" s="88">
        <v>0</v>
      </c>
      <c r="BG1468" s="88">
        <v>0</v>
      </c>
      <c r="BK1468" s="88">
        <v>0</v>
      </c>
      <c r="BS1468" s="88">
        <v>0</v>
      </c>
      <c r="BV1468" s="89">
        <v>21600</v>
      </c>
      <c r="BW1468" s="89">
        <v>0</v>
      </c>
      <c r="BX1468" s="89">
        <v>43727</v>
      </c>
      <c r="BY1468" s="89">
        <v>21600</v>
      </c>
      <c r="BZ1468" s="112">
        <v>100</v>
      </c>
      <c r="CD1468" s="87" t="s">
        <v>3849</v>
      </c>
      <c r="CK1468" s="88">
        <v>0</v>
      </c>
    </row>
    <row r="1469" spans="1:89" x14ac:dyDescent="0.15">
      <c r="A1469" s="84">
        <v>1</v>
      </c>
      <c r="B1469" s="85">
        <v>43787</v>
      </c>
      <c r="C1469" s="85">
        <v>43805</v>
      </c>
      <c r="F1469" s="85" t="s">
        <v>338</v>
      </c>
      <c r="H1469" s="85" t="s">
        <v>338</v>
      </c>
      <c r="J1469" s="84">
        <v>2</v>
      </c>
      <c r="L1469" s="84">
        <v>0</v>
      </c>
      <c r="M1469" s="85">
        <v>43727</v>
      </c>
      <c r="N1469" s="85" t="s">
        <v>265</v>
      </c>
      <c r="O1469" s="86" t="s">
        <v>340</v>
      </c>
      <c r="P1469" s="84" t="s">
        <v>26</v>
      </c>
      <c r="Q1469" s="86" t="s">
        <v>46</v>
      </c>
      <c r="R1469" s="86" t="s">
        <v>3944</v>
      </c>
      <c r="S1469" s="87" t="s">
        <v>3654</v>
      </c>
      <c r="T1469" s="87" t="s">
        <v>3945</v>
      </c>
      <c r="U1469" s="88">
        <v>10000</v>
      </c>
      <c r="V1469" s="88">
        <v>10800</v>
      </c>
      <c r="W1469" s="88">
        <v>10000</v>
      </c>
      <c r="X1469" s="88">
        <v>10800</v>
      </c>
      <c r="Z1469" s="88">
        <v>0</v>
      </c>
      <c r="AD1469" s="84">
        <v>0</v>
      </c>
      <c r="AG1469" s="84">
        <v>0</v>
      </c>
      <c r="AJ1469" s="84">
        <v>0</v>
      </c>
      <c r="AN1469" s="84" t="s">
        <v>338</v>
      </c>
      <c r="AR1469" s="85">
        <v>43733</v>
      </c>
      <c r="AS1469" s="84">
        <v>6001715291</v>
      </c>
      <c r="AT1469" s="85">
        <v>43733</v>
      </c>
      <c r="AU1469" s="84" t="s">
        <v>3811</v>
      </c>
      <c r="AV1469" s="85">
        <v>43805</v>
      </c>
      <c r="AW1469" s="123">
        <v>43799</v>
      </c>
      <c r="AX1469" s="123">
        <v>43819</v>
      </c>
      <c r="AY1469" s="132">
        <v>9600</v>
      </c>
      <c r="AZ1469" s="132">
        <f>ROUNDDOWN(AY1469+(AY1469*[1]MASTER!$A$2/100),0)</f>
        <v>10560</v>
      </c>
      <c r="BC1469" s="88">
        <v>0</v>
      </c>
      <c r="BG1469" s="88">
        <v>0</v>
      </c>
      <c r="BK1469" s="88">
        <v>0</v>
      </c>
      <c r="BS1469" s="88">
        <v>0</v>
      </c>
      <c r="BV1469" s="89">
        <v>10800</v>
      </c>
      <c r="BW1469" s="89">
        <v>0</v>
      </c>
      <c r="BX1469" s="89">
        <v>43727</v>
      </c>
      <c r="BY1469" s="89">
        <v>10800</v>
      </c>
      <c r="BZ1469" s="112">
        <v>100</v>
      </c>
      <c r="CD1469" s="87" t="s">
        <v>3849</v>
      </c>
      <c r="CK1469" s="88">
        <v>0</v>
      </c>
    </row>
    <row r="1470" spans="1:89" x14ac:dyDescent="0.15">
      <c r="A1470" s="84">
        <v>2</v>
      </c>
      <c r="B1470" s="85">
        <v>43735</v>
      </c>
      <c r="C1470" s="85">
        <v>43734</v>
      </c>
      <c r="D1470" s="85">
        <v>43732</v>
      </c>
      <c r="E1470" s="85">
        <v>43732</v>
      </c>
      <c r="F1470" s="85" t="s">
        <v>338</v>
      </c>
      <c r="G1470" s="85">
        <v>43732</v>
      </c>
      <c r="H1470" s="85" t="s">
        <v>338</v>
      </c>
      <c r="I1470" s="84" t="s">
        <v>380</v>
      </c>
      <c r="J1470" s="84">
        <v>2</v>
      </c>
      <c r="L1470" s="84">
        <v>0</v>
      </c>
      <c r="M1470" s="85">
        <v>43727</v>
      </c>
      <c r="N1470" s="85" t="s">
        <v>265</v>
      </c>
      <c r="O1470" s="86" t="s">
        <v>340</v>
      </c>
      <c r="P1470" s="84" t="s">
        <v>6</v>
      </c>
      <c r="Q1470" s="86" t="s">
        <v>46</v>
      </c>
      <c r="R1470" s="86" t="s">
        <v>3742</v>
      </c>
      <c r="S1470" s="87" t="s">
        <v>415</v>
      </c>
      <c r="T1470" s="87" t="s">
        <v>342</v>
      </c>
      <c r="U1470" s="88">
        <v>35000</v>
      </c>
      <c r="V1470" s="88">
        <v>37800</v>
      </c>
      <c r="W1470" s="88">
        <v>35000</v>
      </c>
      <c r="X1470" s="88">
        <v>37800</v>
      </c>
      <c r="Z1470" s="88">
        <v>0</v>
      </c>
      <c r="AA1470" s="85">
        <v>43728</v>
      </c>
      <c r="AB1470" s="85">
        <v>43728</v>
      </c>
      <c r="AD1470" s="84">
        <v>0</v>
      </c>
      <c r="AG1470" s="84">
        <v>0</v>
      </c>
      <c r="AJ1470" s="84">
        <v>0</v>
      </c>
      <c r="AR1470" s="85">
        <v>43733</v>
      </c>
      <c r="AS1470" s="84">
        <v>6001715571</v>
      </c>
      <c r="AT1470" s="85">
        <v>43734</v>
      </c>
      <c r="AU1470" s="84" t="s">
        <v>3814</v>
      </c>
      <c r="AV1470" s="85">
        <v>43734</v>
      </c>
      <c r="AW1470" s="123">
        <v>43738</v>
      </c>
      <c r="AX1470" s="123">
        <v>43758</v>
      </c>
      <c r="AY1470" s="132">
        <v>33600</v>
      </c>
      <c r="AZ1470" s="132">
        <f>ROUNDDOWN(AY1470+(AY1470*MASTER!$A$2/100),0)</f>
        <v>36288</v>
      </c>
      <c r="BA1470" s="84" t="s">
        <v>286</v>
      </c>
      <c r="BB1470" s="88">
        <v>28000</v>
      </c>
      <c r="BC1470" s="88">
        <v>30240</v>
      </c>
      <c r="BD1470" s="84" t="s">
        <v>3431</v>
      </c>
      <c r="BG1470" s="88">
        <v>0</v>
      </c>
      <c r="BK1470" s="88">
        <v>0</v>
      </c>
      <c r="BS1470" s="88">
        <v>0</v>
      </c>
      <c r="BV1470" s="89">
        <v>37800</v>
      </c>
      <c r="BW1470" s="89">
        <v>30240</v>
      </c>
      <c r="BX1470" s="89">
        <v>43727</v>
      </c>
      <c r="BY1470" s="89">
        <v>7560</v>
      </c>
      <c r="BZ1470" s="112">
        <v>20</v>
      </c>
    </row>
    <row r="1471" spans="1:89" x14ac:dyDescent="0.15">
      <c r="A1471" s="84">
        <v>2</v>
      </c>
      <c r="B1471" s="85">
        <v>43735</v>
      </c>
      <c r="C1471" s="85">
        <v>43734</v>
      </c>
      <c r="D1471" s="85">
        <v>43727</v>
      </c>
      <c r="E1471" s="85">
        <v>43727</v>
      </c>
      <c r="F1471" s="85" t="s">
        <v>338</v>
      </c>
      <c r="G1471" s="85">
        <v>43727</v>
      </c>
      <c r="H1471" s="85" t="s">
        <v>338</v>
      </c>
      <c r="I1471" s="84" t="s">
        <v>380</v>
      </c>
      <c r="J1471" s="84">
        <v>2</v>
      </c>
      <c r="L1471" s="84">
        <v>0</v>
      </c>
      <c r="M1471" s="85">
        <v>43727</v>
      </c>
      <c r="N1471" s="85" t="s">
        <v>265</v>
      </c>
      <c r="O1471" s="86" t="s">
        <v>340</v>
      </c>
      <c r="P1471" s="84" t="s">
        <v>6</v>
      </c>
      <c r="Q1471" s="86" t="s">
        <v>46</v>
      </c>
      <c r="R1471" s="86" t="s">
        <v>3744</v>
      </c>
      <c r="S1471" s="87" t="s">
        <v>419</v>
      </c>
      <c r="T1471" s="87" t="s">
        <v>342</v>
      </c>
      <c r="U1471" s="88">
        <v>35000</v>
      </c>
      <c r="V1471" s="88">
        <v>37800</v>
      </c>
      <c r="W1471" s="88">
        <v>35000</v>
      </c>
      <c r="X1471" s="88">
        <v>37800</v>
      </c>
      <c r="Z1471" s="88">
        <v>0</v>
      </c>
      <c r="AA1471" s="85">
        <v>43727</v>
      </c>
      <c r="AB1471" s="85">
        <v>43727</v>
      </c>
      <c r="AD1471" s="84">
        <v>0</v>
      </c>
      <c r="AG1471" s="84">
        <v>0</v>
      </c>
      <c r="AJ1471" s="84">
        <v>0</v>
      </c>
      <c r="AR1471" s="85">
        <v>43733</v>
      </c>
      <c r="AS1471" s="84">
        <v>6001715571</v>
      </c>
      <c r="AT1471" s="85">
        <v>43734</v>
      </c>
      <c r="AU1471" s="84" t="s">
        <v>3814</v>
      </c>
      <c r="AV1471" s="85">
        <v>43734</v>
      </c>
      <c r="AW1471" s="123">
        <v>43738</v>
      </c>
      <c r="AX1471" s="123">
        <v>43758</v>
      </c>
      <c r="AY1471" s="132">
        <v>33600</v>
      </c>
      <c r="AZ1471" s="132">
        <f>ROUNDDOWN(AY1471+(AY1471*MASTER!$A$2/100),0)</f>
        <v>36288</v>
      </c>
      <c r="BA1471" s="84" t="s">
        <v>778</v>
      </c>
      <c r="BC1471" s="88">
        <v>0</v>
      </c>
      <c r="BG1471" s="88">
        <v>0</v>
      </c>
      <c r="BK1471" s="88">
        <v>0</v>
      </c>
      <c r="BS1471" s="88">
        <v>0</v>
      </c>
      <c r="BV1471" s="89">
        <v>37800</v>
      </c>
      <c r="BW1471" s="89">
        <v>0</v>
      </c>
      <c r="BX1471" s="89">
        <v>43727</v>
      </c>
      <c r="BY1471" s="89">
        <v>37800</v>
      </c>
      <c r="BZ1471" s="112">
        <v>100</v>
      </c>
    </row>
    <row r="1472" spans="1:89" x14ac:dyDescent="0.15">
      <c r="A1472" s="84">
        <v>2</v>
      </c>
      <c r="B1472" s="85">
        <v>43745</v>
      </c>
      <c r="C1472" s="85">
        <v>43753</v>
      </c>
      <c r="D1472" s="85">
        <v>43774</v>
      </c>
      <c r="E1472" s="85">
        <v>43754</v>
      </c>
      <c r="F1472" s="85">
        <v>43760</v>
      </c>
      <c r="G1472" s="85">
        <v>43754</v>
      </c>
      <c r="H1472" s="85">
        <v>43756</v>
      </c>
      <c r="I1472" s="84" t="s">
        <v>401</v>
      </c>
      <c r="J1472" s="84">
        <v>1</v>
      </c>
      <c r="L1472" s="84">
        <v>0</v>
      </c>
      <c r="M1472" s="85">
        <v>43728</v>
      </c>
      <c r="N1472" s="85" t="s">
        <v>265</v>
      </c>
      <c r="O1472" s="86" t="s">
        <v>340</v>
      </c>
      <c r="P1472" s="84" t="s">
        <v>26</v>
      </c>
      <c r="Q1472" s="86" t="s">
        <v>46</v>
      </c>
      <c r="R1472" s="86" t="s">
        <v>3890</v>
      </c>
      <c r="S1472" s="87" t="s">
        <v>1264</v>
      </c>
      <c r="T1472" s="87" t="s">
        <v>3891</v>
      </c>
      <c r="U1472" s="88">
        <v>50000</v>
      </c>
      <c r="V1472" s="88">
        <v>54000</v>
      </c>
      <c r="W1472" s="88">
        <v>47000</v>
      </c>
      <c r="X1472" s="88">
        <v>50760</v>
      </c>
      <c r="Y1472" s="88">
        <v>3000</v>
      </c>
      <c r="Z1472" s="88">
        <v>3240</v>
      </c>
      <c r="AA1472" s="85">
        <v>43752</v>
      </c>
      <c r="AB1472" s="85">
        <v>43753</v>
      </c>
      <c r="AC1472" s="85">
        <v>43753</v>
      </c>
      <c r="AD1472" s="84">
        <v>0</v>
      </c>
      <c r="AG1472" s="84">
        <v>0</v>
      </c>
      <c r="AJ1472" s="84">
        <v>0</v>
      </c>
      <c r="AM1472" s="84" t="s">
        <v>290</v>
      </c>
      <c r="AN1472" s="84" t="s">
        <v>3892</v>
      </c>
      <c r="AR1472" s="85">
        <v>43734</v>
      </c>
      <c r="AS1472" s="84">
        <v>6001715920</v>
      </c>
      <c r="AT1472" s="85">
        <v>43735</v>
      </c>
      <c r="AU1472" s="84" t="s">
        <v>3830</v>
      </c>
      <c r="AV1472" s="85">
        <v>43753</v>
      </c>
      <c r="AW1472" s="123">
        <v>43769</v>
      </c>
      <c r="AX1472" s="123">
        <v>43789</v>
      </c>
      <c r="AY1472" s="132">
        <v>48000</v>
      </c>
      <c r="AZ1472" s="132">
        <f>ROUNDDOWN(AY1472+(AY1472*0.1),0)</f>
        <v>52800</v>
      </c>
      <c r="BA1472" s="84" t="s">
        <v>543</v>
      </c>
      <c r="BB1472" s="88">
        <v>23000</v>
      </c>
      <c r="BC1472" s="88">
        <v>24840</v>
      </c>
      <c r="BD1472" s="84" t="s">
        <v>188</v>
      </c>
      <c r="BG1472" s="88">
        <v>0</v>
      </c>
      <c r="BI1472" s="84" t="s">
        <v>434</v>
      </c>
      <c r="BJ1472" s="88">
        <v>1950</v>
      </c>
      <c r="BK1472" s="88">
        <f>ROUNDDOWN(BJ1472+(BJ1472*0.1),0)</f>
        <v>2145</v>
      </c>
      <c r="BL1472" s="84" t="s">
        <v>188</v>
      </c>
      <c r="BS1472" s="88">
        <v>0</v>
      </c>
      <c r="BV1472" s="89">
        <v>50760</v>
      </c>
      <c r="BW1472" s="89">
        <v>26946</v>
      </c>
      <c r="BX1472" s="89">
        <v>43728</v>
      </c>
      <c r="BY1472" s="89">
        <v>23814</v>
      </c>
      <c r="BZ1472" s="112">
        <v>46.914893617021278</v>
      </c>
      <c r="CC1472" s="84">
        <v>2019</v>
      </c>
      <c r="CK1472" s="88">
        <v>0</v>
      </c>
    </row>
    <row r="1473" spans="1:89" x14ac:dyDescent="0.15">
      <c r="A1473" s="84">
        <v>2</v>
      </c>
      <c r="B1473" s="85">
        <v>43738</v>
      </c>
      <c r="C1473" s="85">
        <v>43740</v>
      </c>
      <c r="D1473" s="85">
        <v>43774</v>
      </c>
      <c r="E1473" s="85">
        <v>43753</v>
      </c>
      <c r="F1473" s="85">
        <v>43747</v>
      </c>
      <c r="G1473" s="85">
        <v>43740</v>
      </c>
      <c r="H1473" s="85">
        <v>43743</v>
      </c>
      <c r="I1473" s="84" t="s">
        <v>401</v>
      </c>
      <c r="J1473" s="84">
        <v>1</v>
      </c>
      <c r="L1473" s="84">
        <v>0</v>
      </c>
      <c r="M1473" s="85">
        <v>43728</v>
      </c>
      <c r="N1473" s="85" t="s">
        <v>265</v>
      </c>
      <c r="O1473" s="86" t="s">
        <v>340</v>
      </c>
      <c r="P1473" s="84" t="s">
        <v>26</v>
      </c>
      <c r="Q1473" s="86" t="s">
        <v>46</v>
      </c>
      <c r="R1473" s="86" t="s">
        <v>3836</v>
      </c>
      <c r="S1473" s="87" t="s">
        <v>598</v>
      </c>
      <c r="T1473" s="87" t="s">
        <v>3837</v>
      </c>
      <c r="U1473" s="88">
        <v>50000</v>
      </c>
      <c r="V1473" s="88">
        <v>54000</v>
      </c>
      <c r="W1473" s="88">
        <v>47000</v>
      </c>
      <c r="X1473" s="88">
        <v>50760</v>
      </c>
      <c r="Y1473" s="88">
        <v>3000</v>
      </c>
      <c r="Z1473" s="88">
        <v>3240</v>
      </c>
      <c r="AA1473" s="85">
        <v>43738</v>
      </c>
      <c r="AB1473" s="85">
        <v>43740</v>
      </c>
      <c r="AC1473" s="85">
        <v>43740</v>
      </c>
      <c r="AD1473" s="84">
        <v>0</v>
      </c>
      <c r="AG1473" s="84">
        <v>0</v>
      </c>
      <c r="AJ1473" s="84">
        <v>0</v>
      </c>
      <c r="AM1473" s="84" t="s">
        <v>290</v>
      </c>
      <c r="AN1473" s="84" t="s">
        <v>3838</v>
      </c>
      <c r="AR1473" s="85">
        <v>43734</v>
      </c>
      <c r="AS1473" s="84">
        <v>6001715920</v>
      </c>
      <c r="AT1473" s="85">
        <v>43735</v>
      </c>
      <c r="AU1473" s="84" t="s">
        <v>3830</v>
      </c>
      <c r="AV1473" s="85">
        <v>43740</v>
      </c>
      <c r="AW1473" s="123">
        <v>43769</v>
      </c>
      <c r="AX1473" s="123">
        <v>43789</v>
      </c>
      <c r="AY1473" s="132">
        <v>48000</v>
      </c>
      <c r="AZ1473" s="132">
        <f>ROUNDDOWN(AY1473+(AY1473*0.1),0)</f>
        <v>52800</v>
      </c>
      <c r="BA1473" s="84" t="s">
        <v>543</v>
      </c>
      <c r="BB1473" s="88">
        <v>32000</v>
      </c>
      <c r="BC1473" s="88">
        <v>34560</v>
      </c>
      <c r="BD1473" s="84" t="s">
        <v>188</v>
      </c>
      <c r="BG1473" s="88">
        <v>0</v>
      </c>
      <c r="BI1473" s="84" t="s">
        <v>434</v>
      </c>
      <c r="BJ1473" s="88">
        <v>1950</v>
      </c>
      <c r="BK1473" s="88">
        <f>ROUNDDOWN(BJ1473+(BJ1473*0.1),0)</f>
        <v>2145</v>
      </c>
      <c r="BL1473" s="84" t="s">
        <v>188</v>
      </c>
      <c r="BS1473" s="88">
        <v>0</v>
      </c>
      <c r="BV1473" s="89">
        <v>50760</v>
      </c>
      <c r="BW1473" s="89">
        <v>36666</v>
      </c>
      <c r="BX1473" s="89">
        <v>43728</v>
      </c>
      <c r="BY1473" s="89">
        <v>14094</v>
      </c>
      <c r="BZ1473" s="112">
        <v>27.76595744680851</v>
      </c>
      <c r="CC1473" s="84">
        <v>2019</v>
      </c>
      <c r="CK1473" s="88">
        <v>0</v>
      </c>
    </row>
    <row r="1474" spans="1:89" x14ac:dyDescent="0.15">
      <c r="A1474" s="84">
        <v>2</v>
      </c>
      <c r="B1474" s="85">
        <v>43738</v>
      </c>
      <c r="C1474" s="85">
        <v>43747</v>
      </c>
      <c r="D1474" s="85">
        <v>43796</v>
      </c>
      <c r="E1474" s="85">
        <v>43756</v>
      </c>
      <c r="F1474" s="85">
        <v>43754</v>
      </c>
      <c r="G1474" s="85">
        <v>43748</v>
      </c>
      <c r="H1474" s="85">
        <v>43750</v>
      </c>
      <c r="I1474" s="84" t="s">
        <v>1191</v>
      </c>
      <c r="J1474" s="84">
        <v>1</v>
      </c>
      <c r="L1474" s="84">
        <v>0</v>
      </c>
      <c r="M1474" s="85">
        <v>43728</v>
      </c>
      <c r="N1474" s="85" t="s">
        <v>265</v>
      </c>
      <c r="O1474" s="86" t="s">
        <v>340</v>
      </c>
      <c r="P1474" s="84" t="s">
        <v>26</v>
      </c>
      <c r="Q1474" s="86" t="s">
        <v>46</v>
      </c>
      <c r="R1474" s="86" t="s">
        <v>3842</v>
      </c>
      <c r="S1474" s="87" t="s">
        <v>3547</v>
      </c>
      <c r="T1474" s="87" t="s">
        <v>1635</v>
      </c>
      <c r="U1474" s="88">
        <v>67000</v>
      </c>
      <c r="V1474" s="88">
        <v>72360</v>
      </c>
      <c r="W1474" s="88">
        <v>47000</v>
      </c>
      <c r="X1474" s="88">
        <v>50760</v>
      </c>
      <c r="Y1474" s="88">
        <v>20000</v>
      </c>
      <c r="Z1474" s="88">
        <v>21600</v>
      </c>
      <c r="AA1474" s="85">
        <v>43745</v>
      </c>
      <c r="AB1474" s="85">
        <v>43747</v>
      </c>
      <c r="AC1474" s="85">
        <v>43747</v>
      </c>
      <c r="AD1474" s="84">
        <v>0</v>
      </c>
      <c r="AG1474" s="84">
        <v>0</v>
      </c>
      <c r="AJ1474" s="84">
        <v>0</v>
      </c>
      <c r="AM1474" s="84" t="s">
        <v>290</v>
      </c>
      <c r="AN1474" s="84" t="s">
        <v>3843</v>
      </c>
      <c r="AR1474" s="85">
        <v>43734</v>
      </c>
      <c r="AS1474" s="84">
        <v>6001715920</v>
      </c>
      <c r="AT1474" s="85">
        <v>43735</v>
      </c>
      <c r="AU1474" s="84" t="s">
        <v>3830</v>
      </c>
      <c r="AV1474" s="85">
        <v>43747</v>
      </c>
      <c r="AW1474" s="123">
        <v>43769</v>
      </c>
      <c r="AX1474" s="123">
        <v>43789</v>
      </c>
      <c r="AY1474" s="132">
        <v>64320</v>
      </c>
      <c r="AZ1474" s="132">
        <f>ROUNDDOWN(AY1474+(AY1474*0.1),0)</f>
        <v>70752</v>
      </c>
      <c r="BA1474" s="84" t="s">
        <v>287</v>
      </c>
      <c r="BB1474" s="88">
        <v>23000</v>
      </c>
      <c r="BC1474" s="88">
        <v>24840</v>
      </c>
      <c r="BD1474" s="84" t="s">
        <v>188</v>
      </c>
      <c r="BG1474" s="88">
        <v>0</v>
      </c>
      <c r="BI1474" s="84" t="s">
        <v>434</v>
      </c>
      <c r="BJ1474" s="88">
        <v>13000</v>
      </c>
      <c r="BK1474" s="88">
        <v>14040</v>
      </c>
      <c r="BL1474" s="84" t="s">
        <v>188</v>
      </c>
      <c r="BS1474" s="88">
        <v>0</v>
      </c>
      <c r="BV1474" s="89">
        <v>50760</v>
      </c>
      <c r="BW1474" s="89">
        <v>38880</v>
      </c>
      <c r="BX1474" s="89">
        <v>43728</v>
      </c>
      <c r="BY1474" s="89">
        <v>11880</v>
      </c>
      <c r="BZ1474" s="112">
        <v>23.404255319148938</v>
      </c>
      <c r="CC1474" s="84">
        <v>2019</v>
      </c>
      <c r="CK1474" s="88">
        <v>0</v>
      </c>
    </row>
    <row r="1475" spans="1:89" x14ac:dyDescent="0.15">
      <c r="A1475" s="84">
        <v>2</v>
      </c>
      <c r="B1475" s="85">
        <v>43745</v>
      </c>
      <c r="C1475" s="85">
        <v>43754</v>
      </c>
      <c r="D1475" s="85">
        <v>43796</v>
      </c>
      <c r="E1475" s="85">
        <v>43767</v>
      </c>
      <c r="F1475" s="85">
        <v>43761</v>
      </c>
      <c r="G1475" s="85">
        <v>43754</v>
      </c>
      <c r="H1475" s="85">
        <v>43757</v>
      </c>
      <c r="I1475" s="84" t="s">
        <v>1191</v>
      </c>
      <c r="J1475" s="84">
        <v>1</v>
      </c>
      <c r="L1475" s="84">
        <v>0</v>
      </c>
      <c r="M1475" s="85">
        <v>43728</v>
      </c>
      <c r="N1475" s="85" t="s">
        <v>265</v>
      </c>
      <c r="O1475" s="86" t="s">
        <v>340</v>
      </c>
      <c r="P1475" s="84" t="s">
        <v>26</v>
      </c>
      <c r="Q1475" s="86" t="s">
        <v>46</v>
      </c>
      <c r="R1475" s="86" t="s">
        <v>3893</v>
      </c>
      <c r="S1475" s="87" t="s">
        <v>1753</v>
      </c>
      <c r="T1475" s="87" t="s">
        <v>797</v>
      </c>
      <c r="U1475" s="88">
        <v>50000</v>
      </c>
      <c r="V1475" s="88">
        <v>54000</v>
      </c>
      <c r="W1475" s="88">
        <v>47000</v>
      </c>
      <c r="X1475" s="88">
        <v>50760</v>
      </c>
      <c r="Y1475" s="88">
        <v>3000</v>
      </c>
      <c r="Z1475" s="88">
        <v>3240</v>
      </c>
      <c r="AA1475" s="85">
        <v>43752</v>
      </c>
      <c r="AB1475" s="85">
        <v>43754</v>
      </c>
      <c r="AC1475" s="85">
        <v>43754</v>
      </c>
      <c r="AD1475" s="84">
        <v>0</v>
      </c>
      <c r="AG1475" s="84">
        <v>0</v>
      </c>
      <c r="AJ1475" s="84">
        <v>0</v>
      </c>
      <c r="AM1475" s="84" t="s">
        <v>290</v>
      </c>
      <c r="AN1475" s="84" t="s">
        <v>3894</v>
      </c>
      <c r="AR1475" s="85">
        <v>43740</v>
      </c>
      <c r="AS1475" s="84">
        <v>6001716906</v>
      </c>
      <c r="AT1475" s="85">
        <v>43740</v>
      </c>
      <c r="AU1475" s="84" t="s">
        <v>3869</v>
      </c>
      <c r="AV1475" s="85">
        <v>43754</v>
      </c>
      <c r="AW1475" s="123">
        <v>43769</v>
      </c>
      <c r="AX1475" s="123">
        <v>43789</v>
      </c>
      <c r="AY1475" s="132">
        <v>48000</v>
      </c>
      <c r="AZ1475" s="132">
        <f>ROUNDDOWN(AY1475+(AY1475*0.1),0)</f>
        <v>52800</v>
      </c>
      <c r="BA1475" s="84" t="s">
        <v>287</v>
      </c>
      <c r="BB1475" s="88">
        <v>21000</v>
      </c>
      <c r="BC1475" s="88">
        <v>22680</v>
      </c>
      <c r="BD1475" s="84" t="s">
        <v>188</v>
      </c>
      <c r="BG1475" s="88">
        <v>0</v>
      </c>
      <c r="BI1475" s="84" t="s">
        <v>434</v>
      </c>
      <c r="BJ1475" s="88">
        <v>1950</v>
      </c>
      <c r="BK1475" s="88">
        <v>2106</v>
      </c>
      <c r="BL1475" s="84" t="s">
        <v>188</v>
      </c>
      <c r="BS1475" s="88">
        <v>0</v>
      </c>
      <c r="BV1475" s="89">
        <v>50760</v>
      </c>
      <c r="BW1475" s="89">
        <v>24786</v>
      </c>
      <c r="BX1475" s="89">
        <v>43728</v>
      </c>
      <c r="BY1475" s="89">
        <v>25974</v>
      </c>
      <c r="BZ1475" s="112">
        <v>51.170212765957444</v>
      </c>
      <c r="CC1475" s="84">
        <v>2019</v>
      </c>
      <c r="CK1475" s="88">
        <v>0</v>
      </c>
    </row>
    <row r="1476" spans="1:89" x14ac:dyDescent="0.15">
      <c r="A1476" s="84">
        <v>2</v>
      </c>
      <c r="C1476" s="85" t="s">
        <v>338</v>
      </c>
      <c r="F1476" s="85" t="s">
        <v>338</v>
      </c>
      <c r="H1476" s="85" t="s">
        <v>338</v>
      </c>
      <c r="J1476" s="84">
        <v>4</v>
      </c>
      <c r="L1476" s="84">
        <v>0</v>
      </c>
      <c r="M1476" s="85">
        <v>43730</v>
      </c>
      <c r="N1476" s="85" t="s">
        <v>265</v>
      </c>
      <c r="O1476" s="86" t="s">
        <v>340</v>
      </c>
      <c r="P1476" s="84" t="s">
        <v>272</v>
      </c>
      <c r="Q1476" s="86" t="s">
        <v>46</v>
      </c>
      <c r="R1476" s="86" t="s">
        <v>3754</v>
      </c>
      <c r="S1476" s="87" t="s">
        <v>351</v>
      </c>
      <c r="T1476" s="87" t="s">
        <v>3755</v>
      </c>
      <c r="U1476" s="88">
        <v>0</v>
      </c>
      <c r="V1476" s="88">
        <v>0</v>
      </c>
      <c r="W1476" s="88">
        <v>0</v>
      </c>
      <c r="X1476" s="88">
        <v>0</v>
      </c>
      <c r="Y1476" s="88">
        <v>0</v>
      </c>
      <c r="Z1476" s="88">
        <v>0</v>
      </c>
      <c r="AA1476" s="85">
        <v>43698</v>
      </c>
      <c r="AB1476" s="85">
        <v>43728</v>
      </c>
      <c r="AD1476" s="84">
        <v>0</v>
      </c>
      <c r="AG1476" s="84">
        <v>0</v>
      </c>
      <c r="AJ1476" s="84">
        <v>0</v>
      </c>
      <c r="AN1476" s="84" t="s">
        <v>338</v>
      </c>
      <c r="AY1476" s="132">
        <f>ROUNDDOWN((0.96*U1476),0)</f>
        <v>0</v>
      </c>
      <c r="AZ1476" s="132">
        <f>ROUNDDOWN(AY1476+(AY1476*MASTER!$A$2/100),0)</f>
        <v>0</v>
      </c>
      <c r="BA1476" s="84" t="s">
        <v>1045</v>
      </c>
      <c r="BB1476" s="88">
        <v>315000</v>
      </c>
      <c r="BC1476" s="88">
        <v>340200</v>
      </c>
      <c r="BD1476" s="84" t="s">
        <v>3431</v>
      </c>
      <c r="BG1476" s="88">
        <v>0</v>
      </c>
      <c r="BK1476" s="88">
        <v>0</v>
      </c>
      <c r="BS1476" s="88">
        <v>0</v>
      </c>
      <c r="BV1476" s="89">
        <v>0</v>
      </c>
      <c r="BW1476" s="89">
        <v>340200</v>
      </c>
      <c r="BX1476" s="89">
        <v>43730</v>
      </c>
      <c r="BY1476" s="89">
        <v>-340200</v>
      </c>
      <c r="BZ1476" s="112" t="s">
        <v>338</v>
      </c>
    </row>
    <row r="1477" spans="1:89" x14ac:dyDescent="0.15">
      <c r="A1477" s="84">
        <v>1</v>
      </c>
      <c r="B1477" s="85">
        <v>43753</v>
      </c>
      <c r="C1477" s="85">
        <v>43762</v>
      </c>
      <c r="F1477" s="85" t="s">
        <v>338</v>
      </c>
      <c r="G1477" s="85">
        <v>43763</v>
      </c>
      <c r="H1477" s="85" t="s">
        <v>338</v>
      </c>
      <c r="J1477" s="84">
        <v>1</v>
      </c>
      <c r="L1477" s="84">
        <v>0</v>
      </c>
      <c r="M1477" s="85">
        <v>43732</v>
      </c>
      <c r="N1477" s="85" t="s">
        <v>265</v>
      </c>
      <c r="O1477" s="86" t="s">
        <v>340</v>
      </c>
      <c r="P1477" s="84" t="s">
        <v>26</v>
      </c>
      <c r="Q1477" s="86" t="s">
        <v>46</v>
      </c>
      <c r="R1477" s="86" t="s">
        <v>3759</v>
      </c>
      <c r="S1477" s="87" t="s">
        <v>1024</v>
      </c>
      <c r="T1477" s="87" t="s">
        <v>2347</v>
      </c>
      <c r="U1477" s="88">
        <v>23900</v>
      </c>
      <c r="V1477" s="88">
        <v>25812</v>
      </c>
      <c r="W1477" s="88">
        <v>14700</v>
      </c>
      <c r="X1477" s="88">
        <v>15876</v>
      </c>
      <c r="Y1477" s="88">
        <v>9200</v>
      </c>
      <c r="Z1477" s="88">
        <v>9936</v>
      </c>
      <c r="AA1477" s="85">
        <v>43760</v>
      </c>
      <c r="AB1477" s="85">
        <v>43762</v>
      </c>
      <c r="AD1477" s="84">
        <v>0</v>
      </c>
      <c r="AG1477" s="84">
        <v>0</v>
      </c>
      <c r="AJ1477" s="84">
        <v>0</v>
      </c>
      <c r="AM1477" s="84" t="s">
        <v>290</v>
      </c>
      <c r="AN1477" s="84" t="s">
        <v>3760</v>
      </c>
      <c r="AR1477" s="85">
        <v>43748</v>
      </c>
      <c r="AS1477" s="84">
        <v>6001720128</v>
      </c>
      <c r="AT1477" s="85">
        <v>43749</v>
      </c>
      <c r="AU1477" s="84" t="s">
        <v>3909</v>
      </c>
      <c r="AV1477" s="85">
        <v>43762</v>
      </c>
      <c r="AW1477" s="123">
        <v>43769</v>
      </c>
      <c r="AX1477" s="123">
        <v>43789</v>
      </c>
      <c r="AY1477" s="132">
        <v>22944</v>
      </c>
      <c r="AZ1477" s="132">
        <f>ROUNDDOWN(AY1477+(AY1477*0.1),0)</f>
        <v>25238</v>
      </c>
      <c r="BC1477" s="88">
        <v>0</v>
      </c>
      <c r="BG1477" s="88">
        <v>0</v>
      </c>
      <c r="BI1477" s="84" t="s">
        <v>276</v>
      </c>
      <c r="BJ1477" s="88">
        <v>5980</v>
      </c>
      <c r="BK1477" s="88">
        <f>ROUNDDOWN(BJ1477+(BJ1477*0.1),0)</f>
        <v>6578</v>
      </c>
      <c r="BL1477" s="84" t="s">
        <v>677</v>
      </c>
      <c r="BS1477" s="88">
        <v>0</v>
      </c>
      <c r="BV1477" s="89">
        <v>15876</v>
      </c>
      <c r="BW1477" s="89">
        <v>6458.4</v>
      </c>
      <c r="BX1477" s="89">
        <v>43732</v>
      </c>
      <c r="BY1477" s="89">
        <v>9417.6</v>
      </c>
      <c r="BZ1477" s="112">
        <v>59.319727891156461</v>
      </c>
      <c r="CC1477" s="84">
        <v>2019</v>
      </c>
      <c r="CK1477" s="88">
        <v>0</v>
      </c>
    </row>
    <row r="1478" spans="1:89" x14ac:dyDescent="0.15">
      <c r="A1478" s="84">
        <v>1</v>
      </c>
      <c r="B1478" s="85">
        <v>43733</v>
      </c>
      <c r="C1478" s="85">
        <v>43734</v>
      </c>
      <c r="F1478" s="85" t="s">
        <v>338</v>
      </c>
      <c r="H1478" s="85" t="s">
        <v>338</v>
      </c>
      <c r="J1478" s="84">
        <v>2</v>
      </c>
      <c r="L1478" s="84">
        <v>0</v>
      </c>
      <c r="M1478" s="85">
        <v>43732</v>
      </c>
      <c r="N1478" s="85" t="s">
        <v>265</v>
      </c>
      <c r="O1478" s="86" t="s">
        <v>340</v>
      </c>
      <c r="P1478" s="84" t="s">
        <v>272</v>
      </c>
      <c r="Q1478" s="86" t="s">
        <v>46</v>
      </c>
      <c r="R1478" s="86" t="s">
        <v>3772</v>
      </c>
      <c r="S1478" s="87" t="s">
        <v>351</v>
      </c>
      <c r="T1478" s="87" t="s">
        <v>931</v>
      </c>
      <c r="U1478" s="88">
        <v>7000</v>
      </c>
      <c r="V1478" s="88">
        <v>7560</v>
      </c>
      <c r="W1478" s="88">
        <v>7000</v>
      </c>
      <c r="X1478" s="88">
        <v>7560</v>
      </c>
      <c r="Z1478" s="88">
        <v>0</v>
      </c>
      <c r="AD1478" s="84">
        <v>0</v>
      </c>
      <c r="AG1478" s="84">
        <v>0</v>
      </c>
      <c r="AJ1478" s="84">
        <v>0</v>
      </c>
      <c r="AN1478" s="84" t="s">
        <v>338</v>
      </c>
      <c r="AR1478" s="85">
        <v>43732</v>
      </c>
      <c r="AS1478" s="84">
        <v>6001714666</v>
      </c>
      <c r="AT1478" s="85">
        <v>43732</v>
      </c>
      <c r="AU1478" s="84" t="s">
        <v>3792</v>
      </c>
      <c r="AV1478" s="85">
        <v>43734</v>
      </c>
      <c r="AW1478" s="123">
        <v>43738</v>
      </c>
      <c r="AX1478" s="123">
        <v>43758</v>
      </c>
      <c r="AY1478" s="132">
        <v>6720</v>
      </c>
      <c r="AZ1478" s="132">
        <v>7258</v>
      </c>
      <c r="BC1478" s="88">
        <v>0</v>
      </c>
      <c r="BG1478" s="88">
        <v>0</v>
      </c>
      <c r="BK1478" s="88">
        <v>0</v>
      </c>
      <c r="BS1478" s="88">
        <v>0</v>
      </c>
      <c r="BV1478" s="89">
        <v>7560</v>
      </c>
      <c r="BW1478" s="89">
        <v>0</v>
      </c>
      <c r="BX1478" s="89">
        <v>43732</v>
      </c>
      <c r="BY1478" s="89">
        <v>7560</v>
      </c>
      <c r="BZ1478" s="112">
        <v>100</v>
      </c>
      <c r="CK1478" s="88">
        <v>0</v>
      </c>
    </row>
    <row r="1479" spans="1:89" x14ac:dyDescent="0.15">
      <c r="A1479" s="84">
        <v>1</v>
      </c>
      <c r="B1479" s="85">
        <v>43735</v>
      </c>
      <c r="C1479" s="85">
        <v>43735</v>
      </c>
      <c r="F1479" s="85" t="s">
        <v>338</v>
      </c>
      <c r="G1479" s="85">
        <v>43734</v>
      </c>
      <c r="H1479" s="85" t="s">
        <v>338</v>
      </c>
      <c r="I1479" s="84" t="s">
        <v>380</v>
      </c>
      <c r="J1479" s="84">
        <v>2</v>
      </c>
      <c r="L1479" s="84">
        <v>0</v>
      </c>
      <c r="M1479" s="85">
        <v>43732</v>
      </c>
      <c r="N1479" s="85" t="s">
        <v>265</v>
      </c>
      <c r="O1479" s="86" t="s">
        <v>340</v>
      </c>
      <c r="P1479" s="84" t="s">
        <v>6</v>
      </c>
      <c r="Q1479" s="86" t="s">
        <v>46</v>
      </c>
      <c r="R1479" s="86" t="s">
        <v>3812</v>
      </c>
      <c r="S1479" s="87" t="s">
        <v>1058</v>
      </c>
      <c r="T1479" s="87" t="s">
        <v>342</v>
      </c>
      <c r="U1479" s="88">
        <v>35000</v>
      </c>
      <c r="V1479" s="88">
        <v>37800</v>
      </c>
      <c r="W1479" s="88">
        <v>35000</v>
      </c>
      <c r="X1479" s="88">
        <v>37800</v>
      </c>
      <c r="Z1479" s="88">
        <v>0</v>
      </c>
      <c r="AA1479" s="85">
        <v>43733</v>
      </c>
      <c r="AB1479" s="85">
        <v>43733</v>
      </c>
      <c r="AD1479" s="84">
        <v>0</v>
      </c>
      <c r="AG1479" s="84">
        <v>0</v>
      </c>
      <c r="AJ1479" s="84">
        <v>0</v>
      </c>
      <c r="AN1479" s="84" t="s">
        <v>338</v>
      </c>
      <c r="AR1479" s="85">
        <v>43733</v>
      </c>
      <c r="AS1479" s="84">
        <v>6001715571</v>
      </c>
      <c r="AT1479" s="85">
        <v>43734</v>
      </c>
      <c r="AU1479" s="84" t="s">
        <v>3814</v>
      </c>
      <c r="AV1479" s="85">
        <v>43735</v>
      </c>
      <c r="AW1479" s="123">
        <v>43738</v>
      </c>
      <c r="AX1479" s="123">
        <v>43758</v>
      </c>
      <c r="AY1479" s="132">
        <v>33600</v>
      </c>
      <c r="AZ1479" s="132">
        <f>ROUNDDOWN(AY1479+(AY1479*MASTER!$A$2/100),0)</f>
        <v>36288</v>
      </c>
      <c r="BA1479" s="84" t="s">
        <v>287</v>
      </c>
      <c r="BB1479" s="88">
        <v>30000</v>
      </c>
      <c r="BC1479" s="88">
        <v>32400</v>
      </c>
      <c r="BD1479" s="84" t="s">
        <v>3431</v>
      </c>
      <c r="BG1479" s="88">
        <v>0</v>
      </c>
      <c r="BK1479" s="88">
        <v>0</v>
      </c>
      <c r="BS1479" s="88">
        <v>0</v>
      </c>
      <c r="BV1479" s="89">
        <v>37800</v>
      </c>
      <c r="BW1479" s="89">
        <v>32400</v>
      </c>
      <c r="BX1479" s="89">
        <v>43732</v>
      </c>
      <c r="BY1479" s="89">
        <v>5400</v>
      </c>
      <c r="BZ1479" s="112">
        <v>14.285714285714285</v>
      </c>
      <c r="CK1479" s="88">
        <v>0</v>
      </c>
    </row>
    <row r="1480" spans="1:89" x14ac:dyDescent="0.15">
      <c r="A1480" s="84">
        <v>2</v>
      </c>
      <c r="B1480" s="85">
        <v>43747</v>
      </c>
      <c r="C1480" s="85">
        <v>43747</v>
      </c>
      <c r="D1480" s="85">
        <v>43735</v>
      </c>
      <c r="E1480" s="85">
        <v>43735</v>
      </c>
      <c r="F1480" s="85" t="s">
        <v>338</v>
      </c>
      <c r="G1480" s="85">
        <v>43735</v>
      </c>
      <c r="H1480" s="85" t="s">
        <v>338</v>
      </c>
      <c r="I1480" s="84" t="s">
        <v>547</v>
      </c>
      <c r="J1480" s="84">
        <v>2</v>
      </c>
      <c r="L1480" s="84">
        <v>0</v>
      </c>
      <c r="M1480" s="85">
        <v>43732</v>
      </c>
      <c r="N1480" s="85" t="s">
        <v>265</v>
      </c>
      <c r="O1480" s="86" t="s">
        <v>340</v>
      </c>
      <c r="P1480" s="84" t="s">
        <v>6</v>
      </c>
      <c r="Q1480" s="86" t="s">
        <v>46</v>
      </c>
      <c r="R1480" s="86" t="s">
        <v>3765</v>
      </c>
      <c r="S1480" s="87" t="s">
        <v>2734</v>
      </c>
      <c r="T1480" s="87" t="s">
        <v>342</v>
      </c>
      <c r="U1480" s="88">
        <v>35000</v>
      </c>
      <c r="V1480" s="88">
        <v>37800</v>
      </c>
      <c r="W1480" s="88">
        <v>35000</v>
      </c>
      <c r="X1480" s="88">
        <v>37800</v>
      </c>
      <c r="Z1480" s="88">
        <v>0</v>
      </c>
      <c r="AA1480" s="85">
        <v>43733</v>
      </c>
      <c r="AB1480" s="85">
        <v>43733</v>
      </c>
      <c r="AD1480" s="84">
        <v>0</v>
      </c>
      <c r="AG1480" s="84">
        <v>0</v>
      </c>
      <c r="AJ1480" s="84">
        <v>0</v>
      </c>
      <c r="AN1480" s="84" t="s">
        <v>338</v>
      </c>
      <c r="AR1480" s="85">
        <v>43745</v>
      </c>
      <c r="AS1480" s="84">
        <v>6001718895</v>
      </c>
      <c r="AT1480" s="85">
        <v>43746</v>
      </c>
      <c r="AU1480" s="84" t="s">
        <v>3895</v>
      </c>
      <c r="AV1480" s="85">
        <v>43747</v>
      </c>
      <c r="AW1480" s="123">
        <v>43769</v>
      </c>
      <c r="AX1480" s="123">
        <v>43789</v>
      </c>
      <c r="AY1480" s="132">
        <v>33600</v>
      </c>
      <c r="AZ1480" s="132">
        <f>ROUNDDOWN(AY1480+(AY1480*0.1),0)</f>
        <v>36960</v>
      </c>
      <c r="BA1480" s="84" t="s">
        <v>109</v>
      </c>
      <c r="BC1480" s="88">
        <v>0</v>
      </c>
      <c r="BG1480" s="88">
        <v>0</v>
      </c>
      <c r="BK1480" s="88">
        <v>0</v>
      </c>
      <c r="BS1480" s="88">
        <v>0</v>
      </c>
      <c r="BV1480" s="89">
        <v>37800</v>
      </c>
      <c r="BW1480" s="89">
        <v>0</v>
      </c>
      <c r="BX1480" s="89">
        <v>43732</v>
      </c>
      <c r="BY1480" s="89">
        <v>37800</v>
      </c>
      <c r="BZ1480" s="112">
        <v>100</v>
      </c>
      <c r="CK1480" s="88">
        <v>0</v>
      </c>
    </row>
    <row r="1481" spans="1:89" x14ac:dyDescent="0.15">
      <c r="A1481" s="84">
        <v>2</v>
      </c>
      <c r="B1481" s="85">
        <v>43741</v>
      </c>
      <c r="C1481" s="85">
        <v>43742</v>
      </c>
      <c r="D1481" s="85">
        <v>43735</v>
      </c>
      <c r="E1481" s="85">
        <v>43735</v>
      </c>
      <c r="F1481" s="85" t="s">
        <v>338</v>
      </c>
      <c r="G1481" s="85">
        <v>43735</v>
      </c>
      <c r="H1481" s="85" t="s">
        <v>338</v>
      </c>
      <c r="I1481" s="84" t="s">
        <v>380</v>
      </c>
      <c r="J1481" s="84">
        <v>2</v>
      </c>
      <c r="L1481" s="84">
        <v>0</v>
      </c>
      <c r="M1481" s="85">
        <v>43732</v>
      </c>
      <c r="N1481" s="85" t="s">
        <v>265</v>
      </c>
      <c r="O1481" s="86" t="s">
        <v>340</v>
      </c>
      <c r="P1481" s="84" t="s">
        <v>6</v>
      </c>
      <c r="Q1481" s="86" t="s">
        <v>46</v>
      </c>
      <c r="R1481" s="86" t="s">
        <v>3834</v>
      </c>
      <c r="S1481" s="87" t="s">
        <v>2050</v>
      </c>
      <c r="T1481" s="87" t="s">
        <v>342</v>
      </c>
      <c r="U1481" s="88">
        <v>35000</v>
      </c>
      <c r="V1481" s="88">
        <v>37800</v>
      </c>
      <c r="W1481" s="88">
        <v>35000</v>
      </c>
      <c r="X1481" s="88">
        <v>37800</v>
      </c>
      <c r="Z1481" s="88">
        <v>0</v>
      </c>
      <c r="AA1481" s="85">
        <v>43734</v>
      </c>
      <c r="AB1481" s="85">
        <v>43734</v>
      </c>
      <c r="AD1481" s="84">
        <v>0</v>
      </c>
      <c r="AG1481" s="84">
        <v>0</v>
      </c>
      <c r="AJ1481" s="84">
        <v>0</v>
      </c>
      <c r="AN1481" s="84" t="s">
        <v>338</v>
      </c>
      <c r="AR1481" s="85">
        <v>43740</v>
      </c>
      <c r="AS1481" s="84">
        <v>6001716906</v>
      </c>
      <c r="AT1481" s="85">
        <v>43740</v>
      </c>
      <c r="AU1481" s="84" t="s">
        <v>3869</v>
      </c>
      <c r="AV1481" s="85">
        <v>43742</v>
      </c>
      <c r="AW1481" s="123">
        <v>43769</v>
      </c>
      <c r="AX1481" s="123">
        <v>43789</v>
      </c>
      <c r="AY1481" s="132">
        <v>33600</v>
      </c>
      <c r="AZ1481" s="132">
        <f>ROUNDDOWN(AY1481+(AY1481*0.1),0)</f>
        <v>36960</v>
      </c>
      <c r="BA1481" s="84" t="s">
        <v>286</v>
      </c>
      <c r="BB1481" s="88">
        <v>23000</v>
      </c>
      <c r="BC1481" s="88">
        <v>24840</v>
      </c>
      <c r="BD1481" s="84" t="s">
        <v>3431</v>
      </c>
      <c r="BG1481" s="88">
        <v>0</v>
      </c>
      <c r="BK1481" s="88">
        <v>0</v>
      </c>
      <c r="BS1481" s="88">
        <v>0</v>
      </c>
      <c r="BV1481" s="89">
        <v>37800</v>
      </c>
      <c r="BW1481" s="89">
        <v>24840</v>
      </c>
      <c r="BX1481" s="89">
        <v>43732</v>
      </c>
      <c r="BY1481" s="89">
        <v>12960</v>
      </c>
      <c r="BZ1481" s="112">
        <v>34.285714285714285</v>
      </c>
      <c r="CK1481" s="88">
        <v>0</v>
      </c>
    </row>
    <row r="1482" spans="1:89" x14ac:dyDescent="0.15">
      <c r="A1482" s="84">
        <v>1</v>
      </c>
      <c r="B1482" s="85">
        <v>43735</v>
      </c>
      <c r="C1482" s="85">
        <v>43735</v>
      </c>
      <c r="F1482" s="85" t="s">
        <v>338</v>
      </c>
      <c r="G1482" s="85">
        <v>43734</v>
      </c>
      <c r="H1482" s="85" t="s">
        <v>338</v>
      </c>
      <c r="I1482" s="84" t="s">
        <v>380</v>
      </c>
      <c r="J1482" s="84">
        <v>2</v>
      </c>
      <c r="L1482" s="84">
        <v>0</v>
      </c>
      <c r="M1482" s="85">
        <v>43732</v>
      </c>
      <c r="N1482" s="85" t="s">
        <v>265</v>
      </c>
      <c r="O1482" s="86" t="s">
        <v>340</v>
      </c>
      <c r="P1482" s="84" t="s">
        <v>6</v>
      </c>
      <c r="Q1482" s="86" t="s">
        <v>46</v>
      </c>
      <c r="R1482" s="86" t="s">
        <v>3813</v>
      </c>
      <c r="S1482" s="87" t="s">
        <v>1855</v>
      </c>
      <c r="T1482" s="87" t="s">
        <v>342</v>
      </c>
      <c r="U1482" s="88">
        <v>35000</v>
      </c>
      <c r="V1482" s="88">
        <v>37800</v>
      </c>
      <c r="W1482" s="88">
        <v>35000</v>
      </c>
      <c r="X1482" s="88">
        <v>37800</v>
      </c>
      <c r="Z1482" s="88">
        <v>0</v>
      </c>
      <c r="AA1482" s="85">
        <v>43734</v>
      </c>
      <c r="AB1482" s="85">
        <v>43734</v>
      </c>
      <c r="AD1482" s="84">
        <v>0</v>
      </c>
      <c r="AG1482" s="84">
        <v>0</v>
      </c>
      <c r="AJ1482" s="84">
        <v>0</v>
      </c>
      <c r="AN1482" s="84" t="s">
        <v>338</v>
      </c>
      <c r="AR1482" s="85">
        <v>43733</v>
      </c>
      <c r="AS1482" s="84">
        <v>6001715571</v>
      </c>
      <c r="AT1482" s="85">
        <v>43734</v>
      </c>
      <c r="AU1482" s="84" t="s">
        <v>3814</v>
      </c>
      <c r="AV1482" s="85">
        <v>43735</v>
      </c>
      <c r="AW1482" s="123">
        <v>43738</v>
      </c>
      <c r="AX1482" s="123">
        <v>43758</v>
      </c>
      <c r="AY1482" s="132">
        <v>33600</v>
      </c>
      <c r="AZ1482" s="132">
        <f>ROUNDDOWN(AY1482+(AY1482*MASTER!$A$2/100),0)</f>
        <v>36288</v>
      </c>
      <c r="BA1482" s="84" t="s">
        <v>287</v>
      </c>
      <c r="BB1482" s="88">
        <v>32000</v>
      </c>
      <c r="BC1482" s="88">
        <v>34560</v>
      </c>
      <c r="BD1482" s="84" t="s">
        <v>3431</v>
      </c>
      <c r="BG1482" s="88">
        <v>0</v>
      </c>
      <c r="BK1482" s="88">
        <v>0</v>
      </c>
      <c r="BS1482" s="88">
        <v>0</v>
      </c>
      <c r="BV1482" s="89">
        <v>37800</v>
      </c>
      <c r="BW1482" s="89">
        <v>34560</v>
      </c>
      <c r="BX1482" s="89">
        <v>43732</v>
      </c>
      <c r="BY1482" s="89">
        <v>3240</v>
      </c>
      <c r="BZ1482" s="112">
        <v>8.5714285714285712</v>
      </c>
      <c r="CK1482" s="88">
        <v>0</v>
      </c>
    </row>
    <row r="1483" spans="1:89" x14ac:dyDescent="0.15">
      <c r="A1483" s="84">
        <v>2</v>
      </c>
      <c r="B1483" s="85">
        <v>43738</v>
      </c>
      <c r="C1483" s="85">
        <v>43749</v>
      </c>
      <c r="D1483" s="85">
        <v>43755</v>
      </c>
      <c r="E1483" s="85">
        <v>43755</v>
      </c>
      <c r="F1483" s="85" t="s">
        <v>338</v>
      </c>
      <c r="G1483" s="85">
        <v>43755</v>
      </c>
      <c r="H1483" s="85" t="s">
        <v>338</v>
      </c>
      <c r="I1483" s="84" t="s">
        <v>380</v>
      </c>
      <c r="J1483" s="84">
        <v>2</v>
      </c>
      <c r="L1483" s="84">
        <v>0</v>
      </c>
      <c r="M1483" s="85">
        <v>43732</v>
      </c>
      <c r="N1483" s="85" t="s">
        <v>265</v>
      </c>
      <c r="O1483" s="86" t="s">
        <v>340</v>
      </c>
      <c r="P1483" s="84" t="s">
        <v>6</v>
      </c>
      <c r="Q1483" s="86" t="s">
        <v>46</v>
      </c>
      <c r="R1483" s="86" t="s">
        <v>3820</v>
      </c>
      <c r="S1483" s="87" t="s">
        <v>1946</v>
      </c>
      <c r="T1483" s="87" t="s">
        <v>342</v>
      </c>
      <c r="U1483" s="88">
        <v>35000</v>
      </c>
      <c r="V1483" s="88">
        <v>37800</v>
      </c>
      <c r="W1483" s="88">
        <v>35000</v>
      </c>
      <c r="X1483" s="88">
        <v>37800</v>
      </c>
      <c r="Z1483" s="88">
        <v>0</v>
      </c>
      <c r="AA1483" s="85">
        <v>43738</v>
      </c>
      <c r="AB1483" s="85">
        <v>43739</v>
      </c>
      <c r="AD1483" s="84">
        <v>0</v>
      </c>
      <c r="AG1483" s="84">
        <v>0</v>
      </c>
      <c r="AJ1483" s="84">
        <v>0</v>
      </c>
      <c r="AN1483" s="84" t="s">
        <v>338</v>
      </c>
      <c r="AR1483" s="85">
        <v>43734</v>
      </c>
      <c r="AS1483" s="84">
        <v>6001715738</v>
      </c>
      <c r="AT1483" s="85">
        <v>43734</v>
      </c>
      <c r="AU1483" s="84" t="s">
        <v>3821</v>
      </c>
      <c r="AV1483" s="85">
        <v>43749</v>
      </c>
      <c r="AW1483" s="123">
        <v>43769</v>
      </c>
      <c r="AX1483" s="123">
        <v>43789</v>
      </c>
      <c r="AY1483" s="132">
        <v>33600</v>
      </c>
      <c r="AZ1483" s="132">
        <f>ROUNDDOWN(AY1483+(AY1483*0.1),0)</f>
        <v>36960</v>
      </c>
      <c r="BA1483" s="84" t="s">
        <v>286</v>
      </c>
      <c r="BB1483" s="88">
        <v>26000</v>
      </c>
      <c r="BC1483" s="88">
        <v>28080</v>
      </c>
      <c r="BD1483" s="84" t="s">
        <v>188</v>
      </c>
      <c r="BG1483" s="88">
        <v>0</v>
      </c>
      <c r="BK1483" s="88">
        <v>0</v>
      </c>
      <c r="BS1483" s="88">
        <v>0</v>
      </c>
      <c r="BV1483" s="89">
        <v>37800</v>
      </c>
      <c r="BW1483" s="89">
        <v>28080</v>
      </c>
      <c r="BX1483" s="89">
        <v>43732</v>
      </c>
      <c r="BY1483" s="89">
        <v>9720</v>
      </c>
      <c r="BZ1483" s="112">
        <v>25.714285714285712</v>
      </c>
      <c r="CC1483" s="84">
        <v>2019</v>
      </c>
      <c r="CK1483" s="88">
        <v>0</v>
      </c>
    </row>
    <row r="1484" spans="1:89" x14ac:dyDescent="0.15">
      <c r="A1484" s="84">
        <v>1</v>
      </c>
      <c r="B1484" s="85">
        <v>43761</v>
      </c>
      <c r="C1484" s="85">
        <v>43762</v>
      </c>
      <c r="F1484" s="85" t="s">
        <v>338</v>
      </c>
      <c r="H1484" s="85" t="s">
        <v>338</v>
      </c>
      <c r="J1484" s="84">
        <v>2</v>
      </c>
      <c r="L1484" s="84">
        <v>0</v>
      </c>
      <c r="M1484" s="85">
        <v>43732</v>
      </c>
      <c r="N1484" s="85" t="s">
        <v>265</v>
      </c>
      <c r="O1484" s="86" t="s">
        <v>340</v>
      </c>
      <c r="P1484" s="84" t="s">
        <v>272</v>
      </c>
      <c r="Q1484" s="86" t="s">
        <v>46</v>
      </c>
      <c r="R1484" s="86" t="s">
        <v>3769</v>
      </c>
      <c r="S1484" s="87" t="s">
        <v>1928</v>
      </c>
      <c r="T1484" s="87" t="s">
        <v>3459</v>
      </c>
      <c r="U1484" s="88">
        <v>3000</v>
      </c>
      <c r="V1484" s="88">
        <v>3240</v>
      </c>
      <c r="W1484" s="88">
        <v>3000</v>
      </c>
      <c r="X1484" s="88">
        <v>3240</v>
      </c>
      <c r="Z1484" s="88">
        <v>0</v>
      </c>
      <c r="AA1484" s="85">
        <v>43725</v>
      </c>
      <c r="AD1484" s="84">
        <v>0</v>
      </c>
      <c r="AG1484" s="84">
        <v>0</v>
      </c>
      <c r="AJ1484" s="84">
        <v>0</v>
      </c>
      <c r="AR1484" s="85">
        <v>43740</v>
      </c>
      <c r="AS1484" s="84">
        <v>6001716906</v>
      </c>
      <c r="AT1484" s="85">
        <v>43740</v>
      </c>
      <c r="AU1484" s="84" t="s">
        <v>3869</v>
      </c>
      <c r="AV1484" s="85">
        <v>43762</v>
      </c>
      <c r="AW1484" s="123">
        <v>43769</v>
      </c>
      <c r="AX1484" s="123">
        <v>43789</v>
      </c>
      <c r="AY1484" s="132">
        <v>2880</v>
      </c>
      <c r="AZ1484" s="132">
        <f>ROUNDDOWN(AY1484+(AY1484*0.1),0)</f>
        <v>3168</v>
      </c>
      <c r="BC1484" s="88">
        <v>0</v>
      </c>
      <c r="BG1484" s="88">
        <v>0</v>
      </c>
      <c r="BK1484" s="88">
        <v>0</v>
      </c>
      <c r="BS1484" s="88">
        <v>0</v>
      </c>
      <c r="BV1484" s="89">
        <v>3240</v>
      </c>
      <c r="BW1484" s="89">
        <v>0</v>
      </c>
      <c r="BX1484" s="89">
        <v>43732</v>
      </c>
      <c r="BY1484" s="89">
        <v>3240</v>
      </c>
      <c r="BZ1484" s="112">
        <v>100</v>
      </c>
    </row>
    <row r="1485" spans="1:89" x14ac:dyDescent="0.15">
      <c r="A1485" s="84">
        <v>2</v>
      </c>
      <c r="C1485" s="85" t="s">
        <v>338</v>
      </c>
      <c r="F1485" s="85" t="s">
        <v>338</v>
      </c>
      <c r="H1485" s="85" t="s">
        <v>338</v>
      </c>
      <c r="J1485" s="84">
        <v>4</v>
      </c>
      <c r="L1485" s="84">
        <v>0</v>
      </c>
      <c r="M1485" s="85">
        <v>43732</v>
      </c>
      <c r="N1485" s="85" t="s">
        <v>345</v>
      </c>
      <c r="O1485" s="86" t="s">
        <v>343</v>
      </c>
      <c r="P1485" s="84" t="s">
        <v>482</v>
      </c>
      <c r="Q1485" s="86" t="s">
        <v>3602</v>
      </c>
      <c r="R1485" s="86" t="s">
        <v>3773</v>
      </c>
      <c r="S1485" s="87" t="s">
        <v>3345</v>
      </c>
      <c r="T1485" s="87" t="s">
        <v>3774</v>
      </c>
      <c r="U1485" s="88">
        <v>0</v>
      </c>
      <c r="V1485" s="88">
        <v>0</v>
      </c>
      <c r="W1485" s="88">
        <v>0</v>
      </c>
      <c r="X1485" s="88">
        <v>0</v>
      </c>
      <c r="Y1485" s="88">
        <v>0</v>
      </c>
      <c r="Z1485" s="88">
        <v>0</v>
      </c>
      <c r="AA1485" s="85">
        <v>43663</v>
      </c>
      <c r="AB1485" s="85">
        <v>43664</v>
      </c>
      <c r="AD1485" s="84">
        <v>0</v>
      </c>
      <c r="AG1485" s="84">
        <v>0</v>
      </c>
      <c r="AJ1485" s="84">
        <v>0</v>
      </c>
      <c r="AN1485" s="84" t="s">
        <v>338</v>
      </c>
      <c r="AY1485" s="132">
        <f>ROUNDDOWN((0.96*U1485),0)</f>
        <v>0</v>
      </c>
      <c r="AZ1485" s="132">
        <f>ROUNDDOWN(AY1485+(AY1485*MASTER!$A$2/100),0)</f>
        <v>0</v>
      </c>
      <c r="BA1485" s="84" t="s">
        <v>3775</v>
      </c>
      <c r="BB1485" s="88">
        <v>32000</v>
      </c>
      <c r="BC1485" s="88">
        <v>34560</v>
      </c>
      <c r="BD1485" s="84" t="s">
        <v>3515</v>
      </c>
      <c r="BG1485" s="88">
        <v>0</v>
      </c>
      <c r="BK1485" s="88">
        <v>0</v>
      </c>
      <c r="BS1485" s="88">
        <v>0</v>
      </c>
      <c r="BV1485" s="89">
        <v>0</v>
      </c>
      <c r="BW1485" s="89">
        <v>34560</v>
      </c>
      <c r="BX1485" s="89">
        <v>43732</v>
      </c>
      <c r="BY1485" s="89">
        <v>-34560</v>
      </c>
      <c r="BZ1485" s="112" t="s">
        <v>338</v>
      </c>
    </row>
    <row r="1486" spans="1:89" x14ac:dyDescent="0.15">
      <c r="A1486" s="84">
        <v>2</v>
      </c>
      <c r="C1486" s="85" t="s">
        <v>338</v>
      </c>
      <c r="F1486" s="85" t="s">
        <v>338</v>
      </c>
      <c r="H1486" s="85" t="s">
        <v>338</v>
      </c>
      <c r="J1486" s="84">
        <v>4</v>
      </c>
      <c r="L1486" s="84">
        <v>0</v>
      </c>
      <c r="M1486" s="85">
        <v>43732</v>
      </c>
      <c r="N1486" s="85" t="s">
        <v>265</v>
      </c>
      <c r="O1486" s="86" t="s">
        <v>340</v>
      </c>
      <c r="P1486" s="84" t="s">
        <v>272</v>
      </c>
      <c r="Q1486" s="86" t="s">
        <v>46</v>
      </c>
      <c r="R1486" s="86" t="s">
        <v>3776</v>
      </c>
      <c r="S1486" s="87" t="s">
        <v>1900</v>
      </c>
      <c r="T1486" s="87" t="s">
        <v>3778</v>
      </c>
      <c r="U1486" s="88">
        <v>0</v>
      </c>
      <c r="V1486" s="88">
        <v>0</v>
      </c>
      <c r="W1486" s="88">
        <v>0</v>
      </c>
      <c r="X1486" s="88">
        <v>0</v>
      </c>
      <c r="Y1486" s="88">
        <v>0</v>
      </c>
      <c r="Z1486" s="88">
        <v>0</v>
      </c>
      <c r="AA1486" s="85">
        <v>43692</v>
      </c>
      <c r="AB1486" s="85">
        <v>43692</v>
      </c>
      <c r="AD1486" s="84">
        <v>0</v>
      </c>
      <c r="AG1486" s="84">
        <v>0</v>
      </c>
      <c r="AJ1486" s="84">
        <v>0</v>
      </c>
      <c r="AN1486" s="84" t="s">
        <v>338</v>
      </c>
      <c r="AY1486" s="132">
        <v>0</v>
      </c>
      <c r="AZ1486" s="132">
        <f>ROUNDDOWN(AY1486+(AY1486*MASTER!$A$2/100),0)</f>
        <v>0</v>
      </c>
      <c r="BA1486" s="84" t="s">
        <v>543</v>
      </c>
      <c r="BB1486" s="88">
        <v>28000</v>
      </c>
      <c r="BC1486" s="88">
        <v>30240</v>
      </c>
      <c r="BD1486" s="84" t="s">
        <v>3431</v>
      </c>
      <c r="BG1486" s="88">
        <v>0</v>
      </c>
      <c r="BK1486" s="88">
        <v>0</v>
      </c>
      <c r="BS1486" s="88">
        <v>0</v>
      </c>
      <c r="BV1486" s="89">
        <v>0</v>
      </c>
      <c r="BW1486" s="89">
        <v>30240</v>
      </c>
      <c r="BX1486" s="89">
        <v>43732</v>
      </c>
      <c r="BY1486" s="89">
        <v>-30240</v>
      </c>
      <c r="BZ1486" s="112" t="s">
        <v>338</v>
      </c>
    </row>
    <row r="1487" spans="1:89" x14ac:dyDescent="0.15">
      <c r="A1487" s="84">
        <v>2</v>
      </c>
      <c r="C1487" s="85" t="s">
        <v>338</v>
      </c>
      <c r="F1487" s="85" t="s">
        <v>338</v>
      </c>
      <c r="H1487" s="85" t="s">
        <v>338</v>
      </c>
      <c r="J1487" s="84">
        <v>4</v>
      </c>
      <c r="L1487" s="84">
        <v>0</v>
      </c>
      <c r="M1487" s="85">
        <v>43732</v>
      </c>
      <c r="N1487" s="85" t="s">
        <v>345</v>
      </c>
      <c r="O1487" s="86" t="s">
        <v>343</v>
      </c>
      <c r="P1487" s="84" t="s">
        <v>482</v>
      </c>
      <c r="Q1487" s="86" t="s">
        <v>3602</v>
      </c>
      <c r="R1487" s="86" t="s">
        <v>3777</v>
      </c>
      <c r="S1487" s="87" t="s">
        <v>3346</v>
      </c>
      <c r="T1487" s="87" t="s">
        <v>3774</v>
      </c>
      <c r="U1487" s="88">
        <v>0</v>
      </c>
      <c r="V1487" s="88">
        <v>0</v>
      </c>
      <c r="W1487" s="88">
        <v>0</v>
      </c>
      <c r="X1487" s="88">
        <v>0</v>
      </c>
      <c r="Y1487" s="88">
        <v>0</v>
      </c>
      <c r="Z1487" s="88">
        <v>0</v>
      </c>
      <c r="AA1487" s="85">
        <v>43684</v>
      </c>
      <c r="AB1487" s="85">
        <v>43684</v>
      </c>
      <c r="AD1487" s="84">
        <v>0</v>
      </c>
      <c r="AG1487" s="84">
        <v>0</v>
      </c>
      <c r="AJ1487" s="84">
        <v>0</v>
      </c>
      <c r="AN1487" s="84" t="s">
        <v>338</v>
      </c>
      <c r="AY1487" s="132">
        <f>ROUNDDOWN((0.96*U1487),0)</f>
        <v>0</v>
      </c>
      <c r="AZ1487" s="132">
        <f>ROUNDDOWN(AY1487+(AY1487*MASTER!$A$2/100),0)</f>
        <v>0</v>
      </c>
      <c r="BA1487" s="163" t="s">
        <v>624</v>
      </c>
      <c r="BB1487" s="88">
        <v>28000</v>
      </c>
      <c r="BC1487" s="88">
        <f>ROUNDDOWN(BB1487+(BB1487*0.1),0)</f>
        <v>30800</v>
      </c>
      <c r="BD1487" s="84" t="s">
        <v>188</v>
      </c>
      <c r="BG1487" s="88">
        <v>0</v>
      </c>
      <c r="BK1487" s="88">
        <v>0</v>
      </c>
      <c r="BS1487" s="88">
        <v>0</v>
      </c>
      <c r="BV1487" s="89">
        <v>0</v>
      </c>
      <c r="BW1487" s="89">
        <v>30240</v>
      </c>
      <c r="BX1487" s="89">
        <v>43732</v>
      </c>
      <c r="BY1487" s="89">
        <v>-30240</v>
      </c>
      <c r="BZ1487" s="112" t="s">
        <v>338</v>
      </c>
      <c r="CC1487" s="84">
        <v>2019</v>
      </c>
    </row>
    <row r="1488" spans="1:89" x14ac:dyDescent="0.15">
      <c r="A1488" s="84">
        <v>2</v>
      </c>
      <c r="C1488" s="85" t="s">
        <v>338</v>
      </c>
      <c r="F1488" s="85" t="s">
        <v>338</v>
      </c>
      <c r="H1488" s="85" t="s">
        <v>338</v>
      </c>
      <c r="J1488" s="84">
        <v>4</v>
      </c>
      <c r="L1488" s="84">
        <v>0</v>
      </c>
      <c r="M1488" s="85">
        <v>43732</v>
      </c>
      <c r="N1488" s="85" t="s">
        <v>345</v>
      </c>
      <c r="O1488" s="86" t="s">
        <v>343</v>
      </c>
      <c r="P1488" s="84" t="s">
        <v>482</v>
      </c>
      <c r="Q1488" s="86" t="s">
        <v>3602</v>
      </c>
      <c r="R1488" s="86" t="s">
        <v>3779</v>
      </c>
      <c r="S1488" s="87" t="s">
        <v>3348</v>
      </c>
      <c r="T1488" s="87" t="s">
        <v>3774</v>
      </c>
      <c r="U1488" s="88">
        <v>0</v>
      </c>
      <c r="V1488" s="88">
        <v>0</v>
      </c>
      <c r="W1488" s="88">
        <v>0</v>
      </c>
      <c r="X1488" s="88">
        <v>0</v>
      </c>
      <c r="Y1488" s="88">
        <v>0</v>
      </c>
      <c r="Z1488" s="88">
        <v>0</v>
      </c>
      <c r="AA1488" s="85">
        <v>43704</v>
      </c>
      <c r="AB1488" s="85">
        <v>43704</v>
      </c>
      <c r="AD1488" s="84">
        <v>0</v>
      </c>
      <c r="AG1488" s="84">
        <v>0</v>
      </c>
      <c r="AJ1488" s="84">
        <v>0</v>
      </c>
      <c r="AN1488" s="84" t="s">
        <v>338</v>
      </c>
      <c r="AY1488" s="132">
        <f>ROUNDDOWN((0.96*U1488),0)</f>
        <v>0</v>
      </c>
      <c r="AZ1488" s="132">
        <f>ROUNDDOWN(AY1488+(AY1488*MASTER!$A$2/100),0)</f>
        <v>0</v>
      </c>
      <c r="BA1488" s="84" t="s">
        <v>833</v>
      </c>
      <c r="BB1488" s="88">
        <v>30000</v>
      </c>
      <c r="BC1488" s="88">
        <v>32400</v>
      </c>
      <c r="BD1488" s="84" t="s">
        <v>3515</v>
      </c>
      <c r="BG1488" s="88">
        <v>0</v>
      </c>
      <c r="BK1488" s="88">
        <v>0</v>
      </c>
      <c r="BS1488" s="88">
        <v>0</v>
      </c>
      <c r="BV1488" s="89">
        <v>0</v>
      </c>
      <c r="BW1488" s="89">
        <v>32400</v>
      </c>
      <c r="BX1488" s="89">
        <v>43732</v>
      </c>
      <c r="BY1488" s="89">
        <v>-32400</v>
      </c>
      <c r="BZ1488" s="112" t="s">
        <v>338</v>
      </c>
    </row>
    <row r="1489" spans="1:89" x14ac:dyDescent="0.15">
      <c r="A1489" s="84">
        <v>2</v>
      </c>
      <c r="C1489" s="85" t="s">
        <v>338</v>
      </c>
      <c r="F1489" s="85" t="s">
        <v>338</v>
      </c>
      <c r="H1489" s="85" t="s">
        <v>338</v>
      </c>
      <c r="J1489" s="84">
        <v>4</v>
      </c>
      <c r="L1489" s="84">
        <v>0</v>
      </c>
      <c r="M1489" s="85">
        <v>43732</v>
      </c>
      <c r="N1489" s="85" t="s">
        <v>345</v>
      </c>
      <c r="O1489" s="86" t="s">
        <v>343</v>
      </c>
      <c r="P1489" s="84" t="s">
        <v>482</v>
      </c>
      <c r="Q1489" s="86" t="s">
        <v>3602</v>
      </c>
      <c r="R1489" s="86" t="s">
        <v>3780</v>
      </c>
      <c r="S1489" s="87" t="s">
        <v>3347</v>
      </c>
      <c r="T1489" s="87" t="s">
        <v>3774</v>
      </c>
      <c r="U1489" s="88">
        <v>0</v>
      </c>
      <c r="V1489" s="88">
        <v>0</v>
      </c>
      <c r="W1489" s="88">
        <v>0</v>
      </c>
      <c r="X1489" s="88">
        <v>0</v>
      </c>
      <c r="Y1489" s="88">
        <v>0</v>
      </c>
      <c r="Z1489" s="88">
        <v>0</v>
      </c>
      <c r="AA1489" s="85">
        <v>43726</v>
      </c>
      <c r="AB1489" s="85">
        <v>43726</v>
      </c>
      <c r="AD1489" s="84">
        <v>0</v>
      </c>
      <c r="AG1489" s="84">
        <v>0</v>
      </c>
      <c r="AJ1489" s="84">
        <v>0</v>
      </c>
      <c r="AN1489" s="84" t="s">
        <v>338</v>
      </c>
      <c r="AY1489" s="132">
        <f>ROUNDDOWN((0.96*U1489),0)</f>
        <v>0</v>
      </c>
      <c r="AZ1489" s="132">
        <f>ROUNDDOWN(AY1489+(AY1489*MASTER!$A$2/100),0)</f>
        <v>0</v>
      </c>
      <c r="BA1489" s="84" t="s">
        <v>486</v>
      </c>
      <c r="BB1489" s="88">
        <v>35000</v>
      </c>
      <c r="BC1489" s="88">
        <v>37800</v>
      </c>
      <c r="BD1489" s="84" t="s">
        <v>3515</v>
      </c>
      <c r="BG1489" s="88">
        <v>0</v>
      </c>
      <c r="BK1489" s="88">
        <v>0</v>
      </c>
      <c r="BS1489" s="88">
        <v>0</v>
      </c>
      <c r="BV1489" s="89">
        <v>0</v>
      </c>
      <c r="BW1489" s="89">
        <v>37800</v>
      </c>
      <c r="BX1489" s="89">
        <v>43732</v>
      </c>
      <c r="BY1489" s="89">
        <v>-37800</v>
      </c>
      <c r="BZ1489" s="112" t="s">
        <v>338</v>
      </c>
    </row>
    <row r="1490" spans="1:89" x14ac:dyDescent="0.15">
      <c r="A1490" s="84">
        <v>2</v>
      </c>
      <c r="C1490" s="85" t="s">
        <v>338</v>
      </c>
      <c r="F1490" s="85" t="s">
        <v>338</v>
      </c>
      <c r="H1490" s="85" t="s">
        <v>338</v>
      </c>
      <c r="J1490" s="84">
        <v>4</v>
      </c>
      <c r="L1490" s="84">
        <v>0</v>
      </c>
      <c r="M1490" s="85">
        <v>43732</v>
      </c>
      <c r="N1490" s="85" t="s">
        <v>265</v>
      </c>
      <c r="O1490" s="86" t="s">
        <v>340</v>
      </c>
      <c r="P1490" s="84" t="s">
        <v>272</v>
      </c>
      <c r="Q1490" s="86" t="s">
        <v>46</v>
      </c>
      <c r="R1490" s="86" t="s">
        <v>3781</v>
      </c>
      <c r="S1490" s="87" t="s">
        <v>1009</v>
      </c>
      <c r="T1490" s="87" t="s">
        <v>3778</v>
      </c>
      <c r="U1490" s="88">
        <v>0</v>
      </c>
      <c r="V1490" s="88">
        <v>0</v>
      </c>
      <c r="W1490" s="88">
        <v>0</v>
      </c>
      <c r="X1490" s="88">
        <v>0</v>
      </c>
      <c r="Y1490" s="88">
        <v>0</v>
      </c>
      <c r="Z1490" s="88">
        <v>0</v>
      </c>
      <c r="AA1490" s="85">
        <v>43684</v>
      </c>
      <c r="AB1490" s="85">
        <v>43684</v>
      </c>
      <c r="AD1490" s="84">
        <v>0</v>
      </c>
      <c r="AG1490" s="84">
        <v>0</v>
      </c>
      <c r="AJ1490" s="84">
        <v>0</v>
      </c>
      <c r="AN1490" s="84" t="s">
        <v>338</v>
      </c>
      <c r="AY1490" s="132">
        <v>0</v>
      </c>
      <c r="AZ1490" s="132">
        <f>ROUNDDOWN(AY1490+(AY1490*MASTER!$A$2/100),0)</f>
        <v>0</v>
      </c>
      <c r="BA1490" s="84" t="s">
        <v>400</v>
      </c>
      <c r="BB1490" s="88">
        <v>40000</v>
      </c>
      <c r="BC1490" s="88">
        <v>43200</v>
      </c>
      <c r="BD1490" s="84" t="s">
        <v>3431</v>
      </c>
      <c r="BG1490" s="88">
        <v>0</v>
      </c>
      <c r="BK1490" s="88">
        <v>0</v>
      </c>
      <c r="BS1490" s="88">
        <v>0</v>
      </c>
      <c r="BV1490" s="89">
        <v>0</v>
      </c>
      <c r="BW1490" s="89">
        <v>43200</v>
      </c>
      <c r="BX1490" s="89">
        <v>43732</v>
      </c>
      <c r="BY1490" s="89">
        <v>-43200</v>
      </c>
      <c r="BZ1490" s="112" t="s">
        <v>338</v>
      </c>
    </row>
    <row r="1491" spans="1:89" x14ac:dyDescent="0.15">
      <c r="A1491" s="84">
        <v>2</v>
      </c>
      <c r="C1491" s="85" t="s">
        <v>338</v>
      </c>
      <c r="F1491" s="85" t="s">
        <v>338</v>
      </c>
      <c r="H1491" s="85" t="s">
        <v>338</v>
      </c>
      <c r="J1491" s="84">
        <v>4</v>
      </c>
      <c r="L1491" s="84">
        <v>0</v>
      </c>
      <c r="M1491" s="85">
        <v>43732</v>
      </c>
      <c r="N1491" s="85" t="s">
        <v>265</v>
      </c>
      <c r="O1491" s="86" t="s">
        <v>340</v>
      </c>
      <c r="P1491" s="84" t="s">
        <v>272</v>
      </c>
      <c r="Q1491" s="86" t="s">
        <v>46</v>
      </c>
      <c r="R1491" s="86" t="s">
        <v>3901</v>
      </c>
      <c r="S1491" s="87" t="s">
        <v>3398</v>
      </c>
      <c r="T1491" s="87" t="s">
        <v>3778</v>
      </c>
      <c r="U1491" s="88">
        <v>0</v>
      </c>
      <c r="V1491" s="88">
        <v>0</v>
      </c>
      <c r="W1491" s="88">
        <v>0</v>
      </c>
      <c r="X1491" s="88">
        <v>0</v>
      </c>
      <c r="Y1491" s="88">
        <v>0</v>
      </c>
      <c r="Z1491" s="88">
        <v>0</v>
      </c>
      <c r="AA1491" s="85">
        <v>43690</v>
      </c>
      <c r="AB1491" s="85">
        <v>43690</v>
      </c>
      <c r="AD1491" s="84">
        <v>0</v>
      </c>
      <c r="AG1491" s="84">
        <v>0</v>
      </c>
      <c r="AJ1491" s="84">
        <v>0</v>
      </c>
      <c r="AN1491" s="84" t="s">
        <v>338</v>
      </c>
      <c r="AY1491" s="132">
        <v>0</v>
      </c>
      <c r="AZ1491" s="132">
        <f>ROUNDDOWN(AY1491+(AY1491*MASTER!$A$2/100),0)</f>
        <v>0</v>
      </c>
      <c r="BA1491" s="84" t="s">
        <v>400</v>
      </c>
      <c r="BB1491" s="88">
        <v>28000</v>
      </c>
      <c r="BC1491" s="88">
        <v>30240</v>
      </c>
      <c r="BD1491" s="84" t="s">
        <v>3431</v>
      </c>
      <c r="BG1491" s="88">
        <v>0</v>
      </c>
      <c r="BK1491" s="88">
        <v>0</v>
      </c>
      <c r="BS1491" s="88">
        <v>0</v>
      </c>
      <c r="BV1491" s="89">
        <v>0</v>
      </c>
      <c r="BW1491" s="89">
        <v>30240</v>
      </c>
      <c r="BX1491" s="89">
        <v>43732</v>
      </c>
      <c r="BY1491" s="89">
        <v>-30240</v>
      </c>
      <c r="BZ1491" s="112" t="s">
        <v>338</v>
      </c>
    </row>
    <row r="1492" spans="1:89" x14ac:dyDescent="0.15">
      <c r="A1492" s="84">
        <v>2</v>
      </c>
      <c r="C1492" s="85" t="s">
        <v>338</v>
      </c>
      <c r="F1492" s="85" t="s">
        <v>338</v>
      </c>
      <c r="H1492" s="85" t="s">
        <v>338</v>
      </c>
      <c r="J1492" s="84">
        <v>4</v>
      </c>
      <c r="L1492" s="84">
        <v>0</v>
      </c>
      <c r="M1492" s="85">
        <v>43732</v>
      </c>
      <c r="N1492" s="85" t="s">
        <v>265</v>
      </c>
      <c r="O1492" s="86" t="s">
        <v>340</v>
      </c>
      <c r="P1492" s="84" t="s">
        <v>272</v>
      </c>
      <c r="Q1492" s="86" t="s">
        <v>46</v>
      </c>
      <c r="R1492" s="86" t="s">
        <v>3902</v>
      </c>
      <c r="S1492" s="87" t="s">
        <v>3406</v>
      </c>
      <c r="T1492" s="87" t="s">
        <v>3778</v>
      </c>
      <c r="U1492" s="88">
        <v>0</v>
      </c>
      <c r="V1492" s="88">
        <v>0</v>
      </c>
      <c r="W1492" s="88">
        <v>0</v>
      </c>
      <c r="X1492" s="88">
        <v>0</v>
      </c>
      <c r="Y1492" s="88">
        <v>0</v>
      </c>
      <c r="Z1492" s="88">
        <v>0</v>
      </c>
      <c r="AA1492" s="85">
        <v>43699</v>
      </c>
      <c r="AB1492" s="85">
        <v>43699</v>
      </c>
      <c r="AD1492" s="84">
        <v>0</v>
      </c>
      <c r="AG1492" s="84">
        <v>0</v>
      </c>
      <c r="AJ1492" s="84">
        <v>0</v>
      </c>
      <c r="AN1492" s="84" t="s">
        <v>338</v>
      </c>
      <c r="AY1492" s="132">
        <v>0</v>
      </c>
      <c r="AZ1492" s="132">
        <f>ROUNDDOWN(AY1492+(AY1492*MASTER!$A$2/100),0)</f>
        <v>0</v>
      </c>
      <c r="BA1492" s="84" t="s">
        <v>400</v>
      </c>
      <c r="BB1492" s="88">
        <v>42000</v>
      </c>
      <c r="BC1492" s="88">
        <v>45360</v>
      </c>
      <c r="BD1492" s="84" t="s">
        <v>3431</v>
      </c>
      <c r="BG1492" s="88">
        <v>0</v>
      </c>
      <c r="BK1492" s="88">
        <v>0</v>
      </c>
      <c r="BS1492" s="88">
        <v>0</v>
      </c>
      <c r="BV1492" s="89">
        <v>0</v>
      </c>
      <c r="BW1492" s="89">
        <v>45360</v>
      </c>
      <c r="BX1492" s="89">
        <v>43732</v>
      </c>
      <c r="BY1492" s="89">
        <v>-45360</v>
      </c>
      <c r="BZ1492" s="112" t="s">
        <v>338</v>
      </c>
    </row>
    <row r="1493" spans="1:89" x14ac:dyDescent="0.15">
      <c r="A1493" s="84">
        <v>2</v>
      </c>
      <c r="C1493" s="85" t="s">
        <v>338</v>
      </c>
      <c r="F1493" s="85" t="s">
        <v>338</v>
      </c>
      <c r="H1493" s="85" t="s">
        <v>338</v>
      </c>
      <c r="J1493" s="84">
        <v>4</v>
      </c>
      <c r="L1493" s="84">
        <v>0</v>
      </c>
      <c r="M1493" s="85">
        <v>43732</v>
      </c>
      <c r="N1493" s="85" t="s">
        <v>265</v>
      </c>
      <c r="O1493" s="86" t="s">
        <v>340</v>
      </c>
      <c r="P1493" s="84" t="s">
        <v>272</v>
      </c>
      <c r="Q1493" s="86" t="s">
        <v>46</v>
      </c>
      <c r="R1493" s="86" t="s">
        <v>3903</v>
      </c>
      <c r="S1493" s="87" t="s">
        <v>635</v>
      </c>
      <c r="T1493" s="87" t="s">
        <v>3778</v>
      </c>
      <c r="U1493" s="88">
        <v>0</v>
      </c>
      <c r="V1493" s="88">
        <v>0</v>
      </c>
      <c r="W1493" s="88">
        <v>0</v>
      </c>
      <c r="X1493" s="88">
        <v>0</v>
      </c>
      <c r="Y1493" s="88">
        <v>0</v>
      </c>
      <c r="Z1493" s="88">
        <v>0</v>
      </c>
      <c r="AA1493" s="85">
        <v>43703</v>
      </c>
      <c r="AB1493" s="85">
        <v>43703</v>
      </c>
      <c r="AD1493" s="84">
        <v>0</v>
      </c>
      <c r="AG1493" s="84">
        <v>0</v>
      </c>
      <c r="AJ1493" s="84">
        <v>0</v>
      </c>
      <c r="AN1493" s="84" t="s">
        <v>338</v>
      </c>
      <c r="AY1493" s="132">
        <v>0</v>
      </c>
      <c r="AZ1493" s="132">
        <f>ROUNDDOWN(AY1493+(AY1493*MASTER!$A$2/100),0)</f>
        <v>0</v>
      </c>
      <c r="BA1493" s="84" t="s">
        <v>400</v>
      </c>
      <c r="BB1493" s="88">
        <v>25000</v>
      </c>
      <c r="BC1493" s="88">
        <v>27000</v>
      </c>
      <c r="BD1493" s="84" t="s">
        <v>3431</v>
      </c>
      <c r="BG1493" s="88">
        <v>0</v>
      </c>
      <c r="BK1493" s="88">
        <v>0</v>
      </c>
      <c r="BS1493" s="88">
        <v>0</v>
      </c>
      <c r="BV1493" s="89">
        <v>0</v>
      </c>
      <c r="BW1493" s="89">
        <v>27000</v>
      </c>
      <c r="BX1493" s="89">
        <v>43732</v>
      </c>
      <c r="BY1493" s="89">
        <v>-27000</v>
      </c>
      <c r="BZ1493" s="112" t="s">
        <v>338</v>
      </c>
    </row>
    <row r="1494" spans="1:89" x14ac:dyDescent="0.15">
      <c r="A1494" s="84">
        <v>2</v>
      </c>
      <c r="B1494" s="85">
        <v>43795</v>
      </c>
      <c r="C1494" s="85">
        <v>43805</v>
      </c>
      <c r="D1494" s="85">
        <v>43839</v>
      </c>
      <c r="E1494" s="85">
        <v>43809</v>
      </c>
      <c r="F1494" s="85">
        <v>43812</v>
      </c>
      <c r="G1494" s="85">
        <v>43808</v>
      </c>
      <c r="H1494" s="85">
        <v>43808</v>
      </c>
      <c r="I1494" s="84" t="s">
        <v>401</v>
      </c>
      <c r="J1494" s="84">
        <v>1</v>
      </c>
      <c r="L1494" s="84">
        <v>0</v>
      </c>
      <c r="M1494" s="85">
        <v>43733</v>
      </c>
      <c r="N1494" s="85" t="s">
        <v>265</v>
      </c>
      <c r="O1494" s="86" t="s">
        <v>340</v>
      </c>
      <c r="P1494" s="84" t="s">
        <v>26</v>
      </c>
      <c r="Q1494" s="86" t="s">
        <v>46</v>
      </c>
      <c r="R1494" s="86" t="s">
        <v>3947</v>
      </c>
      <c r="S1494" s="87" t="s">
        <v>3948</v>
      </c>
      <c r="T1494" s="87" t="s">
        <v>3949</v>
      </c>
      <c r="U1494" s="88">
        <v>1004960</v>
      </c>
      <c r="V1494" s="88">
        <v>1085356.8</v>
      </c>
      <c r="W1494" s="88">
        <v>906260</v>
      </c>
      <c r="X1494" s="88">
        <v>978760.8</v>
      </c>
      <c r="Y1494" s="88">
        <v>98700</v>
      </c>
      <c r="Z1494" s="88">
        <v>106596</v>
      </c>
      <c r="AA1494" s="85">
        <v>43801</v>
      </c>
      <c r="AB1494" s="85">
        <v>43805</v>
      </c>
      <c r="AC1494" s="85">
        <v>43805</v>
      </c>
      <c r="AD1494" s="84">
        <v>0</v>
      </c>
      <c r="AG1494" s="84">
        <v>0</v>
      </c>
      <c r="AJ1494" s="84">
        <v>0</v>
      </c>
      <c r="AM1494" s="84" t="s">
        <v>290</v>
      </c>
      <c r="AN1494" s="84" t="s">
        <v>3950</v>
      </c>
      <c r="AR1494" s="85">
        <v>43790</v>
      </c>
      <c r="AS1494" s="84">
        <v>6001733107</v>
      </c>
      <c r="AT1494" s="85">
        <v>43790</v>
      </c>
      <c r="AU1494" s="84" t="s">
        <v>3946</v>
      </c>
      <c r="AV1494" s="85">
        <v>43805</v>
      </c>
      <c r="AW1494" s="123">
        <v>43830</v>
      </c>
      <c r="AX1494" s="123">
        <v>43850</v>
      </c>
      <c r="AY1494" s="132">
        <v>964761</v>
      </c>
      <c r="AZ1494" s="132">
        <f>ROUNDDOWN(AY1494+(AY1494*[1]MASTER!$A$2/100),0)</f>
        <v>1061237</v>
      </c>
      <c r="BA1494" s="84" t="s">
        <v>477</v>
      </c>
      <c r="BB1494" s="88">
        <v>427000</v>
      </c>
      <c r="BC1494" s="88">
        <f>ROUNDDOWN(BB1494+(BB1494*0.1),0)</f>
        <v>469700</v>
      </c>
      <c r="BD1494" s="84" t="s">
        <v>190</v>
      </c>
      <c r="BG1494" s="88">
        <v>0</v>
      </c>
      <c r="BI1494" s="84" t="s">
        <v>434</v>
      </c>
      <c r="BJ1494" s="88">
        <v>64155</v>
      </c>
      <c r="BK1494" s="88">
        <v>69287.399999999994</v>
      </c>
      <c r="BL1494" s="84" t="s">
        <v>190</v>
      </c>
      <c r="BS1494" s="88">
        <v>0</v>
      </c>
      <c r="BV1494" s="89">
        <v>978760.8</v>
      </c>
      <c r="BW1494" s="89">
        <v>530447.4</v>
      </c>
      <c r="BX1494" s="89">
        <v>43733</v>
      </c>
      <c r="BY1494" s="89">
        <v>448313.4</v>
      </c>
      <c r="BZ1494" s="112">
        <v>45.804184229691259</v>
      </c>
      <c r="CC1494" s="84">
        <v>2019</v>
      </c>
      <c r="CK1494" s="88">
        <v>0</v>
      </c>
    </row>
    <row r="1495" spans="1:89" s="151" customFormat="1" x14ac:dyDescent="0.15">
      <c r="A1495" s="141">
        <v>3</v>
      </c>
      <c r="B1495" s="142"/>
      <c r="C1495" s="142" t="s">
        <v>338</v>
      </c>
      <c r="D1495" s="142"/>
      <c r="E1495" s="142"/>
      <c r="F1495" s="142" t="s">
        <v>338</v>
      </c>
      <c r="G1495" s="142"/>
      <c r="H1495" s="142" t="s">
        <v>338</v>
      </c>
      <c r="I1495" s="141"/>
      <c r="J1495" s="141">
        <v>4</v>
      </c>
      <c r="K1495" s="142"/>
      <c r="L1495" s="141" t="s">
        <v>3803</v>
      </c>
      <c r="M1495" s="142">
        <v>43733</v>
      </c>
      <c r="N1495" s="142" t="s">
        <v>3804</v>
      </c>
      <c r="O1495" s="143" t="s">
        <v>3798</v>
      </c>
      <c r="P1495" s="141" t="s">
        <v>3799</v>
      </c>
      <c r="Q1495" s="143" t="s">
        <v>3800</v>
      </c>
      <c r="R1495" s="143" t="s">
        <v>3801</v>
      </c>
      <c r="S1495" s="144" t="s">
        <v>3802</v>
      </c>
      <c r="T1495" s="144" t="s">
        <v>3806</v>
      </c>
      <c r="U1495" s="145">
        <v>480000</v>
      </c>
      <c r="V1495" s="145">
        <v>518400</v>
      </c>
      <c r="W1495" s="145">
        <v>0</v>
      </c>
      <c r="X1495" s="145">
        <v>0</v>
      </c>
      <c r="Y1495" s="145"/>
      <c r="Z1495" s="145">
        <v>0</v>
      </c>
      <c r="AA1495" s="142"/>
      <c r="AB1495" s="142"/>
      <c r="AC1495" s="142"/>
      <c r="AD1495" s="141">
        <v>0</v>
      </c>
      <c r="AE1495" s="141"/>
      <c r="AF1495" s="141"/>
      <c r="AG1495" s="141">
        <v>0</v>
      </c>
      <c r="AH1495" s="141"/>
      <c r="AI1495" s="141"/>
      <c r="AJ1495" s="141">
        <v>0</v>
      </c>
      <c r="AK1495" s="141"/>
      <c r="AL1495" s="141"/>
      <c r="AM1495" s="141"/>
      <c r="AN1495" s="141"/>
      <c r="AO1495" s="142"/>
      <c r="AP1495" s="141"/>
      <c r="AQ1495" s="141"/>
      <c r="AR1495" s="142"/>
      <c r="AS1495" s="141"/>
      <c r="AT1495" s="142"/>
      <c r="AU1495" s="141"/>
      <c r="AV1495" s="142"/>
      <c r="AW1495" s="146"/>
      <c r="AX1495" s="146"/>
      <c r="AY1495" s="147">
        <v>480000</v>
      </c>
      <c r="AZ1495" s="147">
        <f>ROUNDDOWN(AY1495+(AY1495*MASTER!$A$2/100),0)</f>
        <v>518400</v>
      </c>
      <c r="BA1495" s="141"/>
      <c r="BB1495" s="145"/>
      <c r="BC1495" s="145">
        <v>0</v>
      </c>
      <c r="BD1495" s="141"/>
      <c r="BE1495" s="141"/>
      <c r="BF1495" s="145"/>
      <c r="BG1495" s="145">
        <v>0</v>
      </c>
      <c r="BH1495" s="141"/>
      <c r="BI1495" s="141"/>
      <c r="BJ1495" s="145"/>
      <c r="BK1495" s="145">
        <v>0</v>
      </c>
      <c r="BL1495" s="141"/>
      <c r="BM1495" s="145"/>
      <c r="BN1495" s="145"/>
      <c r="BO1495" s="145"/>
      <c r="BP1495" s="145"/>
      <c r="BQ1495" s="145"/>
      <c r="BR1495" s="145"/>
      <c r="BS1495" s="145">
        <v>0</v>
      </c>
      <c r="BT1495" s="148"/>
      <c r="BU1495" s="148"/>
      <c r="BV1495" s="149">
        <v>0</v>
      </c>
      <c r="BW1495" s="149">
        <v>0</v>
      </c>
      <c r="BX1495" s="149">
        <v>43733</v>
      </c>
      <c r="BY1495" s="149">
        <v>0</v>
      </c>
      <c r="BZ1495" s="150" t="s">
        <v>338</v>
      </c>
      <c r="CA1495" s="141"/>
      <c r="CB1495" s="141"/>
      <c r="CC1495" s="141"/>
      <c r="CD1495" s="144"/>
      <c r="CE1495" s="142"/>
      <c r="CF1495" s="142"/>
      <c r="CG1495" s="142"/>
      <c r="CH1495" s="142"/>
      <c r="CI1495" s="142"/>
      <c r="CJ1495" s="142"/>
      <c r="CK1495" s="145"/>
    </row>
    <row r="1496" spans="1:89" x14ac:dyDescent="0.15">
      <c r="A1496" s="84">
        <v>1</v>
      </c>
      <c r="C1496" s="85">
        <v>43784</v>
      </c>
      <c r="F1496" s="85" t="s">
        <v>338</v>
      </c>
      <c r="H1496" s="85" t="s">
        <v>338</v>
      </c>
      <c r="J1496" s="84">
        <v>2</v>
      </c>
      <c r="L1496" s="84" t="s">
        <v>584</v>
      </c>
      <c r="M1496" s="85">
        <v>43733</v>
      </c>
      <c r="N1496" s="85" t="s">
        <v>264</v>
      </c>
      <c r="O1496" s="86" t="s">
        <v>340</v>
      </c>
      <c r="P1496" s="84" t="s">
        <v>26</v>
      </c>
      <c r="Q1496" s="86" t="s">
        <v>46</v>
      </c>
      <c r="R1496" s="86" t="s">
        <v>3805</v>
      </c>
      <c r="S1496" s="87" t="s">
        <v>387</v>
      </c>
      <c r="T1496" s="87" t="s">
        <v>3797</v>
      </c>
      <c r="U1496" s="88">
        <v>480000</v>
      </c>
      <c r="V1496" s="88">
        <v>518400</v>
      </c>
      <c r="W1496" s="88">
        <v>480000</v>
      </c>
      <c r="X1496" s="88">
        <v>518400</v>
      </c>
      <c r="Z1496" s="88">
        <v>0</v>
      </c>
      <c r="AD1496" s="84">
        <v>0</v>
      </c>
      <c r="AG1496" s="84">
        <v>0</v>
      </c>
      <c r="AJ1496" s="84">
        <v>0</v>
      </c>
      <c r="AR1496" s="85">
        <v>43767</v>
      </c>
      <c r="AS1496" s="84">
        <v>6001725265</v>
      </c>
      <c r="AT1496" s="85">
        <v>43768</v>
      </c>
      <c r="AU1496" s="84" t="s">
        <v>3929</v>
      </c>
      <c r="AV1496" s="85">
        <v>43784</v>
      </c>
      <c r="AW1496" s="123">
        <v>43799</v>
      </c>
      <c r="AX1496" s="123">
        <v>43819</v>
      </c>
      <c r="AY1496" s="140">
        <v>480000</v>
      </c>
      <c r="AZ1496" s="132">
        <f>ROUNDDOWN(AY1496+(AY1496*[1]MASTER!$A$2/100),0)</f>
        <v>528000</v>
      </c>
      <c r="BC1496" s="88">
        <v>0</v>
      </c>
      <c r="BG1496" s="88">
        <v>0</v>
      </c>
      <c r="BK1496" s="88">
        <v>0</v>
      </c>
      <c r="BS1496" s="88">
        <v>0</v>
      </c>
      <c r="BV1496" s="89">
        <v>518400</v>
      </c>
      <c r="BW1496" s="89">
        <v>0</v>
      </c>
      <c r="BX1496" s="89">
        <v>43733</v>
      </c>
      <c r="BY1496" s="89">
        <v>518400</v>
      </c>
      <c r="BZ1496" s="112">
        <v>100</v>
      </c>
      <c r="CC1496" s="84">
        <v>2019</v>
      </c>
      <c r="CD1496" s="87" t="s">
        <v>3953</v>
      </c>
    </row>
    <row r="1497" spans="1:89" x14ac:dyDescent="0.15">
      <c r="A1497" s="84">
        <v>2</v>
      </c>
      <c r="B1497" s="85">
        <v>43770</v>
      </c>
      <c r="C1497" s="85">
        <v>43776</v>
      </c>
      <c r="E1497" s="85">
        <v>43777</v>
      </c>
      <c r="F1497" s="85">
        <v>43783</v>
      </c>
      <c r="H1497" s="85">
        <v>43779</v>
      </c>
      <c r="I1497" s="84" t="s">
        <v>401</v>
      </c>
      <c r="J1497" s="84">
        <v>2</v>
      </c>
      <c r="L1497" s="84">
        <v>0</v>
      </c>
      <c r="M1497" s="85">
        <v>43734</v>
      </c>
      <c r="N1497" s="85" t="s">
        <v>265</v>
      </c>
      <c r="O1497" s="86" t="s">
        <v>340</v>
      </c>
      <c r="P1497" s="84" t="s">
        <v>26</v>
      </c>
      <c r="Q1497" s="86" t="s">
        <v>46</v>
      </c>
      <c r="R1497" s="86" t="s">
        <v>3926</v>
      </c>
      <c r="S1497" s="87" t="s">
        <v>1876</v>
      </c>
      <c r="T1497" s="87" t="s">
        <v>2952</v>
      </c>
      <c r="U1497" s="88">
        <v>49500</v>
      </c>
      <c r="V1497" s="88">
        <v>53460</v>
      </c>
      <c r="W1497" s="88">
        <v>49500</v>
      </c>
      <c r="X1497" s="88">
        <v>53460</v>
      </c>
      <c r="Z1497" s="88">
        <v>0</v>
      </c>
      <c r="AA1497" s="85">
        <v>43775</v>
      </c>
      <c r="AB1497" s="85">
        <v>43776</v>
      </c>
      <c r="AC1497" s="85">
        <v>43776</v>
      </c>
      <c r="AD1497" s="84">
        <v>0</v>
      </c>
      <c r="AG1497" s="84">
        <v>0</v>
      </c>
      <c r="AJ1497" s="84">
        <v>0</v>
      </c>
      <c r="AN1497" s="84" t="s">
        <v>338</v>
      </c>
      <c r="AR1497" s="85">
        <v>43740</v>
      </c>
      <c r="AS1497" s="84">
        <v>6001716906</v>
      </c>
      <c r="AT1497" s="85">
        <v>43740</v>
      </c>
      <c r="AU1497" s="84" t="s">
        <v>3869</v>
      </c>
      <c r="AV1497" s="85">
        <v>43776</v>
      </c>
      <c r="AW1497" s="123">
        <v>43799</v>
      </c>
      <c r="AX1497" s="123">
        <v>43819</v>
      </c>
      <c r="AY1497" s="132">
        <v>47520</v>
      </c>
      <c r="AZ1497" s="132">
        <f>ROUNDDOWN(AY1497+(AY1497*[1]MASTER!$A$2/100),0)</f>
        <v>52272</v>
      </c>
      <c r="BA1497" s="84" t="s">
        <v>543</v>
      </c>
      <c r="BB1497" s="88">
        <v>26000</v>
      </c>
      <c r="BC1497" s="88">
        <f>ROUNDDOWN(BB1497+(BB1497*0.1),0)</f>
        <v>28600</v>
      </c>
      <c r="BD1497" s="84" t="s">
        <v>189</v>
      </c>
      <c r="BG1497" s="88">
        <v>0</v>
      </c>
      <c r="BK1497" s="88">
        <v>0</v>
      </c>
      <c r="BS1497" s="88">
        <v>0</v>
      </c>
      <c r="BV1497" s="89">
        <v>53460</v>
      </c>
      <c r="BW1497" s="89">
        <v>28080</v>
      </c>
      <c r="BX1497" s="89">
        <v>43734</v>
      </c>
      <c r="BY1497" s="89">
        <v>25380</v>
      </c>
      <c r="BZ1497" s="112">
        <v>47.474747474747474</v>
      </c>
      <c r="CC1497" s="84">
        <v>2019</v>
      </c>
      <c r="CD1497" s="87" t="s">
        <v>3928</v>
      </c>
      <c r="CK1497" s="88">
        <v>0</v>
      </c>
    </row>
    <row r="1498" spans="1:89" s="151" customFormat="1" x14ac:dyDescent="0.15">
      <c r="A1498" s="141">
        <v>3</v>
      </c>
      <c r="B1498" s="142"/>
      <c r="C1498" s="142" t="s">
        <v>338</v>
      </c>
      <c r="D1498" s="142"/>
      <c r="E1498" s="142"/>
      <c r="F1498" s="142" t="s">
        <v>338</v>
      </c>
      <c r="G1498" s="142"/>
      <c r="H1498" s="142" t="s">
        <v>338</v>
      </c>
      <c r="I1498" s="141"/>
      <c r="J1498" s="141">
        <v>1</v>
      </c>
      <c r="K1498" s="142"/>
      <c r="L1498" s="141">
        <v>0</v>
      </c>
      <c r="M1498" s="142">
        <v>43734</v>
      </c>
      <c r="N1498" s="142" t="s">
        <v>265</v>
      </c>
      <c r="O1498" s="143" t="s">
        <v>340</v>
      </c>
      <c r="P1498" s="141" t="s">
        <v>26</v>
      </c>
      <c r="Q1498" s="143" t="s">
        <v>46</v>
      </c>
      <c r="R1498" s="143" t="s">
        <v>3951</v>
      </c>
      <c r="S1498" s="144" t="s">
        <v>1717</v>
      </c>
      <c r="T1498" s="144" t="s">
        <v>2800</v>
      </c>
      <c r="U1498" s="145">
        <v>59000</v>
      </c>
      <c r="V1498" s="145">
        <v>63720</v>
      </c>
      <c r="W1498" s="145">
        <v>47000</v>
      </c>
      <c r="X1498" s="145">
        <v>50760</v>
      </c>
      <c r="Y1498" s="145">
        <v>12000</v>
      </c>
      <c r="Z1498" s="145">
        <v>12960</v>
      </c>
      <c r="AA1498" s="142"/>
      <c r="AB1498" s="142"/>
      <c r="AC1498" s="142"/>
      <c r="AD1498" s="141">
        <v>0</v>
      </c>
      <c r="AE1498" s="141"/>
      <c r="AF1498" s="141"/>
      <c r="AG1498" s="141">
        <v>0</v>
      </c>
      <c r="AH1498" s="141"/>
      <c r="AI1498" s="141"/>
      <c r="AJ1498" s="141">
        <v>0</v>
      </c>
      <c r="AK1498" s="141"/>
      <c r="AL1498" s="141"/>
      <c r="AM1498" s="141" t="s">
        <v>290</v>
      </c>
      <c r="AN1498" s="141" t="s">
        <v>3952</v>
      </c>
      <c r="AO1498" s="142"/>
      <c r="AP1498" s="141"/>
      <c r="AQ1498" s="141"/>
      <c r="AR1498" s="142"/>
      <c r="AS1498" s="141"/>
      <c r="AT1498" s="142"/>
      <c r="AU1498" s="141"/>
      <c r="AV1498" s="142"/>
      <c r="AW1498" s="146"/>
      <c r="AX1498" s="146"/>
      <c r="AY1498" s="147">
        <v>56640</v>
      </c>
      <c r="AZ1498" s="147">
        <f>ROUNDDOWN(AY1498+(AY1498*MASTER!$A$2/100),0)</f>
        <v>61171</v>
      </c>
      <c r="BA1498" s="141"/>
      <c r="BB1498" s="145"/>
      <c r="BC1498" s="145">
        <v>0</v>
      </c>
      <c r="BD1498" s="141"/>
      <c r="BE1498" s="141"/>
      <c r="BF1498" s="145"/>
      <c r="BG1498" s="145">
        <v>0</v>
      </c>
      <c r="BH1498" s="141"/>
      <c r="BI1498" s="141"/>
      <c r="BJ1498" s="145"/>
      <c r="BK1498" s="145">
        <v>0</v>
      </c>
      <c r="BL1498" s="141"/>
      <c r="BM1498" s="145"/>
      <c r="BN1498" s="145"/>
      <c r="BO1498" s="145"/>
      <c r="BP1498" s="145"/>
      <c r="BQ1498" s="145"/>
      <c r="BR1498" s="145"/>
      <c r="BS1498" s="145">
        <v>0</v>
      </c>
      <c r="BT1498" s="148"/>
      <c r="BU1498" s="148"/>
      <c r="BV1498" s="149">
        <v>50760</v>
      </c>
      <c r="BW1498" s="149">
        <v>0</v>
      </c>
      <c r="BX1498" s="149">
        <v>43734</v>
      </c>
      <c r="BY1498" s="149">
        <v>50760</v>
      </c>
      <c r="BZ1498" s="150">
        <v>100</v>
      </c>
      <c r="CA1498" s="141"/>
      <c r="CB1498" s="141"/>
      <c r="CC1498" s="141"/>
      <c r="CD1498" s="144" t="s">
        <v>1585</v>
      </c>
      <c r="CE1498" s="142"/>
      <c r="CF1498" s="142"/>
      <c r="CG1498" s="142"/>
      <c r="CH1498" s="142"/>
      <c r="CI1498" s="142"/>
      <c r="CJ1498" s="142"/>
      <c r="CK1498" s="145">
        <v>0</v>
      </c>
    </row>
    <row r="1499" spans="1:89" x14ac:dyDescent="0.15">
      <c r="A1499" s="84">
        <v>2</v>
      </c>
      <c r="B1499" s="85">
        <v>43747</v>
      </c>
      <c r="C1499" s="85">
        <v>43750</v>
      </c>
      <c r="D1499" s="85" t="s">
        <v>374</v>
      </c>
      <c r="E1499" s="85">
        <v>43754</v>
      </c>
      <c r="F1499" s="85">
        <v>43757</v>
      </c>
      <c r="G1499" s="85">
        <v>43753</v>
      </c>
      <c r="H1499" s="85">
        <v>43753</v>
      </c>
      <c r="I1499" s="84" t="s">
        <v>1191</v>
      </c>
      <c r="J1499" s="84">
        <v>1</v>
      </c>
      <c r="L1499" s="84">
        <v>0</v>
      </c>
      <c r="M1499" s="85">
        <v>43734</v>
      </c>
      <c r="N1499" s="85" t="s">
        <v>265</v>
      </c>
      <c r="O1499" s="86" t="s">
        <v>340</v>
      </c>
      <c r="P1499" s="84" t="s">
        <v>26</v>
      </c>
      <c r="Q1499" s="86" t="s">
        <v>46</v>
      </c>
      <c r="R1499" s="86" t="s">
        <v>3815</v>
      </c>
      <c r="S1499" s="87" t="s">
        <v>1979</v>
      </c>
      <c r="T1499" s="87" t="s">
        <v>3816</v>
      </c>
      <c r="U1499" s="88">
        <v>23900</v>
      </c>
      <c r="V1499" s="88">
        <v>25812</v>
      </c>
      <c r="W1499" s="88">
        <v>14700</v>
      </c>
      <c r="X1499" s="88">
        <v>15876</v>
      </c>
      <c r="Y1499" s="88">
        <v>9200</v>
      </c>
      <c r="Z1499" s="88">
        <v>9936</v>
      </c>
      <c r="AA1499" s="85">
        <v>43748</v>
      </c>
      <c r="AB1499" s="85">
        <v>43750</v>
      </c>
      <c r="AC1499" s="85">
        <v>43750</v>
      </c>
      <c r="AD1499" s="84">
        <v>0</v>
      </c>
      <c r="AG1499" s="84">
        <v>0</v>
      </c>
      <c r="AJ1499" s="84">
        <v>0</v>
      </c>
      <c r="AM1499" s="84" t="s">
        <v>290</v>
      </c>
      <c r="AN1499" s="84" t="s">
        <v>3817</v>
      </c>
      <c r="AR1499" s="85">
        <v>43745</v>
      </c>
      <c r="AS1499" s="84">
        <v>6001718895</v>
      </c>
      <c r="AT1499" s="85">
        <v>43746</v>
      </c>
      <c r="AU1499" s="84" t="s">
        <v>3895</v>
      </c>
      <c r="AV1499" s="85">
        <v>43750</v>
      </c>
      <c r="AW1499" s="123">
        <v>43769</v>
      </c>
      <c r="AX1499" s="123">
        <v>43789</v>
      </c>
      <c r="AY1499" s="132">
        <v>22944</v>
      </c>
      <c r="AZ1499" s="132">
        <f>ROUNDDOWN(AY1499+(AY1499*0.1),0)</f>
        <v>25238</v>
      </c>
      <c r="BA1499" s="84" t="s">
        <v>778</v>
      </c>
      <c r="BC1499" s="88">
        <v>0</v>
      </c>
      <c r="BG1499" s="88">
        <v>0</v>
      </c>
      <c r="BI1499" s="84" t="s">
        <v>276</v>
      </c>
      <c r="BJ1499" s="88">
        <v>5980</v>
      </c>
      <c r="BK1499" s="88">
        <f>ROUNDDOWN(BJ1499+(BJ1499*0.1),0)</f>
        <v>6578</v>
      </c>
      <c r="BL1499" s="84" t="s">
        <v>430</v>
      </c>
      <c r="BS1499" s="88">
        <v>0</v>
      </c>
      <c r="BV1499" s="89">
        <v>15876</v>
      </c>
      <c r="BW1499" s="89">
        <v>6458.4</v>
      </c>
      <c r="BX1499" s="89">
        <v>43734</v>
      </c>
      <c r="BY1499" s="89">
        <v>9417.6</v>
      </c>
      <c r="BZ1499" s="112">
        <v>59.319727891156461</v>
      </c>
      <c r="CC1499" s="84">
        <v>2019</v>
      </c>
      <c r="CK1499" s="88">
        <v>0</v>
      </c>
    </row>
    <row r="1500" spans="1:89" x14ac:dyDescent="0.15">
      <c r="A1500" s="84">
        <v>2</v>
      </c>
      <c r="B1500" s="85">
        <v>43741</v>
      </c>
      <c r="C1500" s="85">
        <v>43742</v>
      </c>
      <c r="D1500" s="85">
        <v>43734</v>
      </c>
      <c r="E1500" s="85">
        <v>43734</v>
      </c>
      <c r="F1500" s="85" t="s">
        <v>338</v>
      </c>
      <c r="G1500" s="85">
        <v>43734</v>
      </c>
      <c r="H1500" s="85" t="s">
        <v>338</v>
      </c>
      <c r="I1500" s="84" t="s">
        <v>380</v>
      </c>
      <c r="J1500" s="84">
        <v>2</v>
      </c>
      <c r="L1500" s="84">
        <v>0</v>
      </c>
      <c r="M1500" s="85">
        <v>43734</v>
      </c>
      <c r="N1500" s="85" t="s">
        <v>265</v>
      </c>
      <c r="O1500" s="86" t="s">
        <v>340</v>
      </c>
      <c r="P1500" s="84" t="s">
        <v>6</v>
      </c>
      <c r="Q1500" s="86" t="s">
        <v>46</v>
      </c>
      <c r="R1500" s="86" t="s">
        <v>3818</v>
      </c>
      <c r="S1500" s="87" t="s">
        <v>3398</v>
      </c>
      <c r="T1500" s="87" t="s">
        <v>342</v>
      </c>
      <c r="U1500" s="88">
        <v>35000</v>
      </c>
      <c r="V1500" s="88">
        <v>37800</v>
      </c>
      <c r="W1500" s="88">
        <v>35000</v>
      </c>
      <c r="X1500" s="88">
        <v>37800</v>
      </c>
      <c r="Z1500" s="88">
        <v>0</v>
      </c>
      <c r="AA1500" s="85">
        <v>43734</v>
      </c>
      <c r="AB1500" s="85">
        <v>43734</v>
      </c>
      <c r="AD1500" s="84">
        <v>0</v>
      </c>
      <c r="AG1500" s="84">
        <v>0</v>
      </c>
      <c r="AJ1500" s="84">
        <v>0</v>
      </c>
      <c r="AR1500" s="85">
        <v>43740</v>
      </c>
      <c r="AS1500" s="84">
        <v>6001716906</v>
      </c>
      <c r="AT1500" s="85">
        <v>43740</v>
      </c>
      <c r="AU1500" s="84" t="s">
        <v>3869</v>
      </c>
      <c r="AV1500" s="85">
        <v>43742</v>
      </c>
      <c r="AW1500" s="123">
        <v>43769</v>
      </c>
      <c r="AX1500" s="123">
        <v>43789</v>
      </c>
      <c r="AY1500" s="132">
        <v>33600</v>
      </c>
      <c r="AZ1500" s="132">
        <f>ROUNDDOWN(AY1500+(AY1500*0.1),0)</f>
        <v>36960</v>
      </c>
      <c r="BA1500" s="84" t="s">
        <v>400</v>
      </c>
      <c r="BB1500" s="88">
        <v>28000</v>
      </c>
      <c r="BC1500" s="88">
        <v>30240</v>
      </c>
      <c r="BD1500" s="84" t="s">
        <v>3431</v>
      </c>
      <c r="BG1500" s="88">
        <v>0</v>
      </c>
      <c r="BK1500" s="88">
        <v>0</v>
      </c>
      <c r="BS1500" s="88">
        <v>0</v>
      </c>
      <c r="BV1500" s="89">
        <v>37800</v>
      </c>
      <c r="BW1500" s="89">
        <v>30240</v>
      </c>
      <c r="BX1500" s="89">
        <v>43734</v>
      </c>
      <c r="BY1500" s="89">
        <v>7560</v>
      </c>
      <c r="BZ1500" s="112">
        <v>20</v>
      </c>
    </row>
    <row r="1501" spans="1:89" x14ac:dyDescent="0.15">
      <c r="A1501" s="84">
        <v>2</v>
      </c>
      <c r="B1501" s="85">
        <v>43738</v>
      </c>
      <c r="C1501" s="85">
        <v>43738</v>
      </c>
      <c r="D1501" s="85">
        <v>43738</v>
      </c>
      <c r="E1501" s="85">
        <v>43738</v>
      </c>
      <c r="F1501" s="85" t="s">
        <v>338</v>
      </c>
      <c r="G1501" s="85">
        <v>43738</v>
      </c>
      <c r="H1501" s="85" t="s">
        <v>338</v>
      </c>
      <c r="I1501" s="84" t="s">
        <v>380</v>
      </c>
      <c r="J1501" s="84">
        <v>2</v>
      </c>
      <c r="L1501" s="84">
        <v>0</v>
      </c>
      <c r="M1501" s="85">
        <v>43734</v>
      </c>
      <c r="N1501" s="85" t="s">
        <v>265</v>
      </c>
      <c r="O1501" s="86" t="s">
        <v>340</v>
      </c>
      <c r="P1501" s="84" t="s">
        <v>6</v>
      </c>
      <c r="Q1501" s="86" t="s">
        <v>46</v>
      </c>
      <c r="R1501" s="86" t="s">
        <v>3819</v>
      </c>
      <c r="S1501" s="87" t="s">
        <v>1626</v>
      </c>
      <c r="T1501" s="87" t="s">
        <v>342</v>
      </c>
      <c r="U1501" s="88">
        <v>35000</v>
      </c>
      <c r="V1501" s="88">
        <v>37800</v>
      </c>
      <c r="W1501" s="88">
        <v>35000</v>
      </c>
      <c r="X1501" s="88">
        <v>37800</v>
      </c>
      <c r="Z1501" s="88">
        <v>0</v>
      </c>
      <c r="AA1501" s="85">
        <v>43736</v>
      </c>
      <c r="AB1501" s="85">
        <v>43736</v>
      </c>
      <c r="AD1501" s="84">
        <v>0</v>
      </c>
      <c r="AG1501" s="84">
        <v>0</v>
      </c>
      <c r="AJ1501" s="84">
        <v>0</v>
      </c>
      <c r="AN1501" s="84" t="s">
        <v>338</v>
      </c>
      <c r="AR1501" s="85">
        <v>43735</v>
      </c>
      <c r="AS1501" s="84">
        <v>6001716187</v>
      </c>
      <c r="AT1501" s="85">
        <v>43735</v>
      </c>
      <c r="AU1501" s="84" t="s">
        <v>3835</v>
      </c>
      <c r="AV1501" s="85">
        <v>43738</v>
      </c>
      <c r="AW1501" s="123">
        <v>43738</v>
      </c>
      <c r="AX1501" s="123">
        <v>43758</v>
      </c>
      <c r="AY1501" s="132">
        <v>33600</v>
      </c>
      <c r="AZ1501" s="132">
        <f>ROUNDDOWN(AY1501+(AY1501*MASTER!$A$2/100),0)</f>
        <v>36288</v>
      </c>
      <c r="BA1501" s="84" t="s">
        <v>14</v>
      </c>
      <c r="BB1501" s="88">
        <v>40000</v>
      </c>
      <c r="BC1501" s="88">
        <v>43200</v>
      </c>
      <c r="BD1501" s="84" t="s">
        <v>3431</v>
      </c>
      <c r="BG1501" s="88">
        <v>0</v>
      </c>
      <c r="BK1501" s="88">
        <v>0</v>
      </c>
      <c r="BS1501" s="88">
        <v>0</v>
      </c>
      <c r="BV1501" s="89">
        <v>37800</v>
      </c>
      <c r="BW1501" s="89">
        <v>43200</v>
      </c>
      <c r="BX1501" s="89">
        <v>43734</v>
      </c>
      <c r="BY1501" s="89">
        <v>-5400</v>
      </c>
      <c r="BZ1501" s="112">
        <v>-14.285714285714285</v>
      </c>
      <c r="CK1501" s="88">
        <v>0</v>
      </c>
    </row>
    <row r="1502" spans="1:89" x14ac:dyDescent="0.15">
      <c r="A1502" s="84">
        <v>2</v>
      </c>
      <c r="B1502" s="85">
        <v>43753</v>
      </c>
      <c r="C1502" s="85">
        <v>43769</v>
      </c>
      <c r="E1502" s="85">
        <v>43763</v>
      </c>
      <c r="F1502" s="85" t="s">
        <v>338</v>
      </c>
      <c r="G1502" s="85">
        <v>43759</v>
      </c>
      <c r="H1502" s="85" t="s">
        <v>338</v>
      </c>
      <c r="I1502" s="84" t="s">
        <v>401</v>
      </c>
      <c r="J1502" s="84">
        <v>1</v>
      </c>
      <c r="L1502" s="84">
        <v>0</v>
      </c>
      <c r="M1502" s="85">
        <v>43735</v>
      </c>
      <c r="N1502" s="85" t="s">
        <v>265</v>
      </c>
      <c r="O1502" s="86" t="s">
        <v>340</v>
      </c>
      <c r="P1502" s="84" t="s">
        <v>26</v>
      </c>
      <c r="Q1502" s="86" t="s">
        <v>46</v>
      </c>
      <c r="R1502" s="86" t="s">
        <v>3914</v>
      </c>
      <c r="S1502" s="87" t="s">
        <v>442</v>
      </c>
      <c r="T1502" s="87" t="s">
        <v>801</v>
      </c>
      <c r="U1502" s="88">
        <v>72000</v>
      </c>
      <c r="V1502" s="88">
        <v>77760</v>
      </c>
      <c r="W1502" s="88">
        <v>58000</v>
      </c>
      <c r="X1502" s="88">
        <v>62640</v>
      </c>
      <c r="Y1502" s="88">
        <v>14000</v>
      </c>
      <c r="Z1502" s="88">
        <v>15120</v>
      </c>
      <c r="AA1502" s="85">
        <v>43756</v>
      </c>
      <c r="AB1502" s="85">
        <v>43756</v>
      </c>
      <c r="AD1502" s="84">
        <v>0</v>
      </c>
      <c r="AG1502" s="84">
        <v>0</v>
      </c>
      <c r="AJ1502" s="84">
        <v>0</v>
      </c>
      <c r="AN1502" s="84" t="s">
        <v>338</v>
      </c>
      <c r="AR1502" s="85">
        <v>43745</v>
      </c>
      <c r="AS1502" s="84">
        <v>6001718895</v>
      </c>
      <c r="AT1502" s="85">
        <v>43746</v>
      </c>
      <c r="AU1502" s="84" t="s">
        <v>3895</v>
      </c>
      <c r="AV1502" s="85">
        <v>43769</v>
      </c>
      <c r="AW1502" s="123">
        <v>43769</v>
      </c>
      <c r="AX1502" s="123">
        <v>43789</v>
      </c>
      <c r="AY1502" s="132">
        <v>69120</v>
      </c>
      <c r="AZ1502" s="132">
        <f>ROUNDDOWN(AY1502+(AY1502*0.1),0)</f>
        <v>76032</v>
      </c>
      <c r="BA1502" s="84" t="s">
        <v>745</v>
      </c>
      <c r="BB1502" s="88">
        <v>30000</v>
      </c>
      <c r="BC1502" s="88">
        <f>ROUNDDOWN(BB1502+(BB1502*0.1),0)</f>
        <v>33000</v>
      </c>
      <c r="BD1502" s="84" t="s">
        <v>188</v>
      </c>
      <c r="BG1502" s="88">
        <v>0</v>
      </c>
      <c r="BK1502" s="88">
        <v>0</v>
      </c>
      <c r="BS1502" s="88">
        <v>0</v>
      </c>
      <c r="BV1502" s="89">
        <v>62640</v>
      </c>
      <c r="BW1502" s="89">
        <v>32400</v>
      </c>
      <c r="BX1502" s="89">
        <v>43735</v>
      </c>
      <c r="BY1502" s="89">
        <v>30240</v>
      </c>
      <c r="BZ1502" s="112">
        <v>48.275862068965516</v>
      </c>
      <c r="CC1502" s="84">
        <v>2019</v>
      </c>
      <c r="CK1502" s="88">
        <v>0</v>
      </c>
    </row>
    <row r="1503" spans="1:89" x14ac:dyDescent="0.15">
      <c r="A1503" s="84">
        <v>1</v>
      </c>
      <c r="B1503" s="85">
        <v>43747</v>
      </c>
      <c r="C1503" s="85">
        <v>43753</v>
      </c>
      <c r="F1503" s="85" t="s">
        <v>338</v>
      </c>
      <c r="H1503" s="85" t="s">
        <v>338</v>
      </c>
      <c r="I1503" s="84" t="s">
        <v>781</v>
      </c>
      <c r="J1503" s="84">
        <v>1</v>
      </c>
      <c r="L1503" s="84">
        <v>0</v>
      </c>
      <c r="M1503" s="85">
        <v>43735</v>
      </c>
      <c r="N1503" s="85" t="s">
        <v>265</v>
      </c>
      <c r="O1503" s="86" t="s">
        <v>340</v>
      </c>
      <c r="P1503" s="84" t="s">
        <v>26</v>
      </c>
      <c r="Q1503" s="86" t="s">
        <v>46</v>
      </c>
      <c r="R1503" s="86" t="s">
        <v>3896</v>
      </c>
      <c r="S1503" s="87" t="s">
        <v>1226</v>
      </c>
      <c r="T1503" s="87" t="s">
        <v>3897</v>
      </c>
      <c r="U1503" s="88">
        <v>215500</v>
      </c>
      <c r="V1503" s="88">
        <v>232740</v>
      </c>
      <c r="W1503" s="88">
        <v>163000</v>
      </c>
      <c r="X1503" s="88">
        <v>176040</v>
      </c>
      <c r="Y1503" s="88">
        <v>52500</v>
      </c>
      <c r="Z1503" s="88">
        <v>56700</v>
      </c>
      <c r="AA1503" s="85">
        <v>43752</v>
      </c>
      <c r="AB1503" s="85">
        <v>43754</v>
      </c>
      <c r="AD1503" s="84">
        <v>0</v>
      </c>
      <c r="AG1503" s="84">
        <v>0</v>
      </c>
      <c r="AJ1503" s="84">
        <v>0</v>
      </c>
      <c r="AM1503" s="84" t="s">
        <v>290</v>
      </c>
      <c r="AN1503" s="84" t="s">
        <v>3898</v>
      </c>
      <c r="AR1503" s="85">
        <v>43745</v>
      </c>
      <c r="AS1503" s="84">
        <v>6001718895</v>
      </c>
      <c r="AT1503" s="85">
        <v>43746</v>
      </c>
      <c r="AU1503" s="84" t="s">
        <v>3895</v>
      </c>
      <c r="AV1503" s="85">
        <v>43753</v>
      </c>
      <c r="AW1503" s="123">
        <v>43769</v>
      </c>
      <c r="AX1503" s="123">
        <v>43789</v>
      </c>
      <c r="AY1503" s="132">
        <v>206880</v>
      </c>
      <c r="AZ1503" s="132">
        <f>ROUNDDOWN(AY1503+(AY1503*0.1),0)</f>
        <v>227568</v>
      </c>
      <c r="BA1503" s="163" t="s">
        <v>624</v>
      </c>
      <c r="BB1503" s="88">
        <v>38000</v>
      </c>
      <c r="BC1503" s="88">
        <f>ROUNDDOWN(BB1503+(BB1503*0.1),0)</f>
        <v>41800</v>
      </c>
      <c r="BD1503" s="84" t="s">
        <v>430</v>
      </c>
      <c r="BG1503" s="88">
        <v>0</v>
      </c>
      <c r="BK1503" s="88">
        <v>0</v>
      </c>
      <c r="BS1503" s="88">
        <v>0</v>
      </c>
      <c r="BV1503" s="89">
        <v>176040</v>
      </c>
      <c r="BW1503" s="89">
        <v>41040</v>
      </c>
      <c r="BX1503" s="89">
        <v>43735</v>
      </c>
      <c r="BY1503" s="89">
        <v>135000</v>
      </c>
      <c r="BZ1503" s="112">
        <v>76.687116564417181</v>
      </c>
      <c r="CC1503" s="84">
        <v>2019</v>
      </c>
      <c r="CK1503" s="88">
        <v>0</v>
      </c>
    </row>
    <row r="1504" spans="1:89" x14ac:dyDescent="0.15">
      <c r="A1504" s="84">
        <v>1</v>
      </c>
      <c r="B1504" s="85">
        <v>43741</v>
      </c>
      <c r="C1504" s="85">
        <v>43740</v>
      </c>
      <c r="F1504" s="85" t="s">
        <v>338</v>
      </c>
      <c r="H1504" s="85" t="s">
        <v>338</v>
      </c>
      <c r="J1504" s="84">
        <v>2</v>
      </c>
      <c r="L1504" s="84">
        <v>0</v>
      </c>
      <c r="M1504" s="85">
        <v>43735</v>
      </c>
      <c r="N1504" s="85" t="s">
        <v>265</v>
      </c>
      <c r="O1504" s="86" t="s">
        <v>340</v>
      </c>
      <c r="P1504" s="84" t="s">
        <v>78</v>
      </c>
      <c r="Q1504" s="86" t="s">
        <v>46</v>
      </c>
      <c r="R1504" s="86" t="s">
        <v>3886</v>
      </c>
      <c r="S1504" s="87" t="s">
        <v>602</v>
      </c>
      <c r="T1504" s="87" t="s">
        <v>3887</v>
      </c>
      <c r="U1504" s="88">
        <v>65000</v>
      </c>
      <c r="V1504" s="88">
        <v>70200</v>
      </c>
      <c r="W1504" s="88">
        <v>65000</v>
      </c>
      <c r="X1504" s="88">
        <v>70200</v>
      </c>
      <c r="Z1504" s="88">
        <v>0</v>
      </c>
      <c r="AA1504" s="85">
        <v>43739</v>
      </c>
      <c r="AB1504" s="85">
        <v>43740</v>
      </c>
      <c r="AD1504" s="84">
        <v>0</v>
      </c>
      <c r="AG1504" s="84">
        <v>0</v>
      </c>
      <c r="AJ1504" s="84">
        <v>0</v>
      </c>
      <c r="AN1504" s="84" t="s">
        <v>338</v>
      </c>
      <c r="AR1504" s="85">
        <v>43740</v>
      </c>
      <c r="AS1504" s="84">
        <v>6001716906</v>
      </c>
      <c r="AT1504" s="85">
        <v>43740</v>
      </c>
      <c r="AU1504" s="84" t="s">
        <v>3869</v>
      </c>
      <c r="AV1504" s="85">
        <v>43740</v>
      </c>
      <c r="AW1504" s="123">
        <v>43769</v>
      </c>
      <c r="AX1504" s="123">
        <v>43789</v>
      </c>
      <c r="AY1504" s="132">
        <v>62400</v>
      </c>
      <c r="AZ1504" s="132">
        <f>ROUNDDOWN(AY1504+(AY1504*0.1),0)</f>
        <v>68640</v>
      </c>
      <c r="BC1504" s="88">
        <v>0</v>
      </c>
      <c r="BG1504" s="88">
        <v>0</v>
      </c>
      <c r="BK1504" s="88">
        <v>0</v>
      </c>
      <c r="BS1504" s="88">
        <v>0</v>
      </c>
      <c r="BV1504" s="89">
        <v>70200</v>
      </c>
      <c r="BW1504" s="89">
        <v>0</v>
      </c>
      <c r="BX1504" s="89">
        <v>43735</v>
      </c>
      <c r="BY1504" s="89">
        <v>70200</v>
      </c>
      <c r="BZ1504" s="112">
        <v>100</v>
      </c>
      <c r="CK1504" s="88">
        <v>0</v>
      </c>
    </row>
    <row r="1505" spans="1:89" s="151" customFormat="1" x14ac:dyDescent="0.15">
      <c r="A1505" s="141">
        <v>3</v>
      </c>
      <c r="B1505" s="142"/>
      <c r="C1505" s="142" t="s">
        <v>338</v>
      </c>
      <c r="D1505" s="142"/>
      <c r="E1505" s="142"/>
      <c r="F1505" s="142" t="s">
        <v>338</v>
      </c>
      <c r="G1505" s="142"/>
      <c r="H1505" s="142" t="s">
        <v>338</v>
      </c>
      <c r="I1505" s="141"/>
      <c r="J1505" s="141">
        <v>2</v>
      </c>
      <c r="K1505" s="142"/>
      <c r="L1505" s="141">
        <v>0</v>
      </c>
      <c r="M1505" s="142">
        <v>43735</v>
      </c>
      <c r="N1505" s="142" t="s">
        <v>265</v>
      </c>
      <c r="O1505" s="143" t="s">
        <v>340</v>
      </c>
      <c r="P1505" s="141" t="s">
        <v>78</v>
      </c>
      <c r="Q1505" s="143" t="s">
        <v>46</v>
      </c>
      <c r="R1505" s="143" t="s">
        <v>3822</v>
      </c>
      <c r="S1505" s="144" t="s">
        <v>2878</v>
      </c>
      <c r="T1505" s="144" t="s">
        <v>3823</v>
      </c>
      <c r="U1505" s="145">
        <v>65000</v>
      </c>
      <c r="V1505" s="145">
        <v>70200</v>
      </c>
      <c r="W1505" s="145">
        <v>65000</v>
      </c>
      <c r="X1505" s="145">
        <v>70200</v>
      </c>
      <c r="Y1505" s="145"/>
      <c r="Z1505" s="145">
        <v>0</v>
      </c>
      <c r="AA1505" s="142"/>
      <c r="AB1505" s="142"/>
      <c r="AC1505" s="142"/>
      <c r="AD1505" s="141">
        <v>0</v>
      </c>
      <c r="AE1505" s="141"/>
      <c r="AF1505" s="141"/>
      <c r="AG1505" s="141">
        <v>0</v>
      </c>
      <c r="AH1505" s="141"/>
      <c r="AI1505" s="141"/>
      <c r="AJ1505" s="141">
        <v>0</v>
      </c>
      <c r="AK1505" s="141"/>
      <c r="AL1505" s="141"/>
      <c r="AM1505" s="141"/>
      <c r="AN1505" s="141" t="s">
        <v>338</v>
      </c>
      <c r="AO1505" s="142"/>
      <c r="AP1505" s="141"/>
      <c r="AQ1505" s="141"/>
      <c r="AR1505" s="142"/>
      <c r="AS1505" s="141"/>
      <c r="AT1505" s="142"/>
      <c r="AU1505" s="141"/>
      <c r="AV1505" s="142"/>
      <c r="AW1505" s="146"/>
      <c r="AX1505" s="146"/>
      <c r="AY1505" s="147">
        <v>62400</v>
      </c>
      <c r="AZ1505" s="147">
        <f>ROUNDDOWN(AY1505+(AY1505*MASTER!$A$2/100),0)</f>
        <v>67392</v>
      </c>
      <c r="BA1505" s="141"/>
      <c r="BB1505" s="145"/>
      <c r="BC1505" s="145">
        <v>0</v>
      </c>
      <c r="BD1505" s="141"/>
      <c r="BE1505" s="141"/>
      <c r="BF1505" s="145"/>
      <c r="BG1505" s="145">
        <v>0</v>
      </c>
      <c r="BH1505" s="141"/>
      <c r="BI1505" s="141"/>
      <c r="BJ1505" s="145"/>
      <c r="BK1505" s="145">
        <v>0</v>
      </c>
      <c r="BL1505" s="141"/>
      <c r="BM1505" s="145"/>
      <c r="BN1505" s="145"/>
      <c r="BO1505" s="145"/>
      <c r="BP1505" s="145"/>
      <c r="BQ1505" s="145"/>
      <c r="BR1505" s="145"/>
      <c r="BS1505" s="145">
        <v>0</v>
      </c>
      <c r="BT1505" s="148"/>
      <c r="BU1505" s="148"/>
      <c r="BV1505" s="149">
        <v>70200</v>
      </c>
      <c r="BW1505" s="149">
        <v>0</v>
      </c>
      <c r="BX1505" s="149">
        <v>43735</v>
      </c>
      <c r="BY1505" s="149">
        <v>70200</v>
      </c>
      <c r="BZ1505" s="150">
        <v>100</v>
      </c>
      <c r="CA1505" s="141"/>
      <c r="CB1505" s="141"/>
      <c r="CC1505" s="141"/>
      <c r="CD1505" s="144" t="s">
        <v>3870</v>
      </c>
      <c r="CE1505" s="142"/>
      <c r="CF1505" s="142"/>
      <c r="CG1505" s="142"/>
      <c r="CH1505" s="142"/>
      <c r="CI1505" s="142"/>
      <c r="CJ1505" s="142"/>
      <c r="CK1505" s="145">
        <v>0</v>
      </c>
    </row>
    <row r="1506" spans="1:89" x14ac:dyDescent="0.15">
      <c r="A1506" s="84">
        <v>1</v>
      </c>
      <c r="B1506" s="85">
        <v>43741</v>
      </c>
      <c r="C1506" s="85">
        <v>43743</v>
      </c>
      <c r="F1506" s="85" t="s">
        <v>338</v>
      </c>
      <c r="H1506" s="85" t="s">
        <v>338</v>
      </c>
      <c r="J1506" s="84">
        <v>2</v>
      </c>
      <c r="L1506" s="84">
        <v>0</v>
      </c>
      <c r="M1506" s="85">
        <v>43735</v>
      </c>
      <c r="N1506" s="85" t="s">
        <v>265</v>
      </c>
      <c r="O1506" s="86" t="s">
        <v>340</v>
      </c>
      <c r="P1506" s="84" t="s">
        <v>78</v>
      </c>
      <c r="Q1506" s="86" t="s">
        <v>46</v>
      </c>
      <c r="R1506" s="86" t="s">
        <v>3885</v>
      </c>
      <c r="S1506" s="87" t="s">
        <v>3547</v>
      </c>
      <c r="T1506" s="87" t="s">
        <v>495</v>
      </c>
      <c r="U1506" s="88">
        <v>65000</v>
      </c>
      <c r="V1506" s="88">
        <v>70200</v>
      </c>
      <c r="W1506" s="88">
        <v>65000</v>
      </c>
      <c r="X1506" s="88">
        <v>70200</v>
      </c>
      <c r="Z1506" s="88">
        <v>0</v>
      </c>
      <c r="AA1506" s="85">
        <v>43742</v>
      </c>
      <c r="AB1506" s="85">
        <v>43743</v>
      </c>
      <c r="AD1506" s="84">
        <v>0</v>
      </c>
      <c r="AG1506" s="84">
        <v>0</v>
      </c>
      <c r="AJ1506" s="84">
        <v>0</v>
      </c>
      <c r="AN1506" s="84" t="s">
        <v>338</v>
      </c>
      <c r="AR1506" s="85">
        <v>43740</v>
      </c>
      <c r="AS1506" s="84">
        <v>6001716906</v>
      </c>
      <c r="AT1506" s="85">
        <v>43740</v>
      </c>
      <c r="AU1506" s="84" t="s">
        <v>3869</v>
      </c>
      <c r="AV1506" s="85">
        <v>43743</v>
      </c>
      <c r="AW1506" s="123">
        <v>43769</v>
      </c>
      <c r="AX1506" s="123">
        <v>43789</v>
      </c>
      <c r="AY1506" s="132">
        <v>62400</v>
      </c>
      <c r="AZ1506" s="132">
        <f>ROUNDDOWN(AY1506+(AY1506*0.1),0)</f>
        <v>68640</v>
      </c>
      <c r="BC1506" s="88">
        <v>0</v>
      </c>
      <c r="BG1506" s="88">
        <v>0</v>
      </c>
      <c r="BK1506" s="88">
        <v>0</v>
      </c>
      <c r="BS1506" s="88">
        <v>0</v>
      </c>
      <c r="BV1506" s="89">
        <v>70200</v>
      </c>
      <c r="BW1506" s="89">
        <v>0</v>
      </c>
      <c r="BX1506" s="89">
        <v>43735</v>
      </c>
      <c r="BY1506" s="89">
        <v>70200</v>
      </c>
      <c r="BZ1506" s="112">
        <v>100</v>
      </c>
      <c r="CK1506" s="88">
        <v>0</v>
      </c>
    </row>
    <row r="1507" spans="1:89" x14ac:dyDescent="0.15">
      <c r="A1507" s="84">
        <v>1</v>
      </c>
      <c r="B1507" s="85">
        <v>43741</v>
      </c>
      <c r="C1507" s="85">
        <v>43746</v>
      </c>
      <c r="F1507" s="85" t="s">
        <v>338</v>
      </c>
      <c r="H1507" s="85" t="s">
        <v>338</v>
      </c>
      <c r="J1507" s="84">
        <v>2</v>
      </c>
      <c r="L1507" s="84">
        <v>0</v>
      </c>
      <c r="M1507" s="85">
        <v>43735</v>
      </c>
      <c r="N1507" s="85" t="s">
        <v>265</v>
      </c>
      <c r="O1507" s="86" t="s">
        <v>340</v>
      </c>
      <c r="P1507" s="84" t="s">
        <v>78</v>
      </c>
      <c r="Q1507" s="86" t="s">
        <v>46</v>
      </c>
      <c r="R1507" s="86" t="s">
        <v>3884</v>
      </c>
      <c r="S1507" s="87" t="s">
        <v>3359</v>
      </c>
      <c r="T1507" s="87" t="s">
        <v>1067</v>
      </c>
      <c r="U1507" s="88">
        <v>65000</v>
      </c>
      <c r="V1507" s="88">
        <v>70200</v>
      </c>
      <c r="W1507" s="88">
        <v>65000</v>
      </c>
      <c r="X1507" s="88">
        <v>70200</v>
      </c>
      <c r="Z1507" s="88">
        <v>0</v>
      </c>
      <c r="AA1507" s="85">
        <v>43745</v>
      </c>
      <c r="AB1507" s="85">
        <v>43746</v>
      </c>
      <c r="AD1507" s="84">
        <v>0</v>
      </c>
      <c r="AG1507" s="84">
        <v>0</v>
      </c>
      <c r="AJ1507" s="84">
        <v>0</v>
      </c>
      <c r="AN1507" s="84" t="s">
        <v>338</v>
      </c>
      <c r="AR1507" s="85">
        <v>43740</v>
      </c>
      <c r="AS1507" s="84">
        <v>6001716906</v>
      </c>
      <c r="AT1507" s="85">
        <v>43740</v>
      </c>
      <c r="AU1507" s="84" t="s">
        <v>3869</v>
      </c>
      <c r="AV1507" s="85">
        <v>43746</v>
      </c>
      <c r="AW1507" s="123">
        <v>43769</v>
      </c>
      <c r="AX1507" s="123">
        <v>43789</v>
      </c>
      <c r="AY1507" s="132">
        <v>62400</v>
      </c>
      <c r="AZ1507" s="132">
        <f>ROUNDDOWN(AY1507+(AY1507*0.1),0)</f>
        <v>68640</v>
      </c>
      <c r="BC1507" s="88">
        <v>0</v>
      </c>
      <c r="BG1507" s="88">
        <v>0</v>
      </c>
      <c r="BK1507" s="88">
        <v>0</v>
      </c>
      <c r="BS1507" s="88">
        <v>0</v>
      </c>
      <c r="BV1507" s="89">
        <v>70200</v>
      </c>
      <c r="BW1507" s="89">
        <v>0</v>
      </c>
      <c r="BX1507" s="89">
        <v>43735</v>
      </c>
      <c r="BY1507" s="89">
        <v>70200</v>
      </c>
      <c r="BZ1507" s="112">
        <v>100</v>
      </c>
      <c r="CK1507" s="88">
        <v>0</v>
      </c>
    </row>
    <row r="1508" spans="1:89" x14ac:dyDescent="0.15">
      <c r="A1508" s="84">
        <v>1</v>
      </c>
      <c r="B1508" s="85">
        <v>43741</v>
      </c>
      <c r="C1508" s="85">
        <v>43747</v>
      </c>
      <c r="F1508" s="85" t="s">
        <v>338</v>
      </c>
      <c r="H1508" s="85" t="s">
        <v>338</v>
      </c>
      <c r="J1508" s="84">
        <v>2</v>
      </c>
      <c r="L1508" s="84">
        <v>0</v>
      </c>
      <c r="M1508" s="85">
        <v>43735</v>
      </c>
      <c r="N1508" s="85" t="s">
        <v>265</v>
      </c>
      <c r="O1508" s="86" t="s">
        <v>340</v>
      </c>
      <c r="P1508" s="84" t="s">
        <v>78</v>
      </c>
      <c r="Q1508" s="86" t="s">
        <v>46</v>
      </c>
      <c r="R1508" s="86" t="s">
        <v>3883</v>
      </c>
      <c r="S1508" s="87" t="s">
        <v>3359</v>
      </c>
      <c r="T1508" s="87" t="s">
        <v>726</v>
      </c>
      <c r="U1508" s="88">
        <v>65000</v>
      </c>
      <c r="V1508" s="88">
        <v>70200</v>
      </c>
      <c r="W1508" s="88">
        <v>65000</v>
      </c>
      <c r="X1508" s="88">
        <v>70200</v>
      </c>
      <c r="Z1508" s="88">
        <v>0</v>
      </c>
      <c r="AA1508" s="85">
        <v>43746</v>
      </c>
      <c r="AB1508" s="85">
        <v>43747</v>
      </c>
      <c r="AD1508" s="84">
        <v>0</v>
      </c>
      <c r="AG1508" s="84">
        <v>0</v>
      </c>
      <c r="AJ1508" s="84">
        <v>0</v>
      </c>
      <c r="AN1508" s="84" t="s">
        <v>338</v>
      </c>
      <c r="AR1508" s="85">
        <v>43740</v>
      </c>
      <c r="AS1508" s="84">
        <v>6001716906</v>
      </c>
      <c r="AT1508" s="85">
        <v>43740</v>
      </c>
      <c r="AU1508" s="84" t="s">
        <v>3869</v>
      </c>
      <c r="AV1508" s="85">
        <v>43747</v>
      </c>
      <c r="AW1508" s="123">
        <v>43769</v>
      </c>
      <c r="AX1508" s="123">
        <v>43789</v>
      </c>
      <c r="AY1508" s="132">
        <v>62400</v>
      </c>
      <c r="AZ1508" s="132">
        <f>ROUNDDOWN(AY1508+(AY1508*0.1),0)</f>
        <v>68640</v>
      </c>
      <c r="BC1508" s="88">
        <v>0</v>
      </c>
      <c r="BG1508" s="88">
        <v>0</v>
      </c>
      <c r="BK1508" s="88">
        <v>0</v>
      </c>
      <c r="BS1508" s="88">
        <v>0</v>
      </c>
      <c r="BV1508" s="89">
        <v>70200</v>
      </c>
      <c r="BW1508" s="89">
        <v>0</v>
      </c>
      <c r="BX1508" s="89">
        <v>43735</v>
      </c>
      <c r="BY1508" s="89">
        <v>70200</v>
      </c>
      <c r="BZ1508" s="112">
        <v>100</v>
      </c>
      <c r="CK1508" s="88">
        <v>0</v>
      </c>
    </row>
    <row r="1509" spans="1:89" x14ac:dyDescent="0.15">
      <c r="A1509" s="84">
        <v>1</v>
      </c>
      <c r="B1509" s="85">
        <v>43741</v>
      </c>
      <c r="C1509" s="85">
        <v>43749</v>
      </c>
      <c r="F1509" s="85" t="s">
        <v>338</v>
      </c>
      <c r="H1509" s="85" t="s">
        <v>338</v>
      </c>
      <c r="J1509" s="84">
        <v>2</v>
      </c>
      <c r="L1509" s="84">
        <v>0</v>
      </c>
      <c r="M1509" s="85">
        <v>43735</v>
      </c>
      <c r="N1509" s="85" t="s">
        <v>265</v>
      </c>
      <c r="O1509" s="86" t="s">
        <v>340</v>
      </c>
      <c r="P1509" s="84" t="s">
        <v>78</v>
      </c>
      <c r="Q1509" s="86" t="s">
        <v>46</v>
      </c>
      <c r="R1509" s="86" t="s">
        <v>3882</v>
      </c>
      <c r="S1509" s="87" t="s">
        <v>2210</v>
      </c>
      <c r="T1509" s="87" t="s">
        <v>495</v>
      </c>
      <c r="U1509" s="88">
        <v>65000</v>
      </c>
      <c r="V1509" s="88">
        <v>70200</v>
      </c>
      <c r="W1509" s="88">
        <v>65000</v>
      </c>
      <c r="X1509" s="88">
        <v>70200</v>
      </c>
      <c r="Z1509" s="88">
        <v>0</v>
      </c>
      <c r="AA1509" s="85">
        <v>43748</v>
      </c>
      <c r="AB1509" s="85">
        <v>43749</v>
      </c>
      <c r="AD1509" s="84">
        <v>0</v>
      </c>
      <c r="AG1509" s="84">
        <v>0</v>
      </c>
      <c r="AJ1509" s="84">
        <v>0</v>
      </c>
      <c r="AN1509" s="84" t="s">
        <v>338</v>
      </c>
      <c r="AR1509" s="85">
        <v>43740</v>
      </c>
      <c r="AS1509" s="84">
        <v>6001716906</v>
      </c>
      <c r="AT1509" s="85">
        <v>43740</v>
      </c>
      <c r="AU1509" s="84" t="s">
        <v>3869</v>
      </c>
      <c r="AV1509" s="85">
        <v>43749</v>
      </c>
      <c r="AW1509" s="123">
        <v>43769</v>
      </c>
      <c r="AX1509" s="123">
        <v>43789</v>
      </c>
      <c r="AY1509" s="132">
        <v>62400</v>
      </c>
      <c r="AZ1509" s="132">
        <f>ROUNDDOWN(AY1509+(AY1509*0.1),0)</f>
        <v>68640</v>
      </c>
      <c r="BC1509" s="88">
        <v>0</v>
      </c>
      <c r="BG1509" s="88">
        <v>0</v>
      </c>
      <c r="BK1509" s="88">
        <v>0</v>
      </c>
      <c r="BS1509" s="88">
        <v>0</v>
      </c>
      <c r="BV1509" s="89">
        <v>70200</v>
      </c>
      <c r="BW1509" s="89">
        <v>0</v>
      </c>
      <c r="BX1509" s="89">
        <v>43735</v>
      </c>
      <c r="BY1509" s="89">
        <v>70200</v>
      </c>
      <c r="BZ1509" s="112">
        <v>100</v>
      </c>
      <c r="CK1509" s="88">
        <v>0</v>
      </c>
    </row>
    <row r="1510" spans="1:89" x14ac:dyDescent="0.15">
      <c r="A1510" s="84">
        <v>1</v>
      </c>
      <c r="C1510" s="85" t="s">
        <v>338</v>
      </c>
      <c r="F1510" s="85" t="s">
        <v>338</v>
      </c>
      <c r="H1510" s="85" t="s">
        <v>338</v>
      </c>
      <c r="J1510" s="84">
        <v>4</v>
      </c>
      <c r="L1510" s="84">
        <v>0</v>
      </c>
      <c r="M1510" s="85">
        <v>43735</v>
      </c>
      <c r="N1510" s="85" t="s">
        <v>265</v>
      </c>
      <c r="O1510" s="86" t="s">
        <v>340</v>
      </c>
      <c r="P1510" s="84" t="s">
        <v>272</v>
      </c>
      <c r="Q1510" s="86" t="s">
        <v>46</v>
      </c>
      <c r="R1510" s="86" t="s">
        <v>3826</v>
      </c>
      <c r="S1510" s="87" t="s">
        <v>562</v>
      </c>
      <c r="T1510" s="87" t="s">
        <v>3827</v>
      </c>
      <c r="U1510" s="88">
        <v>0</v>
      </c>
      <c r="V1510" s="88">
        <v>0</v>
      </c>
      <c r="W1510" s="88">
        <v>0</v>
      </c>
      <c r="X1510" s="88">
        <v>0</v>
      </c>
      <c r="Y1510" s="88">
        <v>0</v>
      </c>
      <c r="Z1510" s="88">
        <v>0</v>
      </c>
      <c r="AD1510" s="84">
        <v>0</v>
      </c>
      <c r="AG1510" s="84">
        <v>0</v>
      </c>
      <c r="AJ1510" s="84">
        <v>0</v>
      </c>
      <c r="AN1510" s="84" t="s">
        <v>338</v>
      </c>
      <c r="AY1510" s="132">
        <v>0</v>
      </c>
      <c r="AZ1510" s="132">
        <f>ROUNDDOWN(AY1510+(AY1510*MASTER!$A$2/100),0)</f>
        <v>0</v>
      </c>
      <c r="BC1510" s="88">
        <v>0</v>
      </c>
      <c r="BE1510" s="161" t="s">
        <v>1045</v>
      </c>
      <c r="BF1510" s="162">
        <v>513000</v>
      </c>
      <c r="BG1510" s="162">
        <v>554040</v>
      </c>
      <c r="BH1510" s="161" t="s">
        <v>430</v>
      </c>
      <c r="BK1510" s="88">
        <v>0</v>
      </c>
      <c r="BS1510" s="88">
        <v>0</v>
      </c>
      <c r="BV1510" s="89">
        <v>0</v>
      </c>
      <c r="BW1510" s="89">
        <v>554040</v>
      </c>
      <c r="BX1510" s="89">
        <v>43735</v>
      </c>
      <c r="BY1510" s="89">
        <v>-554040</v>
      </c>
      <c r="BZ1510" s="112" t="s">
        <v>338</v>
      </c>
      <c r="CC1510" s="84">
        <v>2019</v>
      </c>
    </row>
    <row r="1511" spans="1:89" x14ac:dyDescent="0.15">
      <c r="A1511" s="84">
        <v>1</v>
      </c>
      <c r="B1511" s="85">
        <v>43795</v>
      </c>
      <c r="C1511" s="85">
        <v>43804</v>
      </c>
      <c r="F1511" s="85" t="s">
        <v>338</v>
      </c>
      <c r="H1511" s="85" t="s">
        <v>338</v>
      </c>
      <c r="J1511" s="84">
        <v>2</v>
      </c>
      <c r="L1511" s="84">
        <v>0</v>
      </c>
      <c r="M1511" s="85">
        <v>43735</v>
      </c>
      <c r="N1511" s="85" t="s">
        <v>265</v>
      </c>
      <c r="O1511" s="86" t="s">
        <v>340</v>
      </c>
      <c r="P1511" s="84" t="s">
        <v>272</v>
      </c>
      <c r="Q1511" s="86" t="s">
        <v>46</v>
      </c>
      <c r="R1511" s="86" t="s">
        <v>3829</v>
      </c>
      <c r="S1511" s="87" t="s">
        <v>598</v>
      </c>
      <c r="T1511" s="87" t="s">
        <v>3459</v>
      </c>
      <c r="U1511" s="88">
        <v>3000</v>
      </c>
      <c r="V1511" s="88">
        <v>3240</v>
      </c>
      <c r="W1511" s="88">
        <v>3000</v>
      </c>
      <c r="X1511" s="88">
        <v>3240</v>
      </c>
      <c r="Z1511" s="88">
        <v>0</v>
      </c>
      <c r="AA1511" s="85">
        <v>43725</v>
      </c>
      <c r="AD1511" s="84">
        <v>0</v>
      </c>
      <c r="AG1511" s="84">
        <v>0</v>
      </c>
      <c r="AJ1511" s="84">
        <v>0</v>
      </c>
      <c r="AR1511" s="85">
        <v>43763</v>
      </c>
      <c r="AS1511" s="84">
        <v>6001724342</v>
      </c>
      <c r="AT1511" s="85">
        <v>43763</v>
      </c>
      <c r="AU1511" s="84" t="s">
        <v>3927</v>
      </c>
      <c r="AV1511" s="85">
        <v>43804</v>
      </c>
      <c r="AW1511" s="123">
        <v>43830</v>
      </c>
      <c r="AX1511" s="123">
        <v>43850</v>
      </c>
      <c r="AY1511" s="132">
        <v>2880</v>
      </c>
      <c r="AZ1511" s="132">
        <f>ROUNDDOWN(AY1511+(AY1511*0.1),0)</f>
        <v>3168</v>
      </c>
      <c r="BC1511" s="88">
        <v>0</v>
      </c>
      <c r="BG1511" s="88">
        <v>0</v>
      </c>
      <c r="BK1511" s="88">
        <v>0</v>
      </c>
      <c r="BS1511" s="88">
        <v>0</v>
      </c>
      <c r="BV1511" s="89">
        <v>3240</v>
      </c>
      <c r="BW1511" s="89">
        <v>0</v>
      </c>
      <c r="BX1511" s="89">
        <v>43735</v>
      </c>
      <c r="BY1511" s="89">
        <v>3240</v>
      </c>
      <c r="BZ1511" s="112">
        <v>100</v>
      </c>
    </row>
    <row r="1512" spans="1:89" x14ac:dyDescent="0.15">
      <c r="A1512" s="84">
        <v>2</v>
      </c>
      <c r="C1512" s="85" t="s">
        <v>338</v>
      </c>
      <c r="F1512" s="85" t="s">
        <v>338</v>
      </c>
      <c r="H1512" s="85" t="s">
        <v>338</v>
      </c>
      <c r="I1512" s="84" t="s">
        <v>547</v>
      </c>
      <c r="J1512" s="84">
        <v>4</v>
      </c>
      <c r="L1512" s="84">
        <v>0</v>
      </c>
      <c r="M1512" s="85">
        <v>43735</v>
      </c>
      <c r="N1512" s="85" t="s">
        <v>345</v>
      </c>
      <c r="O1512" s="86" t="s">
        <v>343</v>
      </c>
      <c r="P1512" s="84" t="s">
        <v>530</v>
      </c>
      <c r="Q1512" s="86" t="s">
        <v>3602</v>
      </c>
      <c r="R1512" s="86" t="s">
        <v>3831</v>
      </c>
      <c r="S1512" s="87" t="s">
        <v>3616</v>
      </c>
      <c r="T1512" s="87" t="s">
        <v>545</v>
      </c>
      <c r="U1512" s="88">
        <v>0</v>
      </c>
      <c r="V1512" s="88">
        <v>0</v>
      </c>
      <c r="W1512" s="88">
        <v>0</v>
      </c>
      <c r="X1512" s="88">
        <v>0</v>
      </c>
      <c r="Y1512" s="88">
        <v>0</v>
      </c>
      <c r="Z1512" s="88">
        <v>0</v>
      </c>
      <c r="AA1512" s="85">
        <v>43727</v>
      </c>
      <c r="AB1512" s="85">
        <v>43727</v>
      </c>
      <c r="AD1512" s="84">
        <v>0</v>
      </c>
      <c r="AG1512" s="84">
        <v>0</v>
      </c>
      <c r="AJ1512" s="84">
        <v>0</v>
      </c>
      <c r="AN1512" s="84" t="s">
        <v>338</v>
      </c>
      <c r="AY1512" s="132">
        <f>ROUNDDOWN((0.96*U1512),0)</f>
        <v>0</v>
      </c>
      <c r="AZ1512" s="132">
        <f>ROUNDDOWN(AY1512+(AY1512*MASTER!$A$2/100),0)</f>
        <v>0</v>
      </c>
      <c r="BA1512" s="84" t="s">
        <v>486</v>
      </c>
      <c r="BB1512" s="88">
        <v>21000</v>
      </c>
      <c r="BC1512" s="88">
        <v>22680</v>
      </c>
      <c r="BD1512" s="84" t="s">
        <v>3515</v>
      </c>
      <c r="BG1512" s="88">
        <v>0</v>
      </c>
      <c r="BK1512" s="88">
        <v>0</v>
      </c>
      <c r="BS1512" s="88">
        <v>0</v>
      </c>
      <c r="BV1512" s="89">
        <v>0</v>
      </c>
      <c r="BW1512" s="89">
        <v>22680</v>
      </c>
      <c r="BX1512" s="89">
        <v>43735</v>
      </c>
      <c r="BY1512" s="89">
        <v>-22680</v>
      </c>
      <c r="BZ1512" s="112" t="s">
        <v>338</v>
      </c>
    </row>
    <row r="1513" spans="1:89" x14ac:dyDescent="0.15">
      <c r="A1513" s="84">
        <v>2</v>
      </c>
      <c r="B1513" s="85">
        <v>43747</v>
      </c>
      <c r="C1513" s="85">
        <v>43747</v>
      </c>
      <c r="D1513" s="85">
        <v>43738</v>
      </c>
      <c r="E1513" s="85">
        <v>43738</v>
      </c>
      <c r="F1513" s="85" t="s">
        <v>338</v>
      </c>
      <c r="G1513" s="85">
        <v>43738</v>
      </c>
      <c r="H1513" s="85" t="s">
        <v>338</v>
      </c>
      <c r="I1513" s="84" t="s">
        <v>380</v>
      </c>
      <c r="J1513" s="84">
        <v>2</v>
      </c>
      <c r="L1513" s="84">
        <v>0</v>
      </c>
      <c r="M1513" s="85">
        <v>43735</v>
      </c>
      <c r="N1513" s="85" t="s">
        <v>265</v>
      </c>
      <c r="O1513" s="86" t="s">
        <v>340</v>
      </c>
      <c r="P1513" s="84" t="s">
        <v>6</v>
      </c>
      <c r="Q1513" s="86" t="s">
        <v>46</v>
      </c>
      <c r="R1513" s="86" t="s">
        <v>3833</v>
      </c>
      <c r="S1513" s="87" t="s">
        <v>685</v>
      </c>
      <c r="T1513" s="87" t="s">
        <v>342</v>
      </c>
      <c r="U1513" s="88">
        <v>35000</v>
      </c>
      <c r="V1513" s="88">
        <v>37800</v>
      </c>
      <c r="W1513" s="88">
        <v>35000</v>
      </c>
      <c r="X1513" s="88">
        <v>37800</v>
      </c>
      <c r="Z1513" s="88">
        <v>0</v>
      </c>
      <c r="AA1513" s="85">
        <v>43737</v>
      </c>
      <c r="AB1513" s="85">
        <v>43738</v>
      </c>
      <c r="AD1513" s="84">
        <v>0</v>
      </c>
      <c r="AG1513" s="84">
        <v>0</v>
      </c>
      <c r="AJ1513" s="84">
        <v>0</v>
      </c>
      <c r="AR1513" s="85">
        <v>43745</v>
      </c>
      <c r="AS1513" s="84">
        <v>6001718895</v>
      </c>
      <c r="AT1513" s="85">
        <v>43746</v>
      </c>
      <c r="AU1513" s="84" t="s">
        <v>3895</v>
      </c>
      <c r="AV1513" s="85">
        <v>43747</v>
      </c>
      <c r="AW1513" s="123">
        <v>43769</v>
      </c>
      <c r="AX1513" s="123">
        <v>43789</v>
      </c>
      <c r="AY1513" s="132">
        <v>33600</v>
      </c>
      <c r="AZ1513" s="132">
        <f>ROUNDDOWN(AY1513+(AY1513*0.1),0)</f>
        <v>36960</v>
      </c>
      <c r="BA1513" s="84" t="s">
        <v>400</v>
      </c>
      <c r="BB1513" s="88">
        <v>42000</v>
      </c>
      <c r="BC1513" s="88">
        <f>ROUNDDOWN(BB1513+(BB1513*0.1),0)</f>
        <v>46200</v>
      </c>
      <c r="BD1513" s="84" t="s">
        <v>188</v>
      </c>
      <c r="BG1513" s="88">
        <v>0</v>
      </c>
      <c r="BK1513" s="88">
        <v>0</v>
      </c>
      <c r="BS1513" s="88">
        <v>0</v>
      </c>
      <c r="BV1513" s="89">
        <v>37800</v>
      </c>
      <c r="BW1513" s="89">
        <v>45360</v>
      </c>
      <c r="BX1513" s="89">
        <v>43735</v>
      </c>
      <c r="BY1513" s="89">
        <v>-7560</v>
      </c>
      <c r="BZ1513" s="112">
        <v>-20</v>
      </c>
      <c r="CC1513" s="84">
        <v>2019</v>
      </c>
    </row>
    <row r="1514" spans="1:89" x14ac:dyDescent="0.15">
      <c r="A1514" s="84">
        <v>2</v>
      </c>
      <c r="B1514" s="85">
        <v>43753</v>
      </c>
      <c r="C1514" s="85">
        <v>43760</v>
      </c>
      <c r="D1514" s="85" t="s">
        <v>374</v>
      </c>
      <c r="E1514" s="85">
        <v>43767</v>
      </c>
      <c r="F1514" s="85">
        <v>43767</v>
      </c>
      <c r="H1514" s="85">
        <v>43763</v>
      </c>
      <c r="I1514" s="84" t="s">
        <v>401</v>
      </c>
      <c r="J1514" s="84">
        <v>1</v>
      </c>
      <c r="L1514" s="84">
        <v>0</v>
      </c>
      <c r="M1514" s="85">
        <v>43738</v>
      </c>
      <c r="N1514" s="85" t="s">
        <v>265</v>
      </c>
      <c r="O1514" s="86" t="s">
        <v>340</v>
      </c>
      <c r="P1514" s="84" t="s">
        <v>26</v>
      </c>
      <c r="Q1514" s="86" t="s">
        <v>46</v>
      </c>
      <c r="R1514" s="86" t="s">
        <v>3912</v>
      </c>
      <c r="S1514" s="87" t="s">
        <v>1220</v>
      </c>
      <c r="T1514" s="87" t="s">
        <v>2440</v>
      </c>
      <c r="U1514" s="88">
        <v>23900</v>
      </c>
      <c r="V1514" s="88">
        <v>25812</v>
      </c>
      <c r="W1514" s="88">
        <v>14700</v>
      </c>
      <c r="X1514" s="88">
        <v>15876</v>
      </c>
      <c r="Y1514" s="88">
        <v>9200</v>
      </c>
      <c r="Z1514" s="88">
        <v>9936</v>
      </c>
      <c r="AA1514" s="85">
        <v>43758</v>
      </c>
      <c r="AB1514" s="85">
        <v>43760</v>
      </c>
      <c r="AC1514" s="85">
        <v>43760</v>
      </c>
      <c r="AD1514" s="84">
        <v>0</v>
      </c>
      <c r="AG1514" s="84">
        <v>0</v>
      </c>
      <c r="AJ1514" s="84">
        <v>0</v>
      </c>
      <c r="AM1514" s="84" t="s">
        <v>290</v>
      </c>
      <c r="AN1514" s="84" t="s">
        <v>3913</v>
      </c>
      <c r="AR1514" s="85">
        <v>43748</v>
      </c>
      <c r="AS1514" s="84">
        <v>6001720128</v>
      </c>
      <c r="AT1514" s="85">
        <v>43749</v>
      </c>
      <c r="AU1514" s="84" t="s">
        <v>3909</v>
      </c>
      <c r="AV1514" s="85">
        <v>43760</v>
      </c>
      <c r="AW1514" s="123">
        <v>43769</v>
      </c>
      <c r="AX1514" s="123">
        <v>43789</v>
      </c>
      <c r="AY1514" s="132">
        <v>22944</v>
      </c>
      <c r="AZ1514" s="132">
        <f>ROUNDDOWN(AY1514+(AY1514*0.1),0)</f>
        <v>25238</v>
      </c>
      <c r="BA1514" s="84" t="s">
        <v>778</v>
      </c>
      <c r="BC1514" s="88">
        <v>0</v>
      </c>
      <c r="BG1514" s="88">
        <v>0</v>
      </c>
      <c r="BI1514" s="84" t="s">
        <v>276</v>
      </c>
      <c r="BJ1514" s="88">
        <v>5980</v>
      </c>
      <c r="BK1514" s="88">
        <f>ROUNDDOWN(BJ1514+(BJ1514*0.1),0)</f>
        <v>6578</v>
      </c>
      <c r="BL1514" s="84" t="s">
        <v>677</v>
      </c>
      <c r="BS1514" s="88">
        <v>0</v>
      </c>
      <c r="BV1514" s="89">
        <v>15876</v>
      </c>
      <c r="BW1514" s="89">
        <v>6458.4</v>
      </c>
      <c r="BX1514" s="89">
        <v>43738</v>
      </c>
      <c r="BY1514" s="89">
        <v>9417.6</v>
      </c>
      <c r="BZ1514" s="112">
        <v>59.319727891156461</v>
      </c>
      <c r="CC1514" s="84">
        <v>2019</v>
      </c>
      <c r="CK1514" s="88">
        <v>0</v>
      </c>
    </row>
    <row r="1515" spans="1:89" x14ac:dyDescent="0.15">
      <c r="A1515" s="84">
        <v>2</v>
      </c>
      <c r="C1515" s="85" t="s">
        <v>338</v>
      </c>
      <c r="F1515" s="85" t="s">
        <v>338</v>
      </c>
      <c r="H1515" s="85" t="s">
        <v>338</v>
      </c>
      <c r="I1515" s="84" t="s">
        <v>1191</v>
      </c>
      <c r="J1515" s="84">
        <v>4</v>
      </c>
      <c r="L1515" s="84">
        <v>0</v>
      </c>
      <c r="M1515" s="85">
        <v>43739</v>
      </c>
      <c r="N1515" s="85" t="s">
        <v>265</v>
      </c>
      <c r="O1515" s="86" t="s">
        <v>340</v>
      </c>
      <c r="P1515" s="84" t="s">
        <v>272</v>
      </c>
      <c r="Q1515" s="86" t="s">
        <v>107</v>
      </c>
      <c r="R1515" s="86" t="s">
        <v>3858</v>
      </c>
      <c r="S1515" s="87" t="s">
        <v>562</v>
      </c>
      <c r="T1515" s="87" t="s">
        <v>3860</v>
      </c>
      <c r="U1515" s="88">
        <v>0</v>
      </c>
      <c r="V1515" s="88">
        <v>0</v>
      </c>
      <c r="W1515" s="88">
        <v>0</v>
      </c>
      <c r="X1515" s="88">
        <v>0</v>
      </c>
      <c r="Y1515" s="88">
        <v>0</v>
      </c>
      <c r="Z1515" s="88">
        <v>0</v>
      </c>
      <c r="AA1515" s="85">
        <v>43709</v>
      </c>
      <c r="AB1515" s="85">
        <v>43738</v>
      </c>
      <c r="AD1515" s="84">
        <v>0</v>
      </c>
      <c r="AG1515" s="84">
        <v>0</v>
      </c>
      <c r="AJ1515" s="84">
        <v>0</v>
      </c>
      <c r="AN1515" s="84" t="s">
        <v>338</v>
      </c>
      <c r="BA1515" s="84" t="s">
        <v>287</v>
      </c>
      <c r="BB1515" s="88">
        <v>221710</v>
      </c>
      <c r="BC1515" s="88">
        <v>239446.8</v>
      </c>
      <c r="BD1515" s="84" t="s">
        <v>3431</v>
      </c>
      <c r="BG1515" s="88">
        <v>0</v>
      </c>
      <c r="BK1515" s="88">
        <v>0</v>
      </c>
      <c r="BS1515" s="88">
        <v>0</v>
      </c>
      <c r="BV1515" s="89">
        <v>0</v>
      </c>
      <c r="BW1515" s="89">
        <v>239446.8</v>
      </c>
      <c r="BX1515" s="89">
        <v>43739</v>
      </c>
      <c r="BY1515" s="89">
        <v>-239446.8</v>
      </c>
      <c r="BZ1515" s="112" t="s">
        <v>338</v>
      </c>
    </row>
    <row r="1516" spans="1:89" x14ac:dyDescent="0.15">
      <c r="A1516" s="84">
        <v>2</v>
      </c>
      <c r="C1516" s="85" t="s">
        <v>338</v>
      </c>
      <c r="F1516" s="85" t="s">
        <v>338</v>
      </c>
      <c r="H1516" s="85" t="s">
        <v>338</v>
      </c>
      <c r="J1516" s="84">
        <v>4</v>
      </c>
      <c r="L1516" s="84">
        <v>0</v>
      </c>
      <c r="M1516" s="85">
        <v>43739</v>
      </c>
      <c r="N1516" s="85" t="s">
        <v>265</v>
      </c>
      <c r="O1516" s="86" t="s">
        <v>340</v>
      </c>
      <c r="P1516" s="84" t="s">
        <v>272</v>
      </c>
      <c r="Q1516" s="86" t="s">
        <v>107</v>
      </c>
      <c r="R1516" s="86" t="s">
        <v>3859</v>
      </c>
      <c r="S1516" s="87" t="s">
        <v>562</v>
      </c>
      <c r="T1516" s="87" t="s">
        <v>3861</v>
      </c>
      <c r="U1516" s="88">
        <v>0</v>
      </c>
      <c r="V1516" s="88">
        <v>0</v>
      </c>
      <c r="W1516" s="88">
        <v>0</v>
      </c>
      <c r="X1516" s="88">
        <v>0</v>
      </c>
      <c r="Y1516" s="88">
        <v>0</v>
      </c>
      <c r="Z1516" s="88">
        <v>0</v>
      </c>
      <c r="AA1516" s="85">
        <v>43709</v>
      </c>
      <c r="AB1516" s="85">
        <v>43738</v>
      </c>
      <c r="AD1516" s="84">
        <v>0</v>
      </c>
      <c r="AG1516" s="84">
        <v>0</v>
      </c>
      <c r="AJ1516" s="84">
        <v>0</v>
      </c>
      <c r="AN1516" s="84" t="s">
        <v>338</v>
      </c>
      <c r="BA1516" s="84" t="s">
        <v>400</v>
      </c>
      <c r="BB1516" s="88">
        <v>206010</v>
      </c>
      <c r="BC1516" s="88">
        <v>222490.8</v>
      </c>
      <c r="BD1516" s="84" t="s">
        <v>3431</v>
      </c>
      <c r="BG1516" s="88">
        <v>0</v>
      </c>
      <c r="BK1516" s="88">
        <v>0</v>
      </c>
      <c r="BS1516" s="88">
        <v>0</v>
      </c>
      <c r="BV1516" s="89">
        <v>0</v>
      </c>
      <c r="BW1516" s="89">
        <v>222490.8</v>
      </c>
      <c r="BX1516" s="89">
        <v>43739</v>
      </c>
      <c r="BY1516" s="89">
        <v>-222490.8</v>
      </c>
      <c r="BZ1516" s="112" t="s">
        <v>338</v>
      </c>
    </row>
    <row r="1517" spans="1:89" x14ac:dyDescent="0.15">
      <c r="A1517" s="84">
        <v>2</v>
      </c>
      <c r="C1517" s="85" t="s">
        <v>338</v>
      </c>
      <c r="F1517" s="85" t="s">
        <v>338</v>
      </c>
      <c r="H1517" s="85" t="s">
        <v>338</v>
      </c>
      <c r="I1517" s="84" t="s">
        <v>1495</v>
      </c>
      <c r="J1517" s="84">
        <v>4</v>
      </c>
      <c r="L1517" s="84">
        <v>0</v>
      </c>
      <c r="M1517" s="85">
        <v>43739</v>
      </c>
      <c r="N1517" s="85" t="s">
        <v>345</v>
      </c>
      <c r="O1517" s="86" t="s">
        <v>343</v>
      </c>
      <c r="P1517" s="84" t="s">
        <v>482</v>
      </c>
      <c r="Q1517" s="86" t="s">
        <v>344</v>
      </c>
      <c r="R1517" s="86" t="s">
        <v>3862</v>
      </c>
      <c r="S1517" s="87" t="s">
        <v>3304</v>
      </c>
      <c r="T1517" s="87" t="s">
        <v>3863</v>
      </c>
      <c r="U1517" s="88">
        <v>0</v>
      </c>
      <c r="V1517" s="88">
        <v>0</v>
      </c>
      <c r="W1517" s="88">
        <v>0</v>
      </c>
      <c r="X1517" s="88">
        <v>0</v>
      </c>
      <c r="Y1517" s="88">
        <v>0</v>
      </c>
      <c r="Z1517" s="88">
        <v>0</v>
      </c>
      <c r="AA1517" s="85">
        <v>43709</v>
      </c>
      <c r="AB1517" s="85">
        <v>43738</v>
      </c>
      <c r="AD1517" s="84">
        <v>0</v>
      </c>
      <c r="AG1517" s="84">
        <v>0</v>
      </c>
      <c r="AJ1517" s="84">
        <v>0</v>
      </c>
      <c r="AN1517" s="84" t="s">
        <v>338</v>
      </c>
      <c r="BA1517" s="84" t="s">
        <v>833</v>
      </c>
      <c r="BB1517" s="88">
        <v>122900</v>
      </c>
      <c r="BC1517" s="88">
        <v>132732</v>
      </c>
      <c r="BD1517" s="84" t="s">
        <v>3515</v>
      </c>
      <c r="BG1517" s="88">
        <v>0</v>
      </c>
      <c r="BK1517" s="88">
        <v>0</v>
      </c>
      <c r="BS1517" s="88">
        <v>0</v>
      </c>
      <c r="BV1517" s="89">
        <v>0</v>
      </c>
      <c r="BW1517" s="89">
        <v>132732</v>
      </c>
      <c r="BX1517" s="89">
        <v>43739</v>
      </c>
      <c r="BY1517" s="89">
        <v>-132732</v>
      </c>
      <c r="BZ1517" s="112" t="s">
        <v>338</v>
      </c>
    </row>
    <row r="1518" spans="1:89" x14ac:dyDescent="0.15">
      <c r="A1518" s="84">
        <v>2</v>
      </c>
      <c r="C1518" s="85" t="s">
        <v>338</v>
      </c>
      <c r="F1518" s="85" t="s">
        <v>338</v>
      </c>
      <c r="H1518" s="85" t="s">
        <v>338</v>
      </c>
      <c r="I1518" s="84" t="s">
        <v>1191</v>
      </c>
      <c r="J1518" s="84">
        <v>4</v>
      </c>
      <c r="L1518" s="84">
        <v>0</v>
      </c>
      <c r="M1518" s="85">
        <v>43740</v>
      </c>
      <c r="N1518" s="85" t="s">
        <v>265</v>
      </c>
      <c r="O1518" s="86" t="s">
        <v>340</v>
      </c>
      <c r="P1518" s="84" t="s">
        <v>272</v>
      </c>
      <c r="Q1518" s="86" t="s">
        <v>107</v>
      </c>
      <c r="R1518" s="86" t="s">
        <v>3865</v>
      </c>
      <c r="S1518" s="87" t="s">
        <v>562</v>
      </c>
      <c r="T1518" s="87" t="s">
        <v>3866</v>
      </c>
      <c r="U1518" s="88">
        <v>0</v>
      </c>
      <c r="V1518" s="88">
        <v>0</v>
      </c>
      <c r="X1518" s="88">
        <v>0</v>
      </c>
      <c r="Z1518" s="88">
        <v>0</v>
      </c>
      <c r="AA1518" s="85">
        <v>43709</v>
      </c>
      <c r="AB1518" s="85">
        <v>43738</v>
      </c>
      <c r="AD1518" s="84">
        <v>0</v>
      </c>
      <c r="AG1518" s="84">
        <v>0</v>
      </c>
      <c r="AJ1518" s="84">
        <v>0</v>
      </c>
      <c r="AN1518" s="84" t="s">
        <v>338</v>
      </c>
      <c r="BA1518" s="84" t="s">
        <v>543</v>
      </c>
      <c r="BB1518" s="88">
        <v>116200</v>
      </c>
      <c r="BC1518" s="88">
        <v>125496</v>
      </c>
      <c r="BD1518" s="84" t="s">
        <v>3431</v>
      </c>
      <c r="BG1518" s="88">
        <v>0</v>
      </c>
      <c r="BK1518" s="88">
        <v>0</v>
      </c>
      <c r="BS1518" s="88">
        <v>0</v>
      </c>
      <c r="BV1518" s="89">
        <v>0</v>
      </c>
      <c r="BW1518" s="89">
        <v>125496</v>
      </c>
      <c r="BX1518" s="89">
        <v>43740</v>
      </c>
      <c r="BY1518" s="89">
        <v>-125496</v>
      </c>
      <c r="BZ1518" s="112" t="s">
        <v>338</v>
      </c>
    </row>
    <row r="1519" spans="1:89" x14ac:dyDescent="0.15">
      <c r="A1519" s="84">
        <v>2</v>
      </c>
      <c r="C1519" s="85" t="s">
        <v>338</v>
      </c>
      <c r="F1519" s="85" t="s">
        <v>338</v>
      </c>
      <c r="H1519" s="85" t="s">
        <v>338</v>
      </c>
      <c r="I1519" s="84" t="s">
        <v>1191</v>
      </c>
      <c r="J1519" s="84">
        <v>4</v>
      </c>
      <c r="L1519" s="84">
        <v>0</v>
      </c>
      <c r="M1519" s="85">
        <v>43740</v>
      </c>
      <c r="N1519" s="85" t="s">
        <v>265</v>
      </c>
      <c r="O1519" s="86" t="s">
        <v>340</v>
      </c>
      <c r="P1519" s="84" t="s">
        <v>272</v>
      </c>
      <c r="Q1519" s="86" t="s">
        <v>107</v>
      </c>
      <c r="R1519" s="86" t="s">
        <v>3867</v>
      </c>
      <c r="S1519" s="87" t="s">
        <v>562</v>
      </c>
      <c r="T1519" s="87" t="s">
        <v>3868</v>
      </c>
      <c r="U1519" s="88">
        <v>0</v>
      </c>
      <c r="V1519" s="88">
        <v>0</v>
      </c>
      <c r="W1519" s="88">
        <v>0</v>
      </c>
      <c r="X1519" s="88">
        <v>0</v>
      </c>
      <c r="Y1519" s="88">
        <v>0</v>
      </c>
      <c r="Z1519" s="88">
        <v>0</v>
      </c>
      <c r="AA1519" s="85">
        <v>43709</v>
      </c>
      <c r="AB1519" s="85">
        <v>43738</v>
      </c>
      <c r="AD1519" s="84">
        <v>0</v>
      </c>
      <c r="AG1519" s="84">
        <v>0</v>
      </c>
      <c r="AJ1519" s="84">
        <v>0</v>
      </c>
      <c r="AN1519" s="84" t="s">
        <v>338</v>
      </c>
      <c r="BA1519" s="84" t="s">
        <v>286</v>
      </c>
      <c r="BB1519" s="88">
        <v>211852</v>
      </c>
      <c r="BC1519" s="88">
        <v>228800.16</v>
      </c>
      <c r="BD1519" s="84" t="s">
        <v>3431</v>
      </c>
      <c r="BG1519" s="88">
        <v>0</v>
      </c>
      <c r="BK1519" s="88">
        <v>0</v>
      </c>
      <c r="BS1519" s="88">
        <v>0</v>
      </c>
      <c r="BV1519" s="89">
        <v>0</v>
      </c>
      <c r="BW1519" s="89">
        <v>228800.16</v>
      </c>
      <c r="BX1519" s="89">
        <v>43740</v>
      </c>
      <c r="BY1519" s="89">
        <v>-228800.16</v>
      </c>
      <c r="BZ1519" s="112" t="s">
        <v>338</v>
      </c>
    </row>
    <row r="1520" spans="1:89" x14ac:dyDescent="0.15">
      <c r="A1520" s="84">
        <v>2</v>
      </c>
      <c r="C1520" s="85" t="s">
        <v>338</v>
      </c>
      <c r="F1520" s="85" t="s">
        <v>338</v>
      </c>
      <c r="H1520" s="85" t="s">
        <v>338</v>
      </c>
      <c r="J1520" s="84">
        <v>4</v>
      </c>
      <c r="L1520" s="84">
        <v>0</v>
      </c>
      <c r="M1520" s="85">
        <v>43741</v>
      </c>
      <c r="N1520" s="85" t="s">
        <v>345</v>
      </c>
      <c r="O1520" s="86" t="s">
        <v>343</v>
      </c>
      <c r="P1520" s="84" t="s">
        <v>530</v>
      </c>
      <c r="Q1520" s="86" t="s">
        <v>344</v>
      </c>
      <c r="R1520" s="86" t="s">
        <v>3872</v>
      </c>
      <c r="S1520" s="87" t="s">
        <v>3873</v>
      </c>
      <c r="T1520" s="87" t="s">
        <v>3874</v>
      </c>
      <c r="U1520" s="88">
        <v>0</v>
      </c>
      <c r="V1520" s="88">
        <v>0</v>
      </c>
      <c r="W1520" s="88">
        <v>0</v>
      </c>
      <c r="X1520" s="88">
        <v>0</v>
      </c>
      <c r="Y1520" s="88">
        <v>0</v>
      </c>
      <c r="Z1520" s="88">
        <v>0</v>
      </c>
      <c r="AA1520" s="85">
        <v>43738</v>
      </c>
      <c r="AB1520" s="85">
        <v>43738</v>
      </c>
      <c r="AD1520" s="84">
        <v>0</v>
      </c>
      <c r="AG1520" s="84">
        <v>0</v>
      </c>
      <c r="AJ1520" s="84">
        <v>0</v>
      </c>
      <c r="AN1520" s="84" t="s">
        <v>338</v>
      </c>
      <c r="BA1520" s="84" t="s">
        <v>833</v>
      </c>
      <c r="BB1520" s="88">
        <v>20000</v>
      </c>
      <c r="BC1520" s="88">
        <v>21600</v>
      </c>
      <c r="BD1520" s="84" t="s">
        <v>3515</v>
      </c>
      <c r="BG1520" s="88">
        <v>0</v>
      </c>
      <c r="BK1520" s="88">
        <v>0</v>
      </c>
      <c r="BS1520" s="88">
        <v>0</v>
      </c>
      <c r="BV1520" s="89">
        <v>0</v>
      </c>
      <c r="BW1520" s="89">
        <v>21600</v>
      </c>
      <c r="BX1520" s="89">
        <v>43741</v>
      </c>
      <c r="BY1520" s="89">
        <v>-21600</v>
      </c>
      <c r="BZ1520" s="112" t="s">
        <v>338</v>
      </c>
    </row>
    <row r="1521" spans="1:78" x14ac:dyDescent="0.15">
      <c r="A1521" s="84">
        <v>2</v>
      </c>
      <c r="C1521" s="85" t="s">
        <v>338</v>
      </c>
      <c r="F1521" s="85" t="s">
        <v>338</v>
      </c>
      <c r="H1521" s="85" t="s">
        <v>338</v>
      </c>
      <c r="I1521" s="84" t="s">
        <v>1191</v>
      </c>
      <c r="J1521" s="84">
        <v>4</v>
      </c>
      <c r="L1521" s="84">
        <v>0</v>
      </c>
      <c r="M1521" s="85">
        <v>43741</v>
      </c>
      <c r="N1521" s="85" t="s">
        <v>265</v>
      </c>
      <c r="O1521" s="86" t="s">
        <v>340</v>
      </c>
      <c r="P1521" s="84" t="s">
        <v>272</v>
      </c>
      <c r="Q1521" s="86" t="s">
        <v>107</v>
      </c>
      <c r="R1521" s="86" t="s">
        <v>3875</v>
      </c>
      <c r="S1521" s="87" t="s">
        <v>562</v>
      </c>
      <c r="T1521" s="87" t="s">
        <v>3876</v>
      </c>
      <c r="U1521" s="88">
        <v>0</v>
      </c>
      <c r="V1521" s="88">
        <v>0</v>
      </c>
      <c r="W1521" s="88">
        <v>0</v>
      </c>
      <c r="X1521" s="88">
        <v>0</v>
      </c>
      <c r="Y1521" s="88">
        <v>0</v>
      </c>
      <c r="Z1521" s="88">
        <v>0</v>
      </c>
      <c r="AA1521" s="85">
        <v>43709</v>
      </c>
      <c r="AB1521" s="85">
        <v>43738</v>
      </c>
      <c r="AD1521" s="84">
        <v>0</v>
      </c>
      <c r="AG1521" s="84">
        <v>0</v>
      </c>
      <c r="AJ1521" s="84">
        <v>0</v>
      </c>
      <c r="AN1521" s="84" t="s">
        <v>338</v>
      </c>
      <c r="BA1521" s="84" t="s">
        <v>745</v>
      </c>
      <c r="BB1521" s="88">
        <v>50680</v>
      </c>
      <c r="BC1521" s="88">
        <v>54734.400000000001</v>
      </c>
      <c r="BD1521" s="84" t="s">
        <v>3431</v>
      </c>
      <c r="BG1521" s="88">
        <v>0</v>
      </c>
      <c r="BK1521" s="88">
        <v>0</v>
      </c>
      <c r="BS1521" s="88">
        <v>0</v>
      </c>
      <c r="BV1521" s="89">
        <v>0</v>
      </c>
      <c r="BW1521" s="89">
        <v>54734.400000000001</v>
      </c>
      <c r="BX1521" s="89">
        <v>43741</v>
      </c>
      <c r="BY1521" s="89">
        <v>-54734.400000000001</v>
      </c>
      <c r="BZ1521" s="112" t="s">
        <v>338</v>
      </c>
    </row>
    <row r="1522" spans="1:78" x14ac:dyDescent="0.15">
      <c r="A1522" s="84">
        <v>2</v>
      </c>
      <c r="C1522" s="85" t="s">
        <v>338</v>
      </c>
      <c r="F1522" s="85" t="s">
        <v>338</v>
      </c>
      <c r="H1522" s="85" t="s">
        <v>338</v>
      </c>
      <c r="J1522" s="84">
        <v>4</v>
      </c>
      <c r="L1522" s="84">
        <v>0</v>
      </c>
      <c r="M1522" s="85">
        <v>43748</v>
      </c>
      <c r="N1522" s="85" t="s">
        <v>265</v>
      </c>
      <c r="O1522" s="86" t="s">
        <v>340</v>
      </c>
      <c r="P1522" s="84" t="s">
        <v>78</v>
      </c>
      <c r="Q1522" s="86" t="s">
        <v>107</v>
      </c>
      <c r="R1522" s="86" t="s">
        <v>3904</v>
      </c>
      <c r="S1522" s="87" t="s">
        <v>562</v>
      </c>
      <c r="T1522" s="87" t="s">
        <v>3908</v>
      </c>
      <c r="U1522" s="88">
        <v>0</v>
      </c>
      <c r="V1522" s="88">
        <v>0</v>
      </c>
      <c r="W1522" s="88">
        <v>0</v>
      </c>
      <c r="X1522" s="88">
        <v>0</v>
      </c>
      <c r="Y1522" s="88">
        <v>0</v>
      </c>
      <c r="Z1522" s="88">
        <v>0</v>
      </c>
      <c r="AA1522" s="85">
        <v>43698</v>
      </c>
      <c r="AB1522" s="85">
        <v>43738</v>
      </c>
      <c r="AD1522" s="84">
        <v>0</v>
      </c>
      <c r="AG1522" s="84">
        <v>0</v>
      </c>
      <c r="AJ1522" s="84">
        <v>0</v>
      </c>
      <c r="AN1522" s="84" t="s">
        <v>338</v>
      </c>
      <c r="BA1522" s="84" t="s">
        <v>289</v>
      </c>
      <c r="BB1522" s="88">
        <v>602465</v>
      </c>
      <c r="BC1522" s="88">
        <v>650662.19999999995</v>
      </c>
      <c r="BD1522" s="84" t="s">
        <v>3431</v>
      </c>
      <c r="BG1522" s="88">
        <v>0</v>
      </c>
      <c r="BK1522" s="88">
        <v>0</v>
      </c>
      <c r="BS1522" s="88">
        <v>0</v>
      </c>
      <c r="BV1522" s="89">
        <v>0</v>
      </c>
      <c r="BW1522" s="89">
        <v>650662.19999999995</v>
      </c>
      <c r="BX1522" s="89">
        <v>43748</v>
      </c>
      <c r="BY1522" s="89">
        <v>-650662.19999999995</v>
      </c>
      <c r="BZ1522" s="112" t="s">
        <v>338</v>
      </c>
    </row>
    <row r="1523" spans="1:78" x14ac:dyDescent="0.15">
      <c r="A1523" s="84">
        <v>1</v>
      </c>
      <c r="C1523" s="85" t="s">
        <v>338</v>
      </c>
      <c r="F1523" s="85" t="s">
        <v>338</v>
      </c>
      <c r="H1523" s="85" t="s">
        <v>338</v>
      </c>
      <c r="J1523" s="84">
        <v>4</v>
      </c>
      <c r="L1523" s="84">
        <v>0</v>
      </c>
      <c r="M1523" s="85">
        <v>43748</v>
      </c>
      <c r="N1523" s="85" t="s">
        <v>265</v>
      </c>
      <c r="O1523" s="86" t="s">
        <v>340</v>
      </c>
      <c r="P1523" s="84" t="s">
        <v>272</v>
      </c>
      <c r="Q1523" s="86" t="s">
        <v>107</v>
      </c>
      <c r="R1523" s="86" t="s">
        <v>3906</v>
      </c>
      <c r="S1523" s="87" t="s">
        <v>562</v>
      </c>
      <c r="T1523" s="87" t="s">
        <v>3907</v>
      </c>
      <c r="U1523" s="88">
        <v>0</v>
      </c>
      <c r="V1523" s="88">
        <v>0</v>
      </c>
      <c r="W1523" s="88">
        <v>0</v>
      </c>
      <c r="X1523" s="88">
        <v>0</v>
      </c>
      <c r="Y1523" s="88">
        <v>0</v>
      </c>
      <c r="Z1523" s="88">
        <v>0</v>
      </c>
      <c r="AA1523" s="85">
        <v>43698</v>
      </c>
      <c r="AB1523" s="85">
        <v>43738</v>
      </c>
      <c r="AD1523" s="84">
        <v>0</v>
      </c>
      <c r="AG1523" s="84">
        <v>0</v>
      </c>
      <c r="AJ1523" s="84">
        <v>0</v>
      </c>
      <c r="AN1523" s="84" t="s">
        <v>338</v>
      </c>
      <c r="BA1523" s="84" t="s">
        <v>14</v>
      </c>
      <c r="BB1523" s="88">
        <v>605890</v>
      </c>
      <c r="BC1523" s="88">
        <v>654361.19999999995</v>
      </c>
      <c r="BD1523" s="84" t="s">
        <v>3431</v>
      </c>
      <c r="BG1523" s="88">
        <v>0</v>
      </c>
      <c r="BK1523" s="88">
        <v>0</v>
      </c>
      <c r="BS1523" s="88">
        <v>0</v>
      </c>
      <c r="BV1523" s="89">
        <v>0</v>
      </c>
      <c r="BW1523" s="89">
        <v>654361.19999999995</v>
      </c>
      <c r="BX1523" s="89">
        <v>43748</v>
      </c>
      <c r="BY1523" s="89">
        <v>-654361.19999999995</v>
      </c>
      <c r="BZ1523" s="112" t="s">
        <v>338</v>
      </c>
    </row>
  </sheetData>
  <autoFilter ref="A5:CK1523">
    <sortState xmlns:xlrd2="http://schemas.microsoft.com/office/spreadsheetml/2017/richdata2" ref="A696:CK1345">
      <sortCondition ref="S5:S1392"/>
    </sortState>
  </autoFilter>
  <mergeCells count="55">
    <mergeCell ref="CD2:CD4"/>
    <mergeCell ref="CJ3:CJ4"/>
    <mergeCell ref="CF3:CF4"/>
    <mergeCell ref="CG3:CG4"/>
    <mergeCell ref="CH3:CH4"/>
    <mergeCell ref="CI3:CI4"/>
    <mergeCell ref="CA2:CC2"/>
    <mergeCell ref="BV2:BZ2"/>
    <mergeCell ref="S3:S4"/>
    <mergeCell ref="AM3:AQ3"/>
    <mergeCell ref="AX3:AX4"/>
    <mergeCell ref="CA3:CC3"/>
    <mergeCell ref="BM3:BS3"/>
    <mergeCell ref="AV3:AV4"/>
    <mergeCell ref="AM4:AN4"/>
    <mergeCell ref="BA3:BD3"/>
    <mergeCell ref="A3:A4"/>
    <mergeCell ref="M3:M4"/>
    <mergeCell ref="O3:R4"/>
    <mergeCell ref="J3:J4"/>
    <mergeCell ref="I3:I4"/>
    <mergeCell ref="G3:H3"/>
    <mergeCell ref="E3:F3"/>
    <mergeCell ref="D3:D4"/>
    <mergeCell ref="K3:L3"/>
    <mergeCell ref="N3:N4"/>
    <mergeCell ref="AW3:AW4"/>
    <mergeCell ref="BA2:BU2"/>
    <mergeCell ref="BU3:BU4"/>
    <mergeCell ref="AM2:AX2"/>
    <mergeCell ref="AR3:AS3"/>
    <mergeCell ref="AT3:AU3"/>
    <mergeCell ref="BT3:BT4"/>
    <mergeCell ref="BI3:BL3"/>
    <mergeCell ref="AY3:AZ3"/>
    <mergeCell ref="T3:T4"/>
    <mergeCell ref="CE3:CE4"/>
    <mergeCell ref="CE2:CJ2"/>
    <mergeCell ref="BZ3:BZ4"/>
    <mergeCell ref="BY3:BY4"/>
    <mergeCell ref="BV3:BV4"/>
    <mergeCell ref="BW3:BW4"/>
    <mergeCell ref="BX3:BX4"/>
    <mergeCell ref="AG3:AI3"/>
    <mergeCell ref="BE3:BH3"/>
    <mergeCell ref="I1:J1"/>
    <mergeCell ref="AJ3:AL3"/>
    <mergeCell ref="W3:X3"/>
    <mergeCell ref="Y3:Z3"/>
    <mergeCell ref="A2:I2"/>
    <mergeCell ref="J2:AL2"/>
    <mergeCell ref="B3:C3"/>
    <mergeCell ref="U3:V3"/>
    <mergeCell ref="AA3:AC3"/>
    <mergeCell ref="AD3:AF3"/>
  </mergeCells>
  <phoneticPr fontId="2"/>
  <dataValidations disablePrompts="1" count="1">
    <dataValidation type="date" allowBlank="1" showInputMessage="1" showErrorMessage="1" sqref="AW1:AX1048576">
      <formula1>36526</formula1>
      <formula2>50771</formula2>
    </dataValidation>
  </dataValidations>
  <pageMargins left="0.74803149606299213" right="0.74803149606299213" top="0.98425196850393704" bottom="0.98425196850393704" header="0.51181102362204722" footer="0.51181102362204722"/>
  <pageSetup paperSize="9" scale="10" orientation="landscape" horizontalDpi="300" verticalDpi="300" r:id="rId1"/>
  <headerFooter alignWithMargins="0"/>
  <colBreaks count="1" manualBreakCount="1">
    <brk id="78" max="1999" man="1"/>
  </colBreaks>
  <drawing r:id="rId2"/>
  <legacyDrawing r:id="rId3"/>
  <controls>
    <mc:AlternateContent xmlns:mc="http://schemas.openxmlformats.org/markup-compatibility/2006">
      <mc:Choice Requires="x14">
        <control shapeId="2401" r:id="rId4" name="cmdFFButton">
          <controlPr defaultSize="0" autoLine="0" r:id="rId5">
            <anchor moveWithCells="1">
              <from>
                <xdr:col>13</xdr:col>
                <xdr:colOff>9525</xdr:colOff>
                <xdr:row>0</xdr:row>
                <xdr:rowOff>19050</xdr:rowOff>
              </from>
              <to>
                <xdr:col>14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2401" r:id="rId4" name="cmdFFButton"/>
      </mc:Fallback>
    </mc:AlternateContent>
    <mc:AlternateContent xmlns:mc="http://schemas.openxmlformats.org/markup-compatibility/2006">
      <mc:Choice Requires="x14">
        <control shapeId="2398" r:id="rId6" name="cmdGoToLatestData">
          <controlPr defaultSize="0" autoLine="0" r:id="rId7">
            <anchor moveWithCells="1">
              <from>
                <xdr:col>5</xdr:col>
                <xdr:colOff>476250</xdr:colOff>
                <xdr:row>0</xdr:row>
                <xdr:rowOff>19050</xdr:rowOff>
              </from>
              <to>
                <xdr:col>7</xdr:col>
                <xdr:colOff>85725</xdr:colOff>
                <xdr:row>0</xdr:row>
                <xdr:rowOff>304800</xdr:rowOff>
              </to>
            </anchor>
          </controlPr>
        </control>
      </mc:Choice>
      <mc:Fallback>
        <control shapeId="2398" r:id="rId6" name="cmdGoToLatestData"/>
      </mc:Fallback>
    </mc:AlternateContent>
    <mc:AlternateContent xmlns:mc="http://schemas.openxmlformats.org/markup-compatibility/2006">
      <mc:Choice Requires="x14">
        <control shapeId="2397" r:id="rId8" name="cmdForTamae">
          <controlPr defaultSize="0" autoLine="0" r:id="rId9">
            <anchor moveWithCells="1">
              <from>
                <xdr:col>4</xdr:col>
                <xdr:colOff>285750</xdr:colOff>
                <xdr:row>0</xdr:row>
                <xdr:rowOff>19050</xdr:rowOff>
              </from>
              <to>
                <xdr:col>5</xdr:col>
                <xdr:colOff>390525</xdr:colOff>
                <xdr:row>0</xdr:row>
                <xdr:rowOff>304800</xdr:rowOff>
              </to>
            </anchor>
          </controlPr>
        </control>
      </mc:Choice>
      <mc:Fallback>
        <control shapeId="2397" r:id="rId8" name="cmdForTamae"/>
      </mc:Fallback>
    </mc:AlternateContent>
    <mc:AlternateContent xmlns:mc="http://schemas.openxmlformats.org/markup-compatibility/2006">
      <mc:Choice Requires="x14">
        <control shapeId="2155" r:id="rId10" name="cmdProgressChecker">
          <controlPr defaultSize="0" autoLine="0" r:id="rId11">
            <anchor moveWithCells="1">
              <from>
                <xdr:col>2</xdr:col>
                <xdr:colOff>28575</xdr:colOff>
                <xdr:row>0</xdr:row>
                <xdr:rowOff>19050</xdr:rowOff>
              </from>
              <to>
                <xdr:col>3</xdr:col>
                <xdr:colOff>209550</xdr:colOff>
                <xdr:row>0</xdr:row>
                <xdr:rowOff>304800</xdr:rowOff>
              </to>
            </anchor>
          </controlPr>
        </control>
      </mc:Choice>
      <mc:Fallback>
        <control shapeId="2155" r:id="rId10" name="cmdProgressChecker"/>
      </mc:Fallback>
    </mc:AlternateContent>
    <mc:AlternateContent xmlns:mc="http://schemas.openxmlformats.org/markup-compatibility/2006">
      <mc:Choice Requires="x14">
        <control shapeId="2154" r:id="rId12" name="cmdSelectDisp">
          <controlPr defaultSize="0" autoLine="0" r:id="rId13">
            <anchor moveWithCells="1">
              <from>
                <xdr:col>0</xdr:col>
                <xdr:colOff>9525</xdr:colOff>
                <xdr:row>0</xdr:row>
                <xdr:rowOff>19050</xdr:rowOff>
              </from>
              <to>
                <xdr:col>1</xdr:col>
                <xdr:colOff>504825</xdr:colOff>
                <xdr:row>1</xdr:row>
                <xdr:rowOff>0</xdr:rowOff>
              </to>
            </anchor>
          </controlPr>
        </control>
      </mc:Choice>
      <mc:Fallback>
        <control shapeId="2154" r:id="rId12" name="cmdSelectDisp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C11"/>
  <sheetViews>
    <sheetView workbookViewId="0">
      <selection activeCell="K17" sqref="K17"/>
    </sheetView>
  </sheetViews>
  <sheetFormatPr defaultRowHeight="13.5" x14ac:dyDescent="0.15"/>
  <sheetData>
    <row r="2" spans="2:3" x14ac:dyDescent="0.15">
      <c r="B2" t="s">
        <v>93</v>
      </c>
    </row>
    <row r="3" spans="2:3" x14ac:dyDescent="0.15">
      <c r="B3" t="s">
        <v>94</v>
      </c>
    </row>
    <row r="4" spans="2:3" x14ac:dyDescent="0.15">
      <c r="C4" t="s">
        <v>207</v>
      </c>
    </row>
    <row r="5" spans="2:3" x14ac:dyDescent="0.15">
      <c r="B5" t="s">
        <v>53</v>
      </c>
    </row>
    <row r="6" spans="2:3" x14ac:dyDescent="0.15">
      <c r="C6" t="s">
        <v>208</v>
      </c>
    </row>
    <row r="8" spans="2:3" x14ac:dyDescent="0.15">
      <c r="B8" t="s">
        <v>293</v>
      </c>
    </row>
    <row r="11" spans="2:3" x14ac:dyDescent="0.15">
      <c r="B11" t="s">
        <v>282</v>
      </c>
    </row>
  </sheetData>
  <sheetProtection sheet="1" objects="1" scenarios="1"/>
  <phoneticPr fontId="2"/>
  <pageMargins left="0.75" right="0.75" top="1" bottom="1" header="0.51200000000000001" footer="0.5120000000000000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Z55"/>
  <sheetViews>
    <sheetView zoomScaleNormal="100" zoomScaleSheetLayoutView="100" workbookViewId="0">
      <selection activeCell="E5" sqref="E5"/>
    </sheetView>
  </sheetViews>
  <sheetFormatPr defaultColWidth="0" defaultRowHeight="18" customHeight="1" zeroHeight="1" x14ac:dyDescent="0.15"/>
  <cols>
    <col min="1" max="19" width="5" style="55" customWidth="1"/>
    <col min="20" max="78" width="5" style="55" hidden="1" customWidth="1"/>
    <col min="79" max="16384" width="5" style="33" hidden="1"/>
  </cols>
  <sheetData>
    <row r="1" spans="1:78" ht="18" customHeight="1" x14ac:dyDescent="0.15">
      <c r="A1" s="272" t="s">
        <v>68</v>
      </c>
      <c r="B1" s="273"/>
      <c r="C1" s="273"/>
      <c r="D1" s="273"/>
      <c r="E1" s="273"/>
      <c r="F1" s="273"/>
      <c r="G1" s="273"/>
      <c r="H1" s="273"/>
      <c r="I1" s="273"/>
      <c r="J1" s="273"/>
      <c r="K1" s="273"/>
      <c r="L1" s="273"/>
      <c r="M1" s="273"/>
      <c r="N1" s="273"/>
      <c r="O1" s="273"/>
      <c r="P1" s="273"/>
      <c r="Q1" s="273"/>
      <c r="R1" s="273"/>
      <c r="S1" s="274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3"/>
      <c r="BO1" s="33"/>
      <c r="BP1" s="33"/>
      <c r="BQ1" s="33"/>
      <c r="BR1" s="33"/>
      <c r="BS1" s="33"/>
      <c r="BT1" s="33"/>
      <c r="BU1" s="33"/>
      <c r="BV1" s="33"/>
      <c r="BW1" s="33"/>
      <c r="BX1" s="33"/>
      <c r="BY1" s="33"/>
      <c r="BZ1" s="33"/>
    </row>
    <row r="2" spans="1:78" ht="18" customHeight="1" x14ac:dyDescent="0.15">
      <c r="A2" s="59" t="s">
        <v>41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1" t="s">
        <v>113</v>
      </c>
      <c r="N2" s="60"/>
      <c r="O2" s="60"/>
      <c r="P2" s="60"/>
      <c r="Q2" s="60"/>
      <c r="R2" s="60"/>
      <c r="S2" s="62"/>
    </row>
    <row r="3" spans="1:78" ht="18" customHeight="1" x14ac:dyDescent="0.15">
      <c r="A3" s="63"/>
      <c r="B3" s="64"/>
      <c r="C3" s="64"/>
      <c r="D3" s="79">
        <v>14</v>
      </c>
      <c r="E3" s="64"/>
      <c r="F3" s="64"/>
      <c r="G3" s="64"/>
      <c r="H3" s="64"/>
      <c r="I3" s="64"/>
      <c r="J3" s="64"/>
      <c r="K3" s="64"/>
      <c r="L3" s="64"/>
      <c r="M3" s="268" t="s">
        <v>105</v>
      </c>
      <c r="N3" s="268"/>
      <c r="O3" s="268" t="s">
        <v>62</v>
      </c>
      <c r="P3" s="268"/>
      <c r="Q3" s="64"/>
      <c r="R3" s="63"/>
      <c r="S3" s="62"/>
    </row>
    <row r="4" spans="1:78" ht="18" customHeight="1" x14ac:dyDescent="0.15">
      <c r="A4" s="63"/>
      <c r="B4" s="268" t="s">
        <v>156</v>
      </c>
      <c r="C4" s="268"/>
      <c r="D4" s="261">
        <v>13</v>
      </c>
      <c r="E4" s="261"/>
      <c r="F4" s="261"/>
      <c r="G4" s="63" t="s">
        <v>147</v>
      </c>
      <c r="H4" s="79">
        <v>12</v>
      </c>
      <c r="I4" s="261">
        <v>11</v>
      </c>
      <c r="J4" s="261"/>
      <c r="K4" s="261"/>
      <c r="L4" s="63"/>
      <c r="M4" s="63" t="s">
        <v>7</v>
      </c>
      <c r="N4" s="79">
        <v>30</v>
      </c>
      <c r="O4" s="63" t="s">
        <v>148</v>
      </c>
      <c r="P4" s="79">
        <v>33</v>
      </c>
      <c r="Q4" s="63"/>
      <c r="R4" s="63"/>
      <c r="S4" s="62"/>
    </row>
    <row r="5" spans="1:78" ht="18" customHeight="1" x14ac:dyDescent="0.15">
      <c r="A5" s="63"/>
      <c r="B5" s="268" t="s">
        <v>108</v>
      </c>
      <c r="C5" s="268"/>
      <c r="D5" s="79">
        <v>15</v>
      </c>
      <c r="E5" s="79">
        <v>16</v>
      </c>
      <c r="F5" s="79">
        <v>17</v>
      </c>
      <c r="G5" s="261">
        <v>18</v>
      </c>
      <c r="H5" s="261"/>
      <c r="I5" s="63"/>
      <c r="J5" s="63"/>
      <c r="K5" s="63"/>
      <c r="L5" s="63"/>
      <c r="M5" s="63" t="s">
        <v>181</v>
      </c>
      <c r="N5" s="79">
        <v>31</v>
      </c>
      <c r="O5" s="63" t="s">
        <v>91</v>
      </c>
      <c r="P5" s="79">
        <v>34</v>
      </c>
      <c r="Q5" s="63"/>
      <c r="R5" s="63"/>
      <c r="S5" s="62"/>
    </row>
    <row r="6" spans="1:78" ht="18" customHeight="1" x14ac:dyDescent="0.15">
      <c r="A6" s="63"/>
      <c r="B6" s="267" t="s">
        <v>49</v>
      </c>
      <c r="C6" s="267"/>
      <c r="D6" s="261">
        <v>19</v>
      </c>
      <c r="E6" s="261"/>
      <c r="F6" s="261"/>
      <c r="G6" s="261"/>
      <c r="H6" s="261"/>
      <c r="I6" s="261"/>
      <c r="J6" s="261"/>
      <c r="K6" s="261"/>
      <c r="L6" s="63"/>
      <c r="M6" s="63" t="s">
        <v>153</v>
      </c>
      <c r="N6" s="79">
        <v>32</v>
      </c>
      <c r="O6" s="63" t="s">
        <v>11</v>
      </c>
      <c r="P6" s="79">
        <v>35</v>
      </c>
      <c r="Q6" s="63"/>
      <c r="R6" s="63"/>
      <c r="S6" s="62"/>
    </row>
    <row r="7" spans="1:78" ht="18" customHeight="1" x14ac:dyDescent="0.15">
      <c r="A7" s="63"/>
      <c r="B7" s="268" t="s">
        <v>42</v>
      </c>
      <c r="C7" s="268"/>
      <c r="D7" s="261">
        <v>20</v>
      </c>
      <c r="E7" s="261"/>
      <c r="F7" s="261"/>
      <c r="G7" s="261"/>
      <c r="H7" s="261"/>
      <c r="I7" s="261"/>
      <c r="J7" s="261"/>
      <c r="K7" s="261"/>
      <c r="L7" s="63"/>
      <c r="M7" s="61" t="s">
        <v>183</v>
      </c>
      <c r="N7" s="63"/>
      <c r="O7" s="63"/>
      <c r="P7" s="63"/>
      <c r="Q7" s="63"/>
      <c r="R7" s="63"/>
      <c r="S7" s="62"/>
    </row>
    <row r="8" spans="1:78" ht="18" customHeight="1" x14ac:dyDescent="0.15">
      <c r="A8" s="63"/>
      <c r="B8" s="268" t="s">
        <v>43</v>
      </c>
      <c r="C8" s="268"/>
      <c r="D8" s="63" t="s">
        <v>63</v>
      </c>
      <c r="E8" s="261">
        <v>27</v>
      </c>
      <c r="F8" s="261"/>
      <c r="G8" s="261"/>
      <c r="H8" s="63" t="s">
        <v>64</v>
      </c>
      <c r="I8" s="261">
        <v>28</v>
      </c>
      <c r="J8" s="261"/>
      <c r="K8" s="261"/>
      <c r="L8" s="63"/>
      <c r="M8" s="63" t="s">
        <v>194</v>
      </c>
      <c r="N8" s="79">
        <v>36</v>
      </c>
      <c r="O8" s="63"/>
      <c r="P8" s="63"/>
      <c r="Q8" s="63"/>
      <c r="R8" s="63"/>
      <c r="S8" s="62"/>
    </row>
    <row r="9" spans="1:78" ht="18" customHeight="1" x14ac:dyDescent="0.15">
      <c r="A9" s="63"/>
      <c r="B9" s="268" t="s">
        <v>195</v>
      </c>
      <c r="C9" s="268"/>
      <c r="D9" s="261">
        <v>29</v>
      </c>
      <c r="E9" s="261"/>
      <c r="F9" s="261"/>
      <c r="G9" s="261"/>
      <c r="H9" s="63"/>
      <c r="I9" s="63"/>
      <c r="J9" s="63"/>
      <c r="K9" s="63"/>
      <c r="L9" s="63"/>
      <c r="M9" s="63" t="s">
        <v>12</v>
      </c>
      <c r="N9" s="79">
        <v>37</v>
      </c>
      <c r="O9" s="63"/>
      <c r="P9" s="136"/>
      <c r="Q9" s="63"/>
      <c r="R9" s="63"/>
      <c r="S9" s="62"/>
    </row>
    <row r="10" spans="1:78" ht="18" customHeight="1" x14ac:dyDescent="0.15">
      <c r="A10" s="63"/>
      <c r="B10" s="63"/>
      <c r="C10" s="63"/>
      <c r="D10" s="63"/>
      <c r="E10" s="63"/>
      <c r="F10" s="63"/>
      <c r="G10" s="63"/>
      <c r="H10" s="63"/>
      <c r="I10" s="63"/>
      <c r="J10" s="63"/>
      <c r="K10" s="63"/>
      <c r="L10" s="63"/>
      <c r="M10" s="63" t="s">
        <v>88</v>
      </c>
      <c r="N10" s="79">
        <v>38</v>
      </c>
      <c r="O10" s="63"/>
      <c r="P10" s="63"/>
      <c r="Q10" s="63"/>
      <c r="R10" s="63"/>
      <c r="S10" s="62"/>
    </row>
    <row r="11" spans="1:78" ht="18" customHeight="1" x14ac:dyDescent="0.15">
      <c r="A11" s="63"/>
      <c r="B11" s="67" t="s">
        <v>184</v>
      </c>
      <c r="C11" s="67"/>
      <c r="D11" s="67"/>
      <c r="E11" s="79">
        <v>10</v>
      </c>
      <c r="F11" s="64"/>
      <c r="G11" s="262" t="s">
        <v>180</v>
      </c>
      <c r="H11" s="262"/>
      <c r="I11" s="262"/>
      <c r="J11" s="262"/>
      <c r="K11" s="262"/>
      <c r="L11" s="64"/>
      <c r="M11" s="262" t="s">
        <v>130</v>
      </c>
      <c r="N11" s="262"/>
      <c r="O11" s="262"/>
      <c r="P11" s="262"/>
      <c r="Q11" s="262"/>
      <c r="R11" s="63"/>
      <c r="S11" s="71" t="s">
        <v>280</v>
      </c>
      <c r="T11" s="56"/>
      <c r="U11" s="57"/>
      <c r="V11" s="57"/>
      <c r="W11" s="57"/>
      <c r="X11" s="58"/>
      <c r="Y11" s="57"/>
      <c r="Z11" s="57"/>
      <c r="AA11" s="57"/>
      <c r="AB11" s="58"/>
      <c r="AC11" s="57"/>
      <c r="AD11" s="57"/>
      <c r="AE11" s="57"/>
    </row>
    <row r="12" spans="1:78" ht="18" customHeight="1" x14ac:dyDescent="0.15">
      <c r="A12" s="63"/>
      <c r="B12" s="69"/>
      <c r="C12" s="263" t="s">
        <v>166</v>
      </c>
      <c r="D12" s="263"/>
      <c r="E12" s="263"/>
      <c r="F12" s="64"/>
      <c r="G12" s="268" t="s">
        <v>169</v>
      </c>
      <c r="H12" s="268"/>
      <c r="I12" s="261">
        <v>21</v>
      </c>
      <c r="J12" s="261"/>
      <c r="K12" s="261"/>
      <c r="L12" s="63"/>
      <c r="M12" s="268" t="s">
        <v>169</v>
      </c>
      <c r="N12" s="268"/>
      <c r="O12" s="261">
        <v>23</v>
      </c>
      <c r="P12" s="261"/>
      <c r="Q12" s="261"/>
      <c r="R12" s="261">
        <v>89</v>
      </c>
      <c r="S12" s="261"/>
    </row>
    <row r="13" spans="1:78" ht="18" customHeight="1" x14ac:dyDescent="0.15">
      <c r="A13" s="63"/>
      <c r="B13" s="70"/>
      <c r="C13" s="263" t="s">
        <v>141</v>
      </c>
      <c r="D13" s="263"/>
      <c r="E13" s="263"/>
      <c r="F13" s="64"/>
      <c r="G13" s="267" t="s">
        <v>21</v>
      </c>
      <c r="H13" s="267"/>
      <c r="I13" s="261">
        <v>22</v>
      </c>
      <c r="J13" s="261"/>
      <c r="K13" s="261"/>
      <c r="L13" s="63"/>
      <c r="M13" s="267" t="s">
        <v>21</v>
      </c>
      <c r="N13" s="267"/>
      <c r="O13" s="261">
        <v>24</v>
      </c>
      <c r="P13" s="261"/>
      <c r="Q13" s="261"/>
      <c r="R13" s="63"/>
      <c r="S13" s="62"/>
    </row>
    <row r="14" spans="1:78" ht="18" customHeight="1" x14ac:dyDescent="0.15">
      <c r="A14" s="63"/>
      <c r="B14" s="70"/>
      <c r="C14" s="278" t="s">
        <v>172</v>
      </c>
      <c r="D14" s="278"/>
      <c r="E14" s="278"/>
      <c r="F14" s="71"/>
      <c r="G14" s="262" t="s">
        <v>260</v>
      </c>
      <c r="H14" s="262"/>
      <c r="I14" s="262"/>
      <c r="J14" s="262"/>
      <c r="K14" s="262"/>
      <c r="L14" s="63"/>
      <c r="M14" s="262" t="s">
        <v>211</v>
      </c>
      <c r="N14" s="262"/>
      <c r="O14" s="262"/>
      <c r="P14" s="262"/>
      <c r="Q14" s="262"/>
      <c r="R14" s="63"/>
      <c r="S14" s="62"/>
    </row>
    <row r="15" spans="1:78" ht="18" customHeight="1" x14ac:dyDescent="0.15">
      <c r="A15" s="63"/>
      <c r="B15" s="94"/>
      <c r="C15" s="275" t="s">
        <v>57</v>
      </c>
      <c r="D15" s="276"/>
      <c r="E15" s="277"/>
      <c r="F15" s="95"/>
      <c r="G15" s="268" t="s">
        <v>263</v>
      </c>
      <c r="H15" s="268"/>
      <c r="I15" s="261">
        <v>51</v>
      </c>
      <c r="J15" s="261"/>
      <c r="K15" s="261"/>
      <c r="L15" s="63"/>
      <c r="M15" s="268" t="s">
        <v>169</v>
      </c>
      <c r="N15" s="268"/>
      <c r="O15" s="261">
        <v>25</v>
      </c>
      <c r="P15" s="261"/>
      <c r="Q15" s="261"/>
      <c r="R15" s="63"/>
      <c r="S15" s="62"/>
    </row>
    <row r="16" spans="1:78" ht="18" customHeight="1" x14ac:dyDescent="0.15">
      <c r="A16" s="63"/>
      <c r="B16" s="66"/>
      <c r="C16" s="96"/>
      <c r="D16" s="96"/>
      <c r="E16" s="96"/>
      <c r="F16" s="93"/>
      <c r="G16" s="267" t="s">
        <v>21</v>
      </c>
      <c r="H16" s="267"/>
      <c r="I16" s="261"/>
      <c r="J16" s="261"/>
      <c r="K16" s="261"/>
      <c r="L16" s="63"/>
      <c r="M16" s="267" t="s">
        <v>21</v>
      </c>
      <c r="N16" s="268"/>
      <c r="O16" s="261">
        <v>26</v>
      </c>
      <c r="P16" s="261"/>
      <c r="Q16" s="261"/>
      <c r="R16" s="63"/>
      <c r="S16" s="62"/>
    </row>
    <row r="17" spans="1:19" ht="18" customHeight="1" x14ac:dyDescent="0.15">
      <c r="A17" s="63"/>
      <c r="B17" s="63"/>
      <c r="C17" s="63"/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2"/>
    </row>
    <row r="18" spans="1:19" ht="18" customHeight="1" x14ac:dyDescent="0.15">
      <c r="A18" s="63"/>
      <c r="B18" s="66" t="s">
        <v>56</v>
      </c>
      <c r="C18" s="279">
        <v>82</v>
      </c>
      <c r="D18" s="280"/>
      <c r="E18" s="280"/>
      <c r="F18" s="280"/>
      <c r="G18" s="280"/>
      <c r="H18" s="280"/>
      <c r="I18" s="280"/>
      <c r="J18" s="280"/>
      <c r="K18" s="280"/>
      <c r="L18" s="280"/>
      <c r="M18" s="280"/>
      <c r="N18" s="280"/>
      <c r="O18" s="280"/>
      <c r="P18" s="280"/>
      <c r="Q18" s="281"/>
      <c r="R18" s="63"/>
      <c r="S18" s="62"/>
    </row>
    <row r="19" spans="1:19" ht="18" customHeight="1" x14ac:dyDescent="0.15">
      <c r="A19" s="268"/>
      <c r="B19" s="268"/>
      <c r="C19" s="268"/>
      <c r="D19" s="268"/>
      <c r="E19" s="268"/>
      <c r="F19" s="268"/>
      <c r="G19" s="268"/>
      <c r="H19" s="268"/>
      <c r="I19" s="268"/>
      <c r="J19" s="268"/>
      <c r="K19" s="268"/>
      <c r="L19" s="268"/>
      <c r="M19" s="268"/>
      <c r="N19" s="268"/>
      <c r="O19" s="268"/>
      <c r="P19" s="268"/>
      <c r="Q19" s="268"/>
      <c r="R19" s="268"/>
      <c r="S19" s="62"/>
    </row>
    <row r="20" spans="1:19" ht="18" customHeight="1" x14ac:dyDescent="0.15">
      <c r="A20" s="72" t="s">
        <v>145</v>
      </c>
      <c r="B20" s="73"/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62"/>
    </row>
    <row r="21" spans="1:19" ht="18" customHeight="1" x14ac:dyDescent="0.15">
      <c r="A21" s="63"/>
      <c r="B21" s="64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3"/>
      <c r="S21" s="62"/>
    </row>
    <row r="22" spans="1:19" ht="18" customHeight="1" x14ac:dyDescent="0.15">
      <c r="A22" s="63"/>
      <c r="B22" s="268" t="s">
        <v>34</v>
      </c>
      <c r="C22" s="268"/>
      <c r="D22" s="261">
        <v>39</v>
      </c>
      <c r="E22" s="261"/>
      <c r="F22" s="261">
        <v>40</v>
      </c>
      <c r="G22" s="261"/>
      <c r="H22" s="63"/>
      <c r="I22" s="63"/>
      <c r="J22" s="63"/>
      <c r="K22" s="268" t="s">
        <v>79</v>
      </c>
      <c r="L22" s="268"/>
      <c r="M22" s="268" t="s">
        <v>75</v>
      </c>
      <c r="N22" s="268"/>
      <c r="O22" s="261">
        <v>44</v>
      </c>
      <c r="P22" s="261"/>
      <c r="Q22" s="63"/>
      <c r="R22" s="63"/>
      <c r="S22" s="62"/>
    </row>
    <row r="23" spans="1:19" ht="18" customHeight="1" x14ac:dyDescent="0.15">
      <c r="A23" s="63"/>
      <c r="B23" s="268" t="s">
        <v>84</v>
      </c>
      <c r="C23" s="268"/>
      <c r="D23" s="261">
        <v>41</v>
      </c>
      <c r="E23" s="261"/>
      <c r="F23" s="63"/>
      <c r="G23" s="63"/>
      <c r="H23" s="63"/>
      <c r="I23" s="63"/>
      <c r="J23" s="63"/>
      <c r="K23" s="268"/>
      <c r="L23" s="268"/>
      <c r="M23" s="268" t="s">
        <v>61</v>
      </c>
      <c r="N23" s="268"/>
      <c r="O23" s="261">
        <v>45</v>
      </c>
      <c r="P23" s="261"/>
      <c r="Q23" s="63"/>
      <c r="R23" s="63"/>
      <c r="S23" s="62"/>
    </row>
    <row r="24" spans="1:19" ht="18" customHeight="1" x14ac:dyDescent="0.15">
      <c r="A24" s="63"/>
      <c r="B24" s="268" t="s">
        <v>96</v>
      </c>
      <c r="C24" s="268"/>
      <c r="D24" s="261">
        <v>42</v>
      </c>
      <c r="E24" s="261"/>
      <c r="F24" s="268" t="s">
        <v>152</v>
      </c>
      <c r="G24" s="268"/>
      <c r="H24" s="261">
        <v>43</v>
      </c>
      <c r="I24" s="261"/>
      <c r="J24" s="63"/>
      <c r="K24" s="268" t="s">
        <v>87</v>
      </c>
      <c r="L24" s="268"/>
      <c r="M24" s="268" t="s">
        <v>129</v>
      </c>
      <c r="N24" s="268"/>
      <c r="O24" s="261">
        <v>46</v>
      </c>
      <c r="P24" s="261"/>
      <c r="Q24" s="63"/>
      <c r="R24" s="63"/>
      <c r="S24" s="62"/>
    </row>
    <row r="25" spans="1:19" ht="18" customHeight="1" x14ac:dyDescent="0.15">
      <c r="A25" s="63"/>
      <c r="B25" s="63"/>
      <c r="C25" s="63"/>
      <c r="D25" s="71"/>
      <c r="E25" s="71"/>
      <c r="F25" s="71"/>
      <c r="G25" s="63"/>
      <c r="H25" s="63"/>
      <c r="I25" s="63"/>
      <c r="J25" s="63"/>
      <c r="K25" s="268"/>
      <c r="L25" s="268"/>
      <c r="M25" s="268" t="s">
        <v>61</v>
      </c>
      <c r="N25" s="268"/>
      <c r="O25" s="261">
        <v>47</v>
      </c>
      <c r="P25" s="261"/>
      <c r="Q25" s="63"/>
      <c r="R25" s="63"/>
      <c r="S25" s="62"/>
    </row>
    <row r="26" spans="1:19" ht="18" customHeight="1" x14ac:dyDescent="0.15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268" t="s">
        <v>86</v>
      </c>
      <c r="L26" s="268"/>
      <c r="M26" s="268"/>
      <c r="N26" s="268"/>
      <c r="O26" s="261">
        <v>48</v>
      </c>
      <c r="P26" s="261"/>
      <c r="Q26" s="63"/>
      <c r="R26" s="63"/>
      <c r="S26" s="62"/>
    </row>
    <row r="27" spans="1:19" ht="18" customHeight="1" x14ac:dyDescent="0.15">
      <c r="A27" s="268"/>
      <c r="B27" s="268"/>
      <c r="C27" s="268"/>
      <c r="D27" s="268"/>
      <c r="E27" s="268"/>
      <c r="F27" s="268"/>
      <c r="G27" s="268"/>
      <c r="H27" s="268"/>
      <c r="I27" s="268"/>
      <c r="J27" s="268"/>
      <c r="K27" s="268"/>
      <c r="L27" s="268"/>
      <c r="M27" s="268"/>
      <c r="N27" s="268"/>
      <c r="O27" s="268"/>
      <c r="P27" s="268"/>
      <c r="Q27" s="268"/>
      <c r="R27" s="268"/>
      <c r="S27" s="62"/>
    </row>
    <row r="28" spans="1:19" ht="18" customHeight="1" x14ac:dyDescent="0.15">
      <c r="A28" s="74" t="s">
        <v>70</v>
      </c>
      <c r="B28" s="64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64"/>
      <c r="S28" s="62"/>
    </row>
    <row r="29" spans="1:19" ht="18" customHeight="1" x14ac:dyDescent="0.15">
      <c r="A29" s="63"/>
      <c r="B29" s="67" t="s">
        <v>114</v>
      </c>
      <c r="C29" s="67"/>
      <c r="D29" s="67"/>
      <c r="E29" s="67"/>
      <c r="F29" s="67"/>
      <c r="G29" s="67"/>
      <c r="H29" s="67" t="s">
        <v>73</v>
      </c>
      <c r="I29" s="67"/>
      <c r="J29" s="67"/>
      <c r="K29" s="67"/>
      <c r="L29" s="67"/>
      <c r="M29" s="67"/>
      <c r="N29" s="101" t="s">
        <v>15</v>
      </c>
      <c r="O29" s="101"/>
      <c r="P29" s="67"/>
      <c r="Q29" s="67"/>
      <c r="R29" s="63"/>
      <c r="S29" s="62"/>
    </row>
    <row r="30" spans="1:19" ht="18" customHeight="1" x14ac:dyDescent="0.15">
      <c r="A30" s="63"/>
      <c r="B30" s="268" t="s">
        <v>10</v>
      </c>
      <c r="C30" s="268"/>
      <c r="D30" s="269">
        <v>53</v>
      </c>
      <c r="E30" s="269"/>
      <c r="F30" s="269"/>
      <c r="G30" s="63"/>
      <c r="H30" s="268" t="s">
        <v>13</v>
      </c>
      <c r="I30" s="268"/>
      <c r="J30" s="261">
        <v>65</v>
      </c>
      <c r="K30" s="261"/>
      <c r="L30" s="261"/>
      <c r="M30" s="100"/>
      <c r="N30" s="270" t="s">
        <v>82</v>
      </c>
      <c r="O30" s="271"/>
      <c r="P30" s="265">
        <v>72</v>
      </c>
      <c r="Q30" s="261"/>
      <c r="R30" s="63"/>
      <c r="S30" s="62"/>
    </row>
    <row r="31" spans="1:19" ht="18" customHeight="1" x14ac:dyDescent="0.15">
      <c r="A31" s="63"/>
      <c r="B31" s="268" t="s">
        <v>200</v>
      </c>
      <c r="C31" s="268"/>
      <c r="D31" s="261">
        <v>54</v>
      </c>
      <c r="E31" s="261"/>
      <c r="F31" s="261"/>
      <c r="G31" s="63"/>
      <c r="H31" s="268" t="s">
        <v>215</v>
      </c>
      <c r="I31" s="268"/>
      <c r="J31" s="261">
        <v>66</v>
      </c>
      <c r="K31" s="261"/>
      <c r="L31" s="261"/>
      <c r="M31" s="100"/>
      <c r="N31" s="270" t="s">
        <v>103</v>
      </c>
      <c r="O31" s="271"/>
      <c r="P31" s="265">
        <v>73</v>
      </c>
      <c r="Q31" s="261"/>
      <c r="R31" s="63"/>
      <c r="S31" s="62"/>
    </row>
    <row r="32" spans="1:19" ht="18" customHeight="1" x14ac:dyDescent="0.15">
      <c r="A32" s="63"/>
      <c r="B32" s="267" t="s">
        <v>21</v>
      </c>
      <c r="C32" s="267"/>
      <c r="D32" s="261">
        <v>55</v>
      </c>
      <c r="E32" s="261"/>
      <c r="F32" s="261"/>
      <c r="G32" s="63"/>
      <c r="H32" s="268" t="s">
        <v>111</v>
      </c>
      <c r="I32" s="268"/>
      <c r="J32" s="261">
        <v>67</v>
      </c>
      <c r="K32" s="261"/>
      <c r="L32" s="261"/>
      <c r="M32" s="63"/>
      <c r="N32" s="102"/>
      <c r="O32" s="102"/>
      <c r="P32" s="63"/>
      <c r="Q32" s="63"/>
      <c r="R32" s="63"/>
      <c r="S32" s="62"/>
    </row>
    <row r="33" spans="1:19" ht="18" customHeight="1" x14ac:dyDescent="0.15">
      <c r="A33" s="63"/>
      <c r="B33" s="267" t="s">
        <v>47</v>
      </c>
      <c r="C33" s="267"/>
      <c r="D33" s="261">
        <v>56</v>
      </c>
      <c r="E33" s="261"/>
      <c r="F33" s="71"/>
      <c r="G33" s="63"/>
      <c r="H33" s="268" t="s">
        <v>193</v>
      </c>
      <c r="I33" s="268"/>
      <c r="J33" s="261">
        <v>68</v>
      </c>
      <c r="K33" s="261"/>
      <c r="L33" s="261"/>
      <c r="M33" s="75" t="s">
        <v>71</v>
      </c>
      <c r="N33" s="261">
        <v>79</v>
      </c>
      <c r="O33" s="261"/>
      <c r="P33" s="261"/>
      <c r="Q33" s="261"/>
      <c r="R33" s="63"/>
      <c r="S33" s="62"/>
    </row>
    <row r="34" spans="1:19" ht="18" customHeight="1" x14ac:dyDescent="0.15">
      <c r="A34" s="63"/>
      <c r="B34" s="268" t="s">
        <v>66</v>
      </c>
      <c r="C34" s="268"/>
      <c r="D34" s="269">
        <v>57</v>
      </c>
      <c r="E34" s="269"/>
      <c r="F34" s="269"/>
      <c r="G34" s="63"/>
      <c r="H34" s="268" t="s">
        <v>67</v>
      </c>
      <c r="I34" s="268"/>
      <c r="J34" s="261">
        <v>69</v>
      </c>
      <c r="K34" s="261"/>
      <c r="L34" s="261"/>
      <c r="M34" s="75" t="s">
        <v>133</v>
      </c>
      <c r="N34" s="261">
        <v>80</v>
      </c>
      <c r="O34" s="261"/>
      <c r="P34" s="261"/>
      <c r="Q34" s="261"/>
      <c r="R34" s="63"/>
      <c r="S34" s="62"/>
    </row>
    <row r="35" spans="1:19" ht="18" customHeight="1" x14ac:dyDescent="0.15">
      <c r="A35" s="63"/>
      <c r="B35" s="268" t="s">
        <v>200</v>
      </c>
      <c r="C35" s="268"/>
      <c r="D35" s="261">
        <v>58</v>
      </c>
      <c r="E35" s="261"/>
      <c r="F35" s="261"/>
      <c r="G35" s="63"/>
      <c r="H35" s="268" t="s">
        <v>131</v>
      </c>
      <c r="I35" s="268"/>
      <c r="J35" s="261">
        <v>60</v>
      </c>
      <c r="K35" s="261"/>
      <c r="L35" s="261"/>
      <c r="M35" s="75" t="s">
        <v>162</v>
      </c>
      <c r="N35" s="261">
        <v>81</v>
      </c>
      <c r="O35" s="261"/>
      <c r="P35" s="261"/>
      <c r="Q35" s="261"/>
      <c r="R35" s="63"/>
      <c r="S35" s="62"/>
    </row>
    <row r="36" spans="1:19" ht="18" customHeight="1" x14ac:dyDescent="0.15">
      <c r="A36" s="63"/>
      <c r="B36" s="267" t="s">
        <v>21</v>
      </c>
      <c r="C36" s="267"/>
      <c r="D36" s="261">
        <v>59</v>
      </c>
      <c r="E36" s="261"/>
      <c r="F36" s="261"/>
      <c r="G36" s="63"/>
      <c r="H36" s="268" t="s">
        <v>27</v>
      </c>
      <c r="I36" s="268"/>
      <c r="J36" s="261">
        <v>71</v>
      </c>
      <c r="K36" s="261"/>
      <c r="L36" s="261"/>
      <c r="M36" s="63"/>
      <c r="N36" s="63"/>
      <c r="O36" s="63"/>
      <c r="P36" s="63"/>
      <c r="Q36" s="63"/>
      <c r="R36" s="63"/>
      <c r="S36" s="62"/>
    </row>
    <row r="37" spans="1:19" ht="18" customHeight="1" x14ac:dyDescent="0.15">
      <c r="A37" s="63"/>
      <c r="B37" s="267" t="s">
        <v>47</v>
      </c>
      <c r="C37" s="267"/>
      <c r="D37" s="261">
        <v>60</v>
      </c>
      <c r="E37" s="261"/>
      <c r="F37" s="71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2"/>
    </row>
    <row r="38" spans="1:19" ht="18" customHeight="1" x14ac:dyDescent="0.15">
      <c r="A38" s="63"/>
      <c r="B38" s="268" t="s">
        <v>110</v>
      </c>
      <c r="C38" s="268"/>
      <c r="D38" s="269">
        <v>61</v>
      </c>
      <c r="E38" s="269"/>
      <c r="F38" s="269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2"/>
    </row>
    <row r="39" spans="1:19" ht="18" customHeight="1" x14ac:dyDescent="0.15">
      <c r="A39" s="63"/>
      <c r="B39" s="268" t="s">
        <v>200</v>
      </c>
      <c r="C39" s="268"/>
      <c r="D39" s="261">
        <v>62</v>
      </c>
      <c r="E39" s="261"/>
      <c r="F39" s="261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2"/>
    </row>
    <row r="40" spans="1:19" ht="18" customHeight="1" x14ac:dyDescent="0.15">
      <c r="A40" s="63"/>
      <c r="B40" s="267" t="s">
        <v>21</v>
      </c>
      <c r="C40" s="267"/>
      <c r="D40" s="261">
        <v>63</v>
      </c>
      <c r="E40" s="261"/>
      <c r="F40" s="261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2"/>
    </row>
    <row r="41" spans="1:19" ht="18" customHeight="1" x14ac:dyDescent="0.15">
      <c r="A41" s="63"/>
      <c r="B41" s="267" t="s">
        <v>47</v>
      </c>
      <c r="C41" s="267"/>
      <c r="D41" s="261">
        <v>64</v>
      </c>
      <c r="E41" s="261"/>
      <c r="F41" s="71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2"/>
    </row>
    <row r="42" spans="1:19" ht="18" customHeight="1" x14ac:dyDescent="0.15">
      <c r="A42" s="63"/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2"/>
    </row>
    <row r="43" spans="1:19" ht="14.25" x14ac:dyDescent="0.15">
      <c r="A43" s="76" t="s">
        <v>0</v>
      </c>
      <c r="B43" s="64"/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76" t="s">
        <v>36</v>
      </c>
      <c r="P43" s="262"/>
      <c r="Q43" s="262"/>
      <c r="R43" s="262"/>
      <c r="S43" s="62"/>
    </row>
    <row r="44" spans="1:19" ht="18" customHeight="1" x14ac:dyDescent="0.15">
      <c r="A44" s="63"/>
      <c r="B44" s="64"/>
      <c r="C44" s="64"/>
      <c r="D44" s="64"/>
      <c r="E44" s="64"/>
      <c r="F44" s="64"/>
      <c r="G44" s="64"/>
      <c r="H44" s="64"/>
      <c r="I44" s="64"/>
      <c r="J44" s="64"/>
      <c r="K44" s="64"/>
      <c r="L44" s="266" t="s">
        <v>4</v>
      </c>
      <c r="M44" s="266"/>
      <c r="N44" s="62"/>
      <c r="O44" s="64"/>
      <c r="P44" s="67"/>
      <c r="Q44" s="79">
        <v>1</v>
      </c>
      <c r="R44" s="63"/>
      <c r="S44" s="62"/>
    </row>
    <row r="45" spans="1:19" ht="18" customHeight="1" x14ac:dyDescent="0.15">
      <c r="A45" s="63"/>
      <c r="B45" s="268" t="s">
        <v>142</v>
      </c>
      <c r="C45" s="268"/>
      <c r="D45" s="261">
        <v>9</v>
      </c>
      <c r="E45" s="261"/>
      <c r="F45" s="266" t="s">
        <v>119</v>
      </c>
      <c r="G45" s="266"/>
      <c r="H45" s="268" t="s">
        <v>18</v>
      </c>
      <c r="I45" s="268"/>
      <c r="J45" s="264">
        <v>2</v>
      </c>
      <c r="K45" s="265"/>
      <c r="L45" s="261">
        <v>3</v>
      </c>
      <c r="M45" s="261"/>
      <c r="N45" s="62"/>
      <c r="O45" s="63"/>
      <c r="P45" s="65"/>
      <c r="Q45" s="263" t="s">
        <v>124</v>
      </c>
      <c r="R45" s="263"/>
      <c r="S45" s="62"/>
    </row>
    <row r="46" spans="1:19" ht="18" customHeight="1" x14ac:dyDescent="0.15">
      <c r="A46" s="63"/>
      <c r="B46" s="268" t="s">
        <v>210</v>
      </c>
      <c r="C46" s="268"/>
      <c r="D46" s="261">
        <v>7</v>
      </c>
      <c r="E46" s="261"/>
      <c r="F46" s="261">
        <v>8</v>
      </c>
      <c r="G46" s="261"/>
      <c r="H46" s="268" t="s">
        <v>99</v>
      </c>
      <c r="I46" s="268"/>
      <c r="J46" s="261">
        <v>49</v>
      </c>
      <c r="K46" s="261"/>
      <c r="L46" s="63"/>
      <c r="M46" s="63"/>
      <c r="N46" s="62"/>
      <c r="O46" s="63"/>
      <c r="P46" s="65"/>
      <c r="Q46" s="263" t="s">
        <v>51</v>
      </c>
      <c r="R46" s="263"/>
      <c r="S46" s="62"/>
    </row>
    <row r="47" spans="1:19" ht="18" customHeight="1" x14ac:dyDescent="0.15">
      <c r="A47" s="63"/>
      <c r="B47" s="268" t="s">
        <v>54</v>
      </c>
      <c r="C47" s="268"/>
      <c r="D47" s="261">
        <v>5</v>
      </c>
      <c r="E47" s="261"/>
      <c r="F47" s="264">
        <v>6</v>
      </c>
      <c r="G47" s="265"/>
      <c r="H47" s="268" t="s">
        <v>149</v>
      </c>
      <c r="I47" s="268"/>
      <c r="J47" s="261">
        <v>50</v>
      </c>
      <c r="K47" s="261"/>
      <c r="L47" s="63"/>
      <c r="M47" s="63"/>
      <c r="N47" s="62"/>
      <c r="O47" s="63"/>
      <c r="P47" s="65"/>
      <c r="Q47" s="263" t="s">
        <v>52</v>
      </c>
      <c r="R47" s="263"/>
      <c r="S47" s="62"/>
    </row>
    <row r="48" spans="1:19" ht="18" customHeight="1" x14ac:dyDescent="0.15">
      <c r="A48" s="63"/>
      <c r="B48" s="171" t="s">
        <v>22</v>
      </c>
      <c r="C48" s="171"/>
      <c r="D48" s="261">
        <v>4</v>
      </c>
      <c r="E48" s="261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4"/>
      <c r="R48" s="63"/>
      <c r="S48" s="62"/>
    </row>
    <row r="49" spans="1:19" ht="18" customHeight="1" x14ac:dyDescent="0.15">
      <c r="A49" s="63"/>
      <c r="B49" s="63"/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4"/>
      <c r="R49" s="63"/>
      <c r="S49" s="62"/>
    </row>
    <row r="50" spans="1:19" ht="18" customHeight="1" x14ac:dyDescent="0.15">
      <c r="A50" s="77" t="s">
        <v>76</v>
      </c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  <c r="O50" s="62"/>
      <c r="P50" s="62"/>
      <c r="Q50" s="62"/>
      <c r="R50" s="62"/>
      <c r="S50" s="62"/>
    </row>
    <row r="51" spans="1:19" ht="18" customHeight="1" x14ac:dyDescent="0.15">
      <c r="A51" s="62"/>
      <c r="B51" s="62"/>
      <c r="C51" s="62"/>
      <c r="D51" s="62"/>
      <c r="E51" s="62"/>
      <c r="F51" s="62"/>
      <c r="G51" s="62"/>
      <c r="H51" s="62"/>
      <c r="I51" s="62"/>
      <c r="J51" s="62"/>
      <c r="K51" s="62"/>
      <c r="L51" s="62"/>
      <c r="M51" s="62"/>
      <c r="N51" s="62"/>
      <c r="O51" s="62"/>
      <c r="P51" s="62"/>
      <c r="Q51" s="62"/>
      <c r="R51" s="62"/>
      <c r="S51" s="62"/>
    </row>
    <row r="52" spans="1:19" ht="18" customHeight="1" x14ac:dyDescent="0.15">
      <c r="A52" s="62"/>
      <c r="B52" s="268" t="s">
        <v>19</v>
      </c>
      <c r="C52" s="268"/>
      <c r="D52" s="261">
        <v>74</v>
      </c>
      <c r="E52" s="261"/>
      <c r="F52" s="261"/>
      <c r="G52" s="62"/>
      <c r="H52" s="268" t="s">
        <v>178</v>
      </c>
      <c r="I52" s="268"/>
      <c r="J52" s="261">
        <v>75</v>
      </c>
      <c r="K52" s="261"/>
      <c r="L52" s="261"/>
      <c r="M52" s="62"/>
      <c r="N52" s="268" t="s">
        <v>25</v>
      </c>
      <c r="O52" s="268"/>
      <c r="P52" s="261">
        <v>77</v>
      </c>
      <c r="Q52" s="261"/>
      <c r="R52" s="261"/>
      <c r="S52" s="62"/>
    </row>
    <row r="53" spans="1:19" ht="18" customHeight="1" x14ac:dyDescent="0.15">
      <c r="A53" s="62"/>
      <c r="B53" s="62"/>
      <c r="C53" s="62"/>
      <c r="D53" s="62"/>
      <c r="E53" s="62"/>
      <c r="F53" s="62"/>
      <c r="G53" s="62"/>
      <c r="H53" s="268" t="s">
        <v>179</v>
      </c>
      <c r="I53" s="268"/>
      <c r="J53" s="261">
        <v>76</v>
      </c>
      <c r="K53" s="261"/>
      <c r="L53" s="261"/>
      <c r="M53" s="62"/>
      <c r="N53" s="268" t="s">
        <v>48</v>
      </c>
      <c r="O53" s="268"/>
      <c r="P53" s="261">
        <v>78</v>
      </c>
      <c r="Q53" s="261"/>
      <c r="R53" s="261"/>
      <c r="S53" s="62"/>
    </row>
    <row r="54" spans="1:19" ht="18" customHeight="1" x14ac:dyDescent="0.15">
      <c r="A54" s="62"/>
      <c r="B54" s="62"/>
      <c r="C54" s="62"/>
      <c r="D54" s="62"/>
      <c r="E54" s="62"/>
      <c r="F54" s="62"/>
      <c r="G54" s="62"/>
      <c r="H54" s="63"/>
      <c r="I54" s="63"/>
      <c r="J54" s="63"/>
      <c r="K54" s="63"/>
      <c r="L54" s="63"/>
      <c r="M54" s="62"/>
      <c r="N54" s="62"/>
      <c r="O54" s="62"/>
      <c r="P54" s="62"/>
      <c r="Q54" s="62"/>
      <c r="R54" s="62"/>
      <c r="S54" s="62"/>
    </row>
    <row r="55" spans="1:19" ht="18" customHeight="1" x14ac:dyDescent="0.15"/>
  </sheetData>
  <sheetProtection sheet="1"/>
  <dataConsolidate/>
  <mergeCells count="146">
    <mergeCell ref="R12:S12"/>
    <mergeCell ref="D22:E22"/>
    <mergeCell ref="G15:H15"/>
    <mergeCell ref="I15:K15"/>
    <mergeCell ref="I8:K8"/>
    <mergeCell ref="G12:H12"/>
    <mergeCell ref="K22:L22"/>
    <mergeCell ref="M11:Q11"/>
    <mergeCell ref="I12:K12"/>
    <mergeCell ref="G11:K11"/>
    <mergeCell ref="F22:G22"/>
    <mergeCell ref="B9:C9"/>
    <mergeCell ref="B8:C8"/>
    <mergeCell ref="E8:G8"/>
    <mergeCell ref="M12:N12"/>
    <mergeCell ref="M13:N13"/>
    <mergeCell ref="B31:C31"/>
    <mergeCell ref="D24:E24"/>
    <mergeCell ref="B24:C24"/>
    <mergeCell ref="B23:C23"/>
    <mergeCell ref="B30:C30"/>
    <mergeCell ref="D23:E23"/>
    <mergeCell ref="N30:O30"/>
    <mergeCell ref="K24:L24"/>
    <mergeCell ref="G14:K14"/>
    <mergeCell ref="B7:C7"/>
    <mergeCell ref="F24:G24"/>
    <mergeCell ref="H24:I24"/>
    <mergeCell ref="M22:N22"/>
    <mergeCell ref="M14:Q14"/>
    <mergeCell ref="C18:Q18"/>
    <mergeCell ref="G13:H13"/>
    <mergeCell ref="D7:K7"/>
    <mergeCell ref="D9:G9"/>
    <mergeCell ref="C12:E12"/>
    <mergeCell ref="B22:C22"/>
    <mergeCell ref="A19:R19"/>
    <mergeCell ref="O15:Q15"/>
    <mergeCell ref="M16:N16"/>
    <mergeCell ref="O22:P22"/>
    <mergeCell ref="O12:Q12"/>
    <mergeCell ref="I13:K13"/>
    <mergeCell ref="D32:F32"/>
    <mergeCell ref="D30:F30"/>
    <mergeCell ref="A27:R27"/>
    <mergeCell ref="D31:F31"/>
    <mergeCell ref="O25:P25"/>
    <mergeCell ref="O23:P23"/>
    <mergeCell ref="J30:L30"/>
    <mergeCell ref="M23:N23"/>
    <mergeCell ref="K23:L23"/>
    <mergeCell ref="M25:N25"/>
    <mergeCell ref="O16:Q16"/>
    <mergeCell ref="C15:E15"/>
    <mergeCell ref="C13:E13"/>
    <mergeCell ref="M15:N15"/>
    <mergeCell ref="O13:Q13"/>
    <mergeCell ref="C14:E14"/>
    <mergeCell ref="A1:S1"/>
    <mergeCell ref="M3:N3"/>
    <mergeCell ref="B4:C4"/>
    <mergeCell ref="B6:C6"/>
    <mergeCell ref="D4:F4"/>
    <mergeCell ref="I4:K4"/>
    <mergeCell ref="O3:P3"/>
    <mergeCell ref="B5:C5"/>
    <mergeCell ref="G5:H5"/>
    <mergeCell ref="D6:K6"/>
    <mergeCell ref="N33:Q33"/>
    <mergeCell ref="N31:O31"/>
    <mergeCell ref="M24:N24"/>
    <mergeCell ref="O24:P24"/>
    <mergeCell ref="K26:N26"/>
    <mergeCell ref="J31:L31"/>
    <mergeCell ref="P30:Q30"/>
    <mergeCell ref="O26:P26"/>
    <mergeCell ref="P31:Q31"/>
    <mergeCell ref="K25:L25"/>
    <mergeCell ref="B35:C35"/>
    <mergeCell ref="D35:F35"/>
    <mergeCell ref="H34:I34"/>
    <mergeCell ref="J34:L34"/>
    <mergeCell ref="H30:I30"/>
    <mergeCell ref="N34:Q34"/>
    <mergeCell ref="B32:C32"/>
    <mergeCell ref="J32:L32"/>
    <mergeCell ref="H31:I31"/>
    <mergeCell ref="H32:I32"/>
    <mergeCell ref="B34:C34"/>
    <mergeCell ref="D34:F34"/>
    <mergeCell ref="J33:L33"/>
    <mergeCell ref="D33:E33"/>
    <mergeCell ref="H33:I33"/>
    <mergeCell ref="B33:C33"/>
    <mergeCell ref="B45:C45"/>
    <mergeCell ref="B41:C41"/>
    <mergeCell ref="B39:C39"/>
    <mergeCell ref="B40:C40"/>
    <mergeCell ref="D41:E41"/>
    <mergeCell ref="D45:E45"/>
    <mergeCell ref="D40:F40"/>
    <mergeCell ref="B36:C36"/>
    <mergeCell ref="D39:F39"/>
    <mergeCell ref="D36:F36"/>
    <mergeCell ref="B38:C38"/>
    <mergeCell ref="D38:F38"/>
    <mergeCell ref="B37:C37"/>
    <mergeCell ref="D37:E37"/>
    <mergeCell ref="P53:R53"/>
    <mergeCell ref="J53:L53"/>
    <mergeCell ref="J52:L52"/>
    <mergeCell ref="D52:F52"/>
    <mergeCell ref="H53:I53"/>
    <mergeCell ref="P52:R52"/>
    <mergeCell ref="B52:C52"/>
    <mergeCell ref="N53:O53"/>
    <mergeCell ref="H52:I52"/>
    <mergeCell ref="N52:O52"/>
    <mergeCell ref="B48:C48"/>
    <mergeCell ref="D48:E48"/>
    <mergeCell ref="B47:C47"/>
    <mergeCell ref="B46:C46"/>
    <mergeCell ref="D47:E47"/>
    <mergeCell ref="F47:G47"/>
    <mergeCell ref="F46:G46"/>
    <mergeCell ref="H45:I45"/>
    <mergeCell ref="H47:I47"/>
    <mergeCell ref="D46:E46"/>
    <mergeCell ref="H46:I46"/>
    <mergeCell ref="F45:G45"/>
    <mergeCell ref="J47:K47"/>
    <mergeCell ref="L45:M45"/>
    <mergeCell ref="J45:K45"/>
    <mergeCell ref="L44:M44"/>
    <mergeCell ref="Q47:R47"/>
    <mergeCell ref="G16:H16"/>
    <mergeCell ref="I16:K16"/>
    <mergeCell ref="H36:I36"/>
    <mergeCell ref="H35:I35"/>
    <mergeCell ref="Q45:R45"/>
    <mergeCell ref="J46:K46"/>
    <mergeCell ref="J35:L35"/>
    <mergeCell ref="J36:L36"/>
    <mergeCell ref="P43:R43"/>
    <mergeCell ref="N35:Q35"/>
    <mergeCell ref="Q46:R46"/>
  </mergeCells>
  <phoneticPr fontId="2"/>
  <pageMargins left="0.59055118110236227" right="0.19685039370078741" top="0.59055118110236227" bottom="0.39370078740157483" header="0.19685039370078741" footer="0.19685039370078741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Option Button 1">
              <controlPr defaultSize="0" autoFill="0" autoLine="0" autoPict="0">
                <anchor moveWithCells="1">
                  <from>
                    <xdr:col>15</xdr:col>
                    <xdr:colOff>85725</xdr:colOff>
                    <xdr:row>43</xdr:row>
                    <xdr:rowOff>209550</xdr:rowOff>
                  </from>
                  <to>
                    <xdr:col>16</xdr:col>
                    <xdr:colOff>9525</xdr:colOff>
                    <xdr:row>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5" name="Option Button 12">
              <controlPr defaultSize="0" autoFill="0" autoLine="0" autoPict="0">
                <anchor moveWithCells="1">
                  <from>
                    <xdr:col>15</xdr:col>
                    <xdr:colOff>85725</xdr:colOff>
                    <xdr:row>44</xdr:row>
                    <xdr:rowOff>209550</xdr:rowOff>
                  </from>
                  <to>
                    <xdr:col>16</xdr:col>
                    <xdr:colOff>9525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Option Button 13">
              <controlPr defaultSize="0" autoFill="0" autoLine="0" autoPict="0">
                <anchor moveWithCells="1">
                  <from>
                    <xdr:col>15</xdr:col>
                    <xdr:colOff>85725</xdr:colOff>
                    <xdr:row>45</xdr:row>
                    <xdr:rowOff>209550</xdr:rowOff>
                  </from>
                  <to>
                    <xdr:col>16</xdr:col>
                    <xdr:colOff>9525</xdr:colOff>
                    <xdr:row>47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Z55"/>
  <sheetViews>
    <sheetView zoomScaleNormal="100" zoomScaleSheetLayoutView="100" workbookViewId="0">
      <selection activeCell="E5" sqref="E5"/>
    </sheetView>
  </sheetViews>
  <sheetFormatPr defaultColWidth="0" defaultRowHeight="18" customHeight="1" zeroHeight="1" x14ac:dyDescent="0.15"/>
  <cols>
    <col min="1" max="19" width="5" style="55" customWidth="1"/>
    <col min="20" max="78" width="5" style="55" hidden="1" customWidth="1"/>
    <col min="79" max="16384" width="5" style="33" hidden="1"/>
  </cols>
  <sheetData>
    <row r="1" spans="1:78" ht="18" customHeight="1" x14ac:dyDescent="0.15">
      <c r="A1" s="272" t="s">
        <v>68</v>
      </c>
      <c r="B1" s="273"/>
      <c r="C1" s="273"/>
      <c r="D1" s="273"/>
      <c r="E1" s="273"/>
      <c r="F1" s="273"/>
      <c r="G1" s="273"/>
      <c r="H1" s="273"/>
      <c r="I1" s="273"/>
      <c r="J1" s="273"/>
      <c r="K1" s="273"/>
      <c r="L1" s="273"/>
      <c r="M1" s="273"/>
      <c r="N1" s="273"/>
      <c r="O1" s="273"/>
      <c r="P1" s="273"/>
      <c r="Q1" s="273"/>
      <c r="R1" s="273"/>
      <c r="S1" s="274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3"/>
      <c r="BO1" s="33"/>
      <c r="BP1" s="33"/>
      <c r="BQ1" s="33"/>
      <c r="BR1" s="33"/>
      <c r="BS1" s="33"/>
      <c r="BT1" s="33"/>
      <c r="BU1" s="33"/>
      <c r="BV1" s="33"/>
      <c r="BW1" s="33"/>
      <c r="BX1" s="33"/>
      <c r="BY1" s="33"/>
      <c r="BZ1" s="33"/>
    </row>
    <row r="2" spans="1:78" ht="18" customHeight="1" x14ac:dyDescent="0.15">
      <c r="A2" s="59" t="s">
        <v>41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1" t="s">
        <v>113</v>
      </c>
      <c r="N2" s="60"/>
      <c r="O2" s="60"/>
      <c r="P2" s="60"/>
      <c r="Q2" s="60"/>
      <c r="R2" s="60"/>
      <c r="S2" s="62"/>
    </row>
    <row r="3" spans="1:78" ht="18" customHeight="1" x14ac:dyDescent="0.15">
      <c r="A3" s="63"/>
      <c r="B3" s="64"/>
      <c r="C3" s="64"/>
      <c r="D3" s="79">
        <v>14</v>
      </c>
      <c r="E3" s="64"/>
      <c r="F3" s="64"/>
      <c r="G3" s="64"/>
      <c r="H3" s="64"/>
      <c r="I3" s="64"/>
      <c r="J3" s="64"/>
      <c r="K3" s="64"/>
      <c r="L3" s="64"/>
      <c r="M3" s="268" t="s">
        <v>105</v>
      </c>
      <c r="N3" s="268"/>
      <c r="O3" s="268" t="s">
        <v>62</v>
      </c>
      <c r="P3" s="268"/>
      <c r="Q3" s="64"/>
      <c r="R3" s="63"/>
      <c r="S3" s="62"/>
    </row>
    <row r="4" spans="1:78" ht="18" customHeight="1" x14ac:dyDescent="0.15">
      <c r="A4" s="63"/>
      <c r="B4" s="268" t="s">
        <v>156</v>
      </c>
      <c r="C4" s="268"/>
      <c r="D4" s="261">
        <v>13</v>
      </c>
      <c r="E4" s="261"/>
      <c r="F4" s="261"/>
      <c r="G4" s="63" t="s">
        <v>147</v>
      </c>
      <c r="H4" s="79">
        <v>12</v>
      </c>
      <c r="I4" s="261">
        <v>11</v>
      </c>
      <c r="J4" s="261"/>
      <c r="K4" s="261"/>
      <c r="L4" s="63"/>
      <c r="M4" s="63" t="s">
        <v>89</v>
      </c>
      <c r="N4" s="82">
        <v>30</v>
      </c>
      <c r="O4" s="63" t="s">
        <v>148</v>
      </c>
      <c r="P4" s="82">
        <v>32</v>
      </c>
      <c r="Q4" s="63"/>
      <c r="R4" s="63"/>
      <c r="S4" s="62"/>
    </row>
    <row r="5" spans="1:78" ht="18" customHeight="1" x14ac:dyDescent="0.15">
      <c r="A5" s="63"/>
      <c r="B5" s="268" t="s">
        <v>108</v>
      </c>
      <c r="C5" s="268"/>
      <c r="D5" s="79">
        <v>15</v>
      </c>
      <c r="E5" s="79">
        <v>16</v>
      </c>
      <c r="F5" s="79">
        <v>17</v>
      </c>
      <c r="G5" s="261">
        <v>18</v>
      </c>
      <c r="H5" s="261"/>
      <c r="I5" s="63"/>
      <c r="J5" s="63"/>
      <c r="K5" s="63"/>
      <c r="L5" s="63"/>
      <c r="M5" s="63" t="s">
        <v>181</v>
      </c>
      <c r="N5" s="79">
        <v>31</v>
      </c>
      <c r="O5" s="63" t="s">
        <v>91</v>
      </c>
      <c r="P5" s="79">
        <v>34</v>
      </c>
      <c r="Q5" s="63"/>
      <c r="R5" s="63"/>
      <c r="S5" s="62"/>
    </row>
    <row r="6" spans="1:78" ht="18" customHeight="1" x14ac:dyDescent="0.15">
      <c r="A6" s="63"/>
      <c r="B6" s="267" t="s">
        <v>49</v>
      </c>
      <c r="C6" s="267"/>
      <c r="D6" s="261">
        <v>19</v>
      </c>
      <c r="E6" s="261"/>
      <c r="F6" s="261"/>
      <c r="G6" s="261"/>
      <c r="H6" s="261"/>
      <c r="I6" s="261"/>
      <c r="J6" s="261"/>
      <c r="K6" s="261"/>
      <c r="L6" s="63"/>
      <c r="M6" s="63" t="s">
        <v>153</v>
      </c>
      <c r="N6" s="79">
        <v>32</v>
      </c>
      <c r="O6" s="63" t="s">
        <v>11</v>
      </c>
      <c r="P6" s="79">
        <v>35</v>
      </c>
      <c r="Q6" s="63"/>
      <c r="R6" s="63"/>
      <c r="S6" s="62"/>
    </row>
    <row r="7" spans="1:78" ht="18" customHeight="1" x14ac:dyDescent="0.15">
      <c r="A7" s="63"/>
      <c r="B7" s="268" t="s">
        <v>42</v>
      </c>
      <c r="C7" s="268"/>
      <c r="D7" s="261">
        <v>20</v>
      </c>
      <c r="E7" s="261"/>
      <c r="F7" s="261"/>
      <c r="G7" s="261"/>
      <c r="H7" s="261"/>
      <c r="I7" s="261"/>
      <c r="J7" s="261"/>
      <c r="K7" s="261"/>
      <c r="L7" s="63"/>
      <c r="M7" s="61" t="s">
        <v>183</v>
      </c>
      <c r="N7" s="63"/>
      <c r="O7" s="63"/>
      <c r="P7" s="63"/>
      <c r="Q7" s="63"/>
      <c r="R7" s="63"/>
      <c r="S7" s="62"/>
    </row>
    <row r="8" spans="1:78" ht="18" customHeight="1" x14ac:dyDescent="0.15">
      <c r="A8" s="63"/>
      <c r="B8" s="268" t="s">
        <v>43</v>
      </c>
      <c r="C8" s="268"/>
      <c r="D8" s="63" t="s">
        <v>63</v>
      </c>
      <c r="E8" s="261">
        <v>27</v>
      </c>
      <c r="F8" s="261"/>
      <c r="G8" s="261"/>
      <c r="H8" s="63" t="s">
        <v>64</v>
      </c>
      <c r="I8" s="261">
        <v>28</v>
      </c>
      <c r="J8" s="261"/>
      <c r="K8" s="261"/>
      <c r="L8" s="63"/>
      <c r="M8" s="63" t="s">
        <v>194</v>
      </c>
      <c r="N8" s="82">
        <v>36</v>
      </c>
      <c r="O8" s="63"/>
      <c r="P8" s="63"/>
      <c r="Q8" s="63"/>
      <c r="R8" s="63"/>
      <c r="S8" s="62"/>
    </row>
    <row r="9" spans="1:78" ht="18" customHeight="1" x14ac:dyDescent="0.15">
      <c r="A9" s="63"/>
      <c r="B9" s="268" t="s">
        <v>195</v>
      </c>
      <c r="C9" s="268"/>
      <c r="D9" s="261">
        <v>29</v>
      </c>
      <c r="E9" s="261"/>
      <c r="F9" s="261"/>
      <c r="G9" s="261"/>
      <c r="H9" s="63"/>
      <c r="I9" s="63"/>
      <c r="J9" s="63"/>
      <c r="K9" s="63"/>
      <c r="L9" s="63"/>
      <c r="M9" s="63" t="s">
        <v>12</v>
      </c>
      <c r="N9" s="79">
        <v>37</v>
      </c>
      <c r="O9" s="63"/>
      <c r="P9" s="136"/>
      <c r="Q9" s="63"/>
      <c r="R9" s="63"/>
      <c r="S9" s="62"/>
    </row>
    <row r="10" spans="1:78" ht="18" customHeight="1" x14ac:dyDescent="0.15">
      <c r="A10" s="63"/>
      <c r="B10" s="63"/>
      <c r="C10" s="63"/>
      <c r="D10" s="63"/>
      <c r="E10" s="63"/>
      <c r="F10" s="63"/>
      <c r="G10" s="63"/>
      <c r="H10" s="63"/>
      <c r="I10" s="63"/>
      <c r="J10" s="63"/>
      <c r="K10" s="63"/>
      <c r="L10" s="63"/>
      <c r="M10" s="63" t="s">
        <v>88</v>
      </c>
      <c r="N10" s="79">
        <v>38</v>
      </c>
      <c r="O10" s="63"/>
      <c r="P10" s="63"/>
      <c r="Q10" s="63"/>
      <c r="R10" s="63"/>
      <c r="S10" s="62"/>
    </row>
    <row r="11" spans="1:78" ht="18" customHeight="1" x14ac:dyDescent="0.15">
      <c r="A11" s="63"/>
      <c r="B11" s="67" t="s">
        <v>184</v>
      </c>
      <c r="C11" s="67"/>
      <c r="D11" s="67"/>
      <c r="E11" s="79">
        <v>10</v>
      </c>
      <c r="F11" s="64"/>
      <c r="G11" s="262" t="s">
        <v>180</v>
      </c>
      <c r="H11" s="262"/>
      <c r="I11" s="262"/>
      <c r="J11" s="262"/>
      <c r="K11" s="262"/>
      <c r="L11" s="64"/>
      <c r="M11" s="262" t="s">
        <v>130</v>
      </c>
      <c r="N11" s="262"/>
      <c r="O11" s="262"/>
      <c r="P11" s="262"/>
      <c r="Q11" s="262"/>
      <c r="R11" s="63"/>
      <c r="S11" s="71" t="s">
        <v>280</v>
      </c>
      <c r="T11" s="56"/>
      <c r="U11" s="57"/>
      <c r="V11" s="57"/>
      <c r="W11" s="57"/>
      <c r="X11" s="58"/>
      <c r="Y11" s="57"/>
      <c r="Z11" s="57"/>
      <c r="AA11" s="57"/>
      <c r="AB11" s="58"/>
      <c r="AC11" s="57"/>
      <c r="AD11" s="57"/>
      <c r="AE11" s="57"/>
    </row>
    <row r="12" spans="1:78" ht="18" customHeight="1" x14ac:dyDescent="0.15">
      <c r="A12" s="63"/>
      <c r="B12" s="69"/>
      <c r="C12" s="263" t="s">
        <v>166</v>
      </c>
      <c r="D12" s="263"/>
      <c r="E12" s="263"/>
      <c r="F12" s="64"/>
      <c r="G12" s="268" t="s">
        <v>169</v>
      </c>
      <c r="H12" s="268"/>
      <c r="I12" s="261">
        <v>21</v>
      </c>
      <c r="J12" s="261"/>
      <c r="K12" s="261"/>
      <c r="L12" s="63"/>
      <c r="M12" s="268" t="s">
        <v>169</v>
      </c>
      <c r="N12" s="268"/>
      <c r="O12" s="261">
        <v>23</v>
      </c>
      <c r="P12" s="261"/>
      <c r="Q12" s="261"/>
      <c r="R12" s="261">
        <v>89</v>
      </c>
      <c r="S12" s="261"/>
    </row>
    <row r="13" spans="1:78" ht="18" customHeight="1" x14ac:dyDescent="0.15">
      <c r="A13" s="63"/>
      <c r="B13" s="70"/>
      <c r="C13" s="263" t="s">
        <v>141</v>
      </c>
      <c r="D13" s="263"/>
      <c r="E13" s="263"/>
      <c r="F13" s="64"/>
      <c r="G13" s="267" t="s">
        <v>21</v>
      </c>
      <c r="H13" s="267"/>
      <c r="I13" s="282">
        <v>22</v>
      </c>
      <c r="J13" s="282"/>
      <c r="K13" s="282"/>
      <c r="L13" s="63"/>
      <c r="M13" s="267" t="s">
        <v>21</v>
      </c>
      <c r="N13" s="267"/>
      <c r="O13" s="282">
        <v>24</v>
      </c>
      <c r="P13" s="282"/>
      <c r="Q13" s="282"/>
      <c r="R13" s="63"/>
      <c r="S13" s="62"/>
    </row>
    <row r="14" spans="1:78" ht="18" customHeight="1" x14ac:dyDescent="0.15">
      <c r="A14" s="63"/>
      <c r="B14" s="70"/>
      <c r="C14" s="263" t="s">
        <v>172</v>
      </c>
      <c r="D14" s="263"/>
      <c r="E14" s="263"/>
      <c r="F14" s="71"/>
      <c r="G14" s="262" t="s">
        <v>260</v>
      </c>
      <c r="H14" s="262"/>
      <c r="I14" s="262"/>
      <c r="J14" s="262"/>
      <c r="K14" s="262"/>
      <c r="L14" s="63"/>
      <c r="M14" s="262" t="s">
        <v>211</v>
      </c>
      <c r="N14" s="262"/>
      <c r="O14" s="262"/>
      <c r="P14" s="262"/>
      <c r="Q14" s="262"/>
      <c r="R14" s="63"/>
      <c r="S14" s="62"/>
    </row>
    <row r="15" spans="1:78" ht="18" customHeight="1" x14ac:dyDescent="0.15">
      <c r="A15" s="63"/>
      <c r="B15" s="94"/>
      <c r="C15" s="275" t="s">
        <v>57</v>
      </c>
      <c r="D15" s="276"/>
      <c r="E15" s="277"/>
      <c r="F15" s="71"/>
      <c r="G15" s="268" t="s">
        <v>263</v>
      </c>
      <c r="H15" s="268"/>
      <c r="I15" s="261">
        <v>51</v>
      </c>
      <c r="J15" s="261"/>
      <c r="K15" s="261"/>
      <c r="L15" s="63"/>
      <c r="M15" s="268" t="s">
        <v>169</v>
      </c>
      <c r="N15" s="268"/>
      <c r="O15" s="261">
        <v>25</v>
      </c>
      <c r="P15" s="261"/>
      <c r="Q15" s="261"/>
      <c r="R15" s="63"/>
      <c r="S15" s="62"/>
    </row>
    <row r="16" spans="1:78" ht="18" customHeight="1" x14ac:dyDescent="0.15">
      <c r="A16" s="63"/>
      <c r="B16" s="66"/>
      <c r="C16" s="93"/>
      <c r="D16" s="93"/>
      <c r="E16" s="93"/>
      <c r="F16" s="93"/>
      <c r="G16" s="267" t="s">
        <v>21</v>
      </c>
      <c r="H16" s="267"/>
      <c r="I16" s="282">
        <v>52</v>
      </c>
      <c r="J16" s="282"/>
      <c r="K16" s="282"/>
      <c r="L16" s="63"/>
      <c r="M16" s="66" t="s">
        <v>21</v>
      </c>
      <c r="N16" s="63"/>
      <c r="O16" s="82">
        <v>26</v>
      </c>
      <c r="P16" s="82"/>
      <c r="Q16" s="82"/>
      <c r="R16" s="63"/>
      <c r="S16" s="62"/>
    </row>
    <row r="17" spans="1:19" ht="18" customHeight="1" x14ac:dyDescent="0.15">
      <c r="A17" s="63"/>
      <c r="B17" s="63"/>
      <c r="C17" s="63"/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2"/>
    </row>
    <row r="18" spans="1:19" ht="18" customHeight="1" x14ac:dyDescent="0.15">
      <c r="A18" s="63"/>
      <c r="B18" s="66" t="s">
        <v>56</v>
      </c>
      <c r="C18" s="279">
        <v>82</v>
      </c>
      <c r="D18" s="280"/>
      <c r="E18" s="280"/>
      <c r="F18" s="280"/>
      <c r="G18" s="280"/>
      <c r="H18" s="280"/>
      <c r="I18" s="280"/>
      <c r="J18" s="280"/>
      <c r="K18" s="280"/>
      <c r="L18" s="280"/>
      <c r="M18" s="280"/>
      <c r="N18" s="280"/>
      <c r="O18" s="280"/>
      <c r="P18" s="280"/>
      <c r="Q18" s="281"/>
      <c r="R18" s="63"/>
      <c r="S18" s="62"/>
    </row>
    <row r="19" spans="1:19" ht="18" customHeight="1" x14ac:dyDescent="0.15">
      <c r="A19" s="268"/>
      <c r="B19" s="268"/>
      <c r="C19" s="268"/>
      <c r="D19" s="268"/>
      <c r="E19" s="268"/>
      <c r="F19" s="268"/>
      <c r="G19" s="268"/>
      <c r="H19" s="268"/>
      <c r="I19" s="268"/>
      <c r="J19" s="268"/>
      <c r="K19" s="268"/>
      <c r="L19" s="268"/>
      <c r="M19" s="268"/>
      <c r="N19" s="268"/>
      <c r="O19" s="268"/>
      <c r="P19" s="268"/>
      <c r="Q19" s="268"/>
      <c r="R19" s="268"/>
      <c r="S19" s="62"/>
    </row>
    <row r="20" spans="1:19" ht="18" customHeight="1" x14ac:dyDescent="0.15">
      <c r="A20" s="72" t="s">
        <v>145</v>
      </c>
      <c r="B20" s="73"/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62"/>
    </row>
    <row r="21" spans="1:19" ht="18" customHeight="1" x14ac:dyDescent="0.15">
      <c r="A21" s="63"/>
      <c r="B21" s="64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3"/>
      <c r="S21" s="62"/>
    </row>
    <row r="22" spans="1:19" ht="18" customHeight="1" x14ac:dyDescent="0.15">
      <c r="A22" s="63"/>
      <c r="B22" s="268" t="s">
        <v>34</v>
      </c>
      <c r="C22" s="268"/>
      <c r="D22" s="261">
        <v>39</v>
      </c>
      <c r="E22" s="261"/>
      <c r="F22" s="261">
        <v>40</v>
      </c>
      <c r="G22" s="261"/>
      <c r="H22" s="63"/>
      <c r="I22" s="63"/>
      <c r="J22" s="63"/>
      <c r="K22" s="268" t="s">
        <v>79</v>
      </c>
      <c r="L22" s="268"/>
      <c r="M22" s="268" t="s">
        <v>75</v>
      </c>
      <c r="N22" s="268"/>
      <c r="O22" s="261">
        <v>44</v>
      </c>
      <c r="P22" s="261"/>
      <c r="Q22" s="63"/>
      <c r="R22" s="63"/>
      <c r="S22" s="62"/>
    </row>
    <row r="23" spans="1:19" ht="18" customHeight="1" x14ac:dyDescent="0.15">
      <c r="A23" s="63"/>
      <c r="B23" s="268" t="s">
        <v>84</v>
      </c>
      <c r="C23" s="268"/>
      <c r="D23" s="261">
        <v>41</v>
      </c>
      <c r="E23" s="261"/>
      <c r="F23" s="63"/>
      <c r="G23" s="63"/>
      <c r="H23" s="63"/>
      <c r="I23" s="63"/>
      <c r="J23" s="63"/>
      <c r="K23" s="268"/>
      <c r="L23" s="268"/>
      <c r="M23" s="268" t="s">
        <v>61</v>
      </c>
      <c r="N23" s="268"/>
      <c r="O23" s="261">
        <v>45</v>
      </c>
      <c r="P23" s="261"/>
      <c r="Q23" s="63"/>
      <c r="R23" s="63"/>
      <c r="S23" s="62"/>
    </row>
    <row r="24" spans="1:19" ht="18" customHeight="1" x14ac:dyDescent="0.15">
      <c r="A24" s="63"/>
      <c r="B24" s="268" t="s">
        <v>96</v>
      </c>
      <c r="C24" s="268"/>
      <c r="D24" s="261">
        <v>42</v>
      </c>
      <c r="E24" s="261"/>
      <c r="F24" s="268" t="s">
        <v>152</v>
      </c>
      <c r="G24" s="268"/>
      <c r="H24" s="261">
        <v>43</v>
      </c>
      <c r="I24" s="261"/>
      <c r="J24" s="63"/>
      <c r="K24" s="268" t="s">
        <v>87</v>
      </c>
      <c r="L24" s="268"/>
      <c r="M24" s="268" t="s">
        <v>129</v>
      </c>
      <c r="N24" s="268"/>
      <c r="O24" s="261">
        <v>46</v>
      </c>
      <c r="P24" s="261"/>
      <c r="Q24" s="63"/>
      <c r="R24" s="63"/>
      <c r="S24" s="62"/>
    </row>
    <row r="25" spans="1:19" ht="18" customHeight="1" x14ac:dyDescent="0.15">
      <c r="A25" s="63"/>
      <c r="B25" s="63"/>
      <c r="C25" s="63"/>
      <c r="D25" s="71"/>
      <c r="E25" s="71"/>
      <c r="F25" s="71"/>
      <c r="G25" s="63"/>
      <c r="H25" s="63"/>
      <c r="I25" s="63"/>
      <c r="J25" s="63"/>
      <c r="K25" s="268"/>
      <c r="L25" s="268"/>
      <c r="M25" s="268" t="s">
        <v>61</v>
      </c>
      <c r="N25" s="268"/>
      <c r="O25" s="261">
        <v>47</v>
      </c>
      <c r="P25" s="261"/>
      <c r="Q25" s="63"/>
      <c r="R25" s="63"/>
      <c r="S25" s="62"/>
    </row>
    <row r="26" spans="1:19" ht="18" customHeight="1" x14ac:dyDescent="0.15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268" t="s">
        <v>86</v>
      </c>
      <c r="L26" s="268"/>
      <c r="M26" s="268"/>
      <c r="N26" s="268"/>
      <c r="O26" s="261">
        <v>48</v>
      </c>
      <c r="P26" s="261"/>
      <c r="Q26" s="63"/>
      <c r="R26" s="63"/>
      <c r="S26" s="62"/>
    </row>
    <row r="27" spans="1:19" ht="18" customHeight="1" x14ac:dyDescent="0.15">
      <c r="A27" s="268"/>
      <c r="B27" s="268"/>
      <c r="C27" s="268"/>
      <c r="D27" s="268"/>
      <c r="E27" s="268"/>
      <c r="F27" s="268"/>
      <c r="G27" s="268"/>
      <c r="H27" s="268"/>
      <c r="I27" s="268"/>
      <c r="J27" s="268"/>
      <c r="K27" s="268"/>
      <c r="L27" s="268"/>
      <c r="M27" s="268"/>
      <c r="N27" s="268"/>
      <c r="O27" s="268"/>
      <c r="P27" s="268"/>
      <c r="Q27" s="268"/>
      <c r="R27" s="268"/>
      <c r="S27" s="62"/>
    </row>
    <row r="28" spans="1:19" ht="18" customHeight="1" x14ac:dyDescent="0.15">
      <c r="A28" s="74" t="s">
        <v>70</v>
      </c>
      <c r="B28" s="64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64"/>
      <c r="S28" s="62"/>
    </row>
    <row r="29" spans="1:19" ht="18" customHeight="1" x14ac:dyDescent="0.15">
      <c r="A29" s="63"/>
      <c r="B29" s="67" t="s">
        <v>114</v>
      </c>
      <c r="C29" s="67"/>
      <c r="D29" s="67"/>
      <c r="E29" s="67"/>
      <c r="F29" s="67"/>
      <c r="G29" s="67"/>
      <c r="H29" s="67" t="s">
        <v>73</v>
      </c>
      <c r="I29" s="67"/>
      <c r="J29" s="67"/>
      <c r="K29" s="67"/>
      <c r="L29" s="67"/>
      <c r="M29" s="67"/>
      <c r="N29" s="101" t="s">
        <v>15</v>
      </c>
      <c r="O29" s="101"/>
      <c r="P29" s="67"/>
      <c r="Q29" s="67"/>
      <c r="R29" s="63"/>
      <c r="S29" s="62"/>
    </row>
    <row r="30" spans="1:19" ht="18" customHeight="1" x14ac:dyDescent="0.15">
      <c r="A30" s="63"/>
      <c r="B30" s="268" t="s">
        <v>10</v>
      </c>
      <c r="C30" s="268"/>
      <c r="D30" s="269">
        <v>53</v>
      </c>
      <c r="E30" s="269"/>
      <c r="F30" s="269"/>
      <c r="G30" s="63"/>
      <c r="H30" s="268" t="s">
        <v>13</v>
      </c>
      <c r="I30" s="268"/>
      <c r="J30" s="261">
        <v>65</v>
      </c>
      <c r="K30" s="261"/>
      <c r="L30" s="261"/>
      <c r="M30" s="100"/>
      <c r="N30" s="270" t="s">
        <v>82</v>
      </c>
      <c r="O30" s="271"/>
      <c r="P30" s="265">
        <v>72</v>
      </c>
      <c r="Q30" s="261"/>
      <c r="R30" s="63"/>
      <c r="S30" s="62"/>
    </row>
    <row r="31" spans="1:19" ht="18" customHeight="1" x14ac:dyDescent="0.15">
      <c r="A31" s="63"/>
      <c r="B31" s="268" t="s">
        <v>200</v>
      </c>
      <c r="C31" s="268"/>
      <c r="D31" s="261">
        <v>54</v>
      </c>
      <c r="E31" s="261"/>
      <c r="F31" s="261"/>
      <c r="G31" s="63"/>
      <c r="H31" s="268" t="s">
        <v>215</v>
      </c>
      <c r="I31" s="268"/>
      <c r="J31" s="261">
        <v>66</v>
      </c>
      <c r="K31" s="261"/>
      <c r="L31" s="261"/>
      <c r="M31" s="100"/>
      <c r="N31" s="270" t="s">
        <v>103</v>
      </c>
      <c r="O31" s="271"/>
      <c r="P31" s="265">
        <v>73</v>
      </c>
      <c r="Q31" s="261"/>
      <c r="R31" s="63"/>
      <c r="S31" s="62"/>
    </row>
    <row r="32" spans="1:19" ht="18" customHeight="1" x14ac:dyDescent="0.15">
      <c r="A32" s="63"/>
      <c r="B32" s="267" t="s">
        <v>21</v>
      </c>
      <c r="C32" s="267"/>
      <c r="D32" s="282">
        <v>55</v>
      </c>
      <c r="E32" s="282"/>
      <c r="F32" s="282"/>
      <c r="G32" s="63"/>
      <c r="H32" s="268" t="s">
        <v>111</v>
      </c>
      <c r="I32" s="268"/>
      <c r="J32" s="261">
        <v>67</v>
      </c>
      <c r="K32" s="261"/>
      <c r="L32" s="261"/>
      <c r="M32" s="63"/>
      <c r="N32" s="102"/>
      <c r="O32" s="102"/>
      <c r="P32" s="63"/>
      <c r="Q32" s="63"/>
      <c r="R32" s="63"/>
      <c r="S32" s="62"/>
    </row>
    <row r="33" spans="1:19" ht="18" customHeight="1" x14ac:dyDescent="0.15">
      <c r="A33" s="63"/>
      <c r="B33" s="267" t="s">
        <v>47</v>
      </c>
      <c r="C33" s="267"/>
      <c r="D33" s="261">
        <v>56</v>
      </c>
      <c r="E33" s="261"/>
      <c r="F33" s="71"/>
      <c r="G33" s="63"/>
      <c r="H33" s="268" t="s">
        <v>193</v>
      </c>
      <c r="I33" s="268"/>
      <c r="J33" s="261">
        <v>68</v>
      </c>
      <c r="K33" s="261"/>
      <c r="L33" s="261"/>
      <c r="M33" s="75" t="s">
        <v>71</v>
      </c>
      <c r="N33" s="261">
        <v>79</v>
      </c>
      <c r="O33" s="261"/>
      <c r="P33" s="261"/>
      <c r="Q33" s="261"/>
      <c r="R33" s="63"/>
      <c r="S33" s="62"/>
    </row>
    <row r="34" spans="1:19" ht="18" customHeight="1" x14ac:dyDescent="0.15">
      <c r="A34" s="63"/>
      <c r="B34" s="268" t="s">
        <v>66</v>
      </c>
      <c r="C34" s="268"/>
      <c r="D34" s="269">
        <v>57</v>
      </c>
      <c r="E34" s="269"/>
      <c r="F34" s="269"/>
      <c r="G34" s="63"/>
      <c r="H34" s="268" t="s">
        <v>67</v>
      </c>
      <c r="I34" s="268"/>
      <c r="J34" s="261">
        <v>69</v>
      </c>
      <c r="K34" s="261"/>
      <c r="L34" s="261"/>
      <c r="M34" s="75" t="s">
        <v>133</v>
      </c>
      <c r="N34" s="261">
        <v>80</v>
      </c>
      <c r="O34" s="261"/>
      <c r="P34" s="261"/>
      <c r="Q34" s="261"/>
      <c r="R34" s="63"/>
      <c r="S34" s="62"/>
    </row>
    <row r="35" spans="1:19" ht="18" customHeight="1" x14ac:dyDescent="0.15">
      <c r="A35" s="63"/>
      <c r="B35" s="268" t="s">
        <v>200</v>
      </c>
      <c r="C35" s="268"/>
      <c r="D35" s="261">
        <v>58</v>
      </c>
      <c r="E35" s="261"/>
      <c r="F35" s="261"/>
      <c r="G35" s="63"/>
      <c r="H35" s="268" t="s">
        <v>131</v>
      </c>
      <c r="I35" s="268"/>
      <c r="J35" s="261">
        <v>70</v>
      </c>
      <c r="K35" s="261"/>
      <c r="L35" s="261"/>
      <c r="M35" s="75" t="s">
        <v>162</v>
      </c>
      <c r="N35" s="261">
        <v>81</v>
      </c>
      <c r="O35" s="261"/>
      <c r="P35" s="261"/>
      <c r="Q35" s="261"/>
      <c r="R35" s="63"/>
      <c r="S35" s="62"/>
    </row>
    <row r="36" spans="1:19" ht="18" customHeight="1" x14ac:dyDescent="0.15">
      <c r="A36" s="63"/>
      <c r="B36" s="267" t="s">
        <v>21</v>
      </c>
      <c r="C36" s="267"/>
      <c r="D36" s="282">
        <v>59</v>
      </c>
      <c r="E36" s="282"/>
      <c r="F36" s="282"/>
      <c r="G36" s="63"/>
      <c r="H36" s="268" t="s">
        <v>27</v>
      </c>
      <c r="I36" s="268"/>
      <c r="J36" s="282">
        <v>71</v>
      </c>
      <c r="K36" s="282"/>
      <c r="L36" s="282"/>
      <c r="M36" s="63"/>
      <c r="N36" s="63"/>
      <c r="O36" s="63"/>
      <c r="P36" s="63"/>
      <c r="Q36" s="63"/>
      <c r="R36" s="63"/>
      <c r="S36" s="62"/>
    </row>
    <row r="37" spans="1:19" ht="18" customHeight="1" x14ac:dyDescent="0.15">
      <c r="A37" s="63"/>
      <c r="B37" s="267" t="s">
        <v>47</v>
      </c>
      <c r="C37" s="267"/>
      <c r="D37" s="261">
        <v>60</v>
      </c>
      <c r="E37" s="261"/>
      <c r="F37" s="71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2"/>
    </row>
    <row r="38" spans="1:19" ht="18" customHeight="1" x14ac:dyDescent="0.15">
      <c r="A38" s="63"/>
      <c r="B38" s="268" t="s">
        <v>110</v>
      </c>
      <c r="C38" s="268"/>
      <c r="D38" s="269">
        <v>61</v>
      </c>
      <c r="E38" s="269"/>
      <c r="F38" s="269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2"/>
    </row>
    <row r="39" spans="1:19" ht="18" customHeight="1" x14ac:dyDescent="0.15">
      <c r="A39" s="63"/>
      <c r="B39" s="268" t="s">
        <v>200</v>
      </c>
      <c r="C39" s="268"/>
      <c r="D39" s="261">
        <v>62</v>
      </c>
      <c r="E39" s="261"/>
      <c r="F39" s="261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2"/>
    </row>
    <row r="40" spans="1:19" ht="18" customHeight="1" x14ac:dyDescent="0.15">
      <c r="A40" s="63"/>
      <c r="B40" s="267" t="s">
        <v>21</v>
      </c>
      <c r="C40" s="267"/>
      <c r="D40" s="282">
        <v>63</v>
      </c>
      <c r="E40" s="282"/>
      <c r="F40" s="282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2"/>
    </row>
    <row r="41" spans="1:19" ht="18" customHeight="1" x14ac:dyDescent="0.15">
      <c r="A41" s="63"/>
      <c r="B41" s="267" t="s">
        <v>47</v>
      </c>
      <c r="C41" s="267"/>
      <c r="D41" s="261">
        <v>64</v>
      </c>
      <c r="E41" s="261"/>
      <c r="F41" s="71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2"/>
    </row>
    <row r="42" spans="1:19" ht="18" customHeight="1" x14ac:dyDescent="0.15">
      <c r="A42" s="63"/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2"/>
    </row>
    <row r="43" spans="1:19" ht="14.25" x14ac:dyDescent="0.15">
      <c r="A43" s="76" t="s">
        <v>0</v>
      </c>
      <c r="B43" s="64"/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76" t="s">
        <v>36</v>
      </c>
      <c r="P43" s="262"/>
      <c r="Q43" s="262"/>
      <c r="R43" s="262"/>
      <c r="S43" s="62"/>
    </row>
    <row r="44" spans="1:19" ht="18" customHeight="1" x14ac:dyDescent="0.15">
      <c r="A44" s="63"/>
      <c r="B44" s="64"/>
      <c r="C44" s="64"/>
      <c r="D44" s="64"/>
      <c r="E44" s="64"/>
      <c r="F44" s="64"/>
      <c r="G44" s="64"/>
      <c r="H44" s="64"/>
      <c r="I44" s="64"/>
      <c r="J44" s="64"/>
      <c r="K44" s="64"/>
      <c r="L44" s="266" t="s">
        <v>4</v>
      </c>
      <c r="M44" s="266"/>
      <c r="N44" s="62"/>
      <c r="O44" s="64"/>
      <c r="P44" s="67"/>
      <c r="Q44" s="79">
        <v>1</v>
      </c>
      <c r="R44" s="63"/>
      <c r="S44" s="62"/>
    </row>
    <row r="45" spans="1:19" ht="18" customHeight="1" x14ac:dyDescent="0.15">
      <c r="A45" s="63"/>
      <c r="B45" s="268" t="s">
        <v>142</v>
      </c>
      <c r="C45" s="268"/>
      <c r="D45" s="261">
        <v>9</v>
      </c>
      <c r="E45" s="261"/>
      <c r="F45" s="266" t="s">
        <v>119</v>
      </c>
      <c r="G45" s="266"/>
      <c r="H45" s="268" t="s">
        <v>18</v>
      </c>
      <c r="I45" s="268"/>
      <c r="J45" s="261">
        <v>2</v>
      </c>
      <c r="K45" s="261"/>
      <c r="L45" s="283">
        <f>SUM(O26)</f>
        <v>48</v>
      </c>
      <c r="M45" s="283"/>
      <c r="N45" s="62"/>
      <c r="O45" s="63"/>
      <c r="P45" s="65"/>
      <c r="Q45" s="263" t="s">
        <v>124</v>
      </c>
      <c r="R45" s="263"/>
      <c r="S45" s="62"/>
    </row>
    <row r="46" spans="1:19" ht="18" customHeight="1" x14ac:dyDescent="0.15">
      <c r="A46" s="63"/>
      <c r="B46" s="268" t="s">
        <v>210</v>
      </c>
      <c r="C46" s="268"/>
      <c r="D46" s="261">
        <v>7</v>
      </c>
      <c r="E46" s="261"/>
      <c r="F46" s="283">
        <v>40069</v>
      </c>
      <c r="G46" s="283"/>
      <c r="H46" s="268" t="s">
        <v>99</v>
      </c>
      <c r="I46" s="268"/>
      <c r="J46" s="261">
        <v>49</v>
      </c>
      <c r="K46" s="261"/>
      <c r="L46" s="63"/>
      <c r="M46" s="63"/>
      <c r="N46" s="62"/>
      <c r="O46" s="63"/>
      <c r="P46" s="65"/>
      <c r="Q46" s="263" t="s">
        <v>51</v>
      </c>
      <c r="R46" s="263"/>
      <c r="S46" s="62"/>
    </row>
    <row r="47" spans="1:19" ht="18" customHeight="1" x14ac:dyDescent="0.15">
      <c r="A47" s="63"/>
      <c r="B47" s="268" t="s">
        <v>54</v>
      </c>
      <c r="C47" s="268"/>
      <c r="D47" s="261">
        <v>5</v>
      </c>
      <c r="E47" s="261"/>
      <c r="F47" s="283">
        <v>40073</v>
      </c>
      <c r="G47" s="283"/>
      <c r="H47" s="268" t="s">
        <v>149</v>
      </c>
      <c r="I47" s="268"/>
      <c r="J47" s="261">
        <v>50</v>
      </c>
      <c r="K47" s="261"/>
      <c r="L47" s="63"/>
      <c r="M47" s="63"/>
      <c r="N47" s="62"/>
      <c r="O47" s="63"/>
      <c r="P47" s="65"/>
      <c r="Q47" s="263" t="s">
        <v>52</v>
      </c>
      <c r="R47" s="263"/>
      <c r="S47" s="62"/>
    </row>
    <row r="48" spans="1:19" ht="18" customHeight="1" x14ac:dyDescent="0.15">
      <c r="A48" s="63"/>
      <c r="B48" s="171" t="s">
        <v>22</v>
      </c>
      <c r="C48" s="171"/>
      <c r="D48" s="261">
        <v>4</v>
      </c>
      <c r="E48" s="261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4"/>
      <c r="R48" s="63"/>
      <c r="S48" s="62"/>
    </row>
    <row r="49" spans="1:19" ht="18" customHeight="1" x14ac:dyDescent="0.15">
      <c r="A49" s="63"/>
      <c r="B49" s="63"/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4"/>
      <c r="R49" s="63"/>
      <c r="S49" s="62"/>
    </row>
    <row r="50" spans="1:19" ht="18" customHeight="1" x14ac:dyDescent="0.15">
      <c r="A50" s="77" t="s">
        <v>76</v>
      </c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  <c r="O50" s="62"/>
      <c r="P50" s="62"/>
      <c r="Q50" s="62"/>
      <c r="R50" s="62"/>
      <c r="S50" s="62"/>
    </row>
    <row r="51" spans="1:19" ht="18" customHeight="1" x14ac:dyDescent="0.15">
      <c r="A51" s="62"/>
      <c r="B51" s="62"/>
      <c r="C51" s="62"/>
      <c r="D51" s="62"/>
      <c r="E51" s="62"/>
      <c r="F51" s="62"/>
      <c r="G51" s="62"/>
      <c r="H51" s="62"/>
      <c r="I51" s="62"/>
      <c r="J51" s="62"/>
      <c r="K51" s="62"/>
      <c r="L51" s="62"/>
      <c r="M51" s="62"/>
      <c r="N51" s="62"/>
      <c r="O51" s="62"/>
      <c r="P51" s="62"/>
      <c r="Q51" s="62"/>
      <c r="R51" s="62"/>
      <c r="S51" s="62"/>
    </row>
    <row r="52" spans="1:19" ht="18" customHeight="1" x14ac:dyDescent="0.15">
      <c r="A52" s="62"/>
      <c r="B52" s="268" t="s">
        <v>19</v>
      </c>
      <c r="C52" s="268"/>
      <c r="D52" s="282">
        <v>73</v>
      </c>
      <c r="E52" s="282"/>
      <c r="F52" s="282"/>
      <c r="G52" s="62"/>
      <c r="H52" s="268" t="s">
        <v>178</v>
      </c>
      <c r="I52" s="268"/>
      <c r="J52" s="282">
        <v>74</v>
      </c>
      <c r="K52" s="282"/>
      <c r="L52" s="282"/>
      <c r="M52" s="62"/>
      <c r="N52" s="268" t="s">
        <v>25</v>
      </c>
      <c r="O52" s="268"/>
      <c r="P52" s="282">
        <v>76</v>
      </c>
      <c r="Q52" s="282"/>
      <c r="R52" s="282"/>
      <c r="S52" s="62"/>
    </row>
    <row r="53" spans="1:19" ht="18" customHeight="1" x14ac:dyDescent="0.15">
      <c r="A53" s="62"/>
      <c r="B53" s="62"/>
      <c r="C53" s="62"/>
      <c r="D53" s="62"/>
      <c r="E53" s="62"/>
      <c r="F53" s="62"/>
      <c r="G53" s="62"/>
      <c r="H53" s="268" t="s">
        <v>179</v>
      </c>
      <c r="I53" s="268"/>
      <c r="J53" s="282">
        <v>75</v>
      </c>
      <c r="K53" s="282"/>
      <c r="L53" s="282"/>
      <c r="M53" s="62"/>
      <c r="N53" s="268" t="s">
        <v>48</v>
      </c>
      <c r="O53" s="268"/>
      <c r="P53" s="282">
        <v>77</v>
      </c>
      <c r="Q53" s="282"/>
      <c r="R53" s="282"/>
      <c r="S53" s="62"/>
    </row>
    <row r="54" spans="1:19" ht="18" customHeight="1" x14ac:dyDescent="0.15">
      <c r="A54" s="62"/>
      <c r="B54" s="62"/>
      <c r="C54" s="62"/>
      <c r="D54" s="62"/>
      <c r="E54" s="62"/>
      <c r="F54" s="62"/>
      <c r="G54" s="62"/>
      <c r="H54" s="63"/>
      <c r="I54" s="63"/>
      <c r="J54" s="63"/>
      <c r="K54" s="63"/>
      <c r="L54" s="63"/>
      <c r="M54" s="62"/>
      <c r="N54" s="62"/>
      <c r="O54" s="62"/>
      <c r="P54" s="62"/>
      <c r="Q54" s="62"/>
      <c r="R54" s="62"/>
      <c r="S54" s="62"/>
    </row>
    <row r="55" spans="1:19" ht="18" customHeight="1" x14ac:dyDescent="0.15"/>
  </sheetData>
  <sheetProtection sheet="1"/>
  <dataConsolidate/>
  <mergeCells count="144">
    <mergeCell ref="B52:C52"/>
    <mergeCell ref="D52:F52"/>
    <mergeCell ref="L44:M44"/>
    <mergeCell ref="L45:M45"/>
    <mergeCell ref="F46:G46"/>
    <mergeCell ref="F47:G47"/>
    <mergeCell ref="H45:I45"/>
    <mergeCell ref="F45:G45"/>
    <mergeCell ref="B48:C48"/>
    <mergeCell ref="D48:E48"/>
    <mergeCell ref="H53:I53"/>
    <mergeCell ref="J53:L53"/>
    <mergeCell ref="Q47:R47"/>
    <mergeCell ref="N53:O53"/>
    <mergeCell ref="H52:I52"/>
    <mergeCell ref="J52:L52"/>
    <mergeCell ref="N52:O52"/>
    <mergeCell ref="P52:R52"/>
    <mergeCell ref="P53:R53"/>
    <mergeCell ref="H47:I47"/>
    <mergeCell ref="Q46:R46"/>
    <mergeCell ref="M3:N3"/>
    <mergeCell ref="O3:P3"/>
    <mergeCell ref="M14:Q14"/>
    <mergeCell ref="M15:N15"/>
    <mergeCell ref="O15:Q15"/>
    <mergeCell ref="M11:Q11"/>
    <mergeCell ref="O13:Q13"/>
    <mergeCell ref="M24:N24"/>
    <mergeCell ref="P43:R43"/>
    <mergeCell ref="A1:S1"/>
    <mergeCell ref="Q45:R45"/>
    <mergeCell ref="C14:E14"/>
    <mergeCell ref="K25:L25"/>
    <mergeCell ref="N31:O31"/>
    <mergeCell ref="J30:L30"/>
    <mergeCell ref="B24:C24"/>
    <mergeCell ref="O12:Q12"/>
    <mergeCell ref="N34:Q34"/>
    <mergeCell ref="H33:I33"/>
    <mergeCell ref="C18:Q18"/>
    <mergeCell ref="M12:N12"/>
    <mergeCell ref="M13:N13"/>
    <mergeCell ref="C13:E13"/>
    <mergeCell ref="B23:C23"/>
    <mergeCell ref="D22:E22"/>
    <mergeCell ref="M22:N22"/>
    <mergeCell ref="K22:L22"/>
    <mergeCell ref="G14:K14"/>
    <mergeCell ref="G15:H15"/>
    <mergeCell ref="H34:I34"/>
    <mergeCell ref="N35:Q35"/>
    <mergeCell ref="O26:P26"/>
    <mergeCell ref="F24:G24"/>
    <mergeCell ref="K23:L23"/>
    <mergeCell ref="M23:N23"/>
    <mergeCell ref="K26:N26"/>
    <mergeCell ref="H24:I24"/>
    <mergeCell ref="O23:P23"/>
    <mergeCell ref="K24:L24"/>
    <mergeCell ref="B31:C31"/>
    <mergeCell ref="D31:F31"/>
    <mergeCell ref="N33:Q33"/>
    <mergeCell ref="H36:I36"/>
    <mergeCell ref="H31:I31"/>
    <mergeCell ref="J33:L33"/>
    <mergeCell ref="J34:L34"/>
    <mergeCell ref="J32:L32"/>
    <mergeCell ref="J31:L31"/>
    <mergeCell ref="H32:I32"/>
    <mergeCell ref="B37:C37"/>
    <mergeCell ref="D37:E37"/>
    <mergeCell ref="B36:C36"/>
    <mergeCell ref="B34:C34"/>
    <mergeCell ref="D34:F34"/>
    <mergeCell ref="B35:C35"/>
    <mergeCell ref="A27:R27"/>
    <mergeCell ref="P31:Q31"/>
    <mergeCell ref="O24:P24"/>
    <mergeCell ref="N30:O30"/>
    <mergeCell ref="P30:Q30"/>
    <mergeCell ref="O25:P25"/>
    <mergeCell ref="D24:E24"/>
    <mergeCell ref="H30:I30"/>
    <mergeCell ref="B30:C30"/>
    <mergeCell ref="D30:F30"/>
    <mergeCell ref="B9:C9"/>
    <mergeCell ref="D23:E23"/>
    <mergeCell ref="M25:N25"/>
    <mergeCell ref="C12:E12"/>
    <mergeCell ref="G13:H13"/>
    <mergeCell ref="B22:C22"/>
    <mergeCell ref="C15:E15"/>
    <mergeCell ref="A19:R19"/>
    <mergeCell ref="F22:G22"/>
    <mergeCell ref="O22:P22"/>
    <mergeCell ref="J47:K47"/>
    <mergeCell ref="H46:I46"/>
    <mergeCell ref="J46:K46"/>
    <mergeCell ref="I4:K4"/>
    <mergeCell ref="D6:K6"/>
    <mergeCell ref="D7:K7"/>
    <mergeCell ref="G11:K11"/>
    <mergeCell ref="I8:K8"/>
    <mergeCell ref="D9:G9"/>
    <mergeCell ref="D36:F36"/>
    <mergeCell ref="B5:C5"/>
    <mergeCell ref="B7:C7"/>
    <mergeCell ref="E8:G8"/>
    <mergeCell ref="D4:F4"/>
    <mergeCell ref="G5:H5"/>
    <mergeCell ref="B4:C4"/>
    <mergeCell ref="B6:C6"/>
    <mergeCell ref="B8:C8"/>
    <mergeCell ref="B32:C32"/>
    <mergeCell ref="D32:F32"/>
    <mergeCell ref="D33:E33"/>
    <mergeCell ref="J45:K45"/>
    <mergeCell ref="B33:C33"/>
    <mergeCell ref="J36:L36"/>
    <mergeCell ref="J35:L35"/>
    <mergeCell ref="D35:F35"/>
    <mergeCell ref="H35:I35"/>
    <mergeCell ref="B38:C38"/>
    <mergeCell ref="B47:C47"/>
    <mergeCell ref="D46:E46"/>
    <mergeCell ref="D47:E47"/>
    <mergeCell ref="B45:C45"/>
    <mergeCell ref="D45:E45"/>
    <mergeCell ref="B46:C46"/>
    <mergeCell ref="B41:C41"/>
    <mergeCell ref="D41:E41"/>
    <mergeCell ref="D38:F38"/>
    <mergeCell ref="B39:C39"/>
    <mergeCell ref="D39:F39"/>
    <mergeCell ref="B40:C40"/>
    <mergeCell ref="D40:F40"/>
    <mergeCell ref="R12:S12"/>
    <mergeCell ref="I15:K15"/>
    <mergeCell ref="G16:H16"/>
    <mergeCell ref="I16:K16"/>
    <mergeCell ref="I12:K12"/>
    <mergeCell ref="I13:K13"/>
    <mergeCell ref="G12:H12"/>
  </mergeCells>
  <phoneticPr fontId="2"/>
  <pageMargins left="0.59055118110236227" right="0.19685039370078741" top="0.59055118110236227" bottom="0.39370078740157483" header="0.19685039370078741" footer="0.19685039370078741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Option Button 1">
              <controlPr defaultSize="0" autoFill="0" autoLine="0" autoPict="0">
                <anchor moveWithCells="1">
                  <from>
                    <xdr:col>15</xdr:col>
                    <xdr:colOff>85725</xdr:colOff>
                    <xdr:row>43</xdr:row>
                    <xdr:rowOff>209550</xdr:rowOff>
                  </from>
                  <to>
                    <xdr:col>16</xdr:col>
                    <xdr:colOff>9525</xdr:colOff>
                    <xdr:row>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5" name="Option Button 12">
              <controlPr defaultSize="0" autoFill="0" autoLine="0" autoPict="0">
                <anchor moveWithCells="1">
                  <from>
                    <xdr:col>15</xdr:col>
                    <xdr:colOff>85725</xdr:colOff>
                    <xdr:row>44</xdr:row>
                    <xdr:rowOff>209550</xdr:rowOff>
                  </from>
                  <to>
                    <xdr:col>16</xdr:col>
                    <xdr:colOff>9525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6" name="Option Button 13">
              <controlPr defaultSize="0" autoFill="0" autoLine="0" autoPict="0">
                <anchor moveWithCells="1">
                  <from>
                    <xdr:col>15</xdr:col>
                    <xdr:colOff>85725</xdr:colOff>
                    <xdr:row>45</xdr:row>
                    <xdr:rowOff>209550</xdr:rowOff>
                  </from>
                  <to>
                    <xdr:col>16</xdr:col>
                    <xdr:colOff>9525</xdr:colOff>
                    <xdr:row>47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Z55"/>
  <sheetViews>
    <sheetView zoomScaleNormal="100" zoomScaleSheetLayoutView="100" workbookViewId="0">
      <selection activeCell="E5" sqref="E5"/>
    </sheetView>
  </sheetViews>
  <sheetFormatPr defaultColWidth="0" defaultRowHeight="18" customHeight="1" zeroHeight="1" x14ac:dyDescent="0.15"/>
  <cols>
    <col min="1" max="19" width="5" style="78" customWidth="1"/>
    <col min="20" max="78" width="5" style="55" hidden="1" customWidth="1"/>
    <col min="79" max="16384" width="5" style="33" hidden="1"/>
  </cols>
  <sheetData>
    <row r="1" spans="1:78" ht="18" customHeight="1" x14ac:dyDescent="0.15">
      <c r="A1" s="272" t="s">
        <v>68</v>
      </c>
      <c r="B1" s="273"/>
      <c r="C1" s="273"/>
      <c r="D1" s="273"/>
      <c r="E1" s="273"/>
      <c r="F1" s="273"/>
      <c r="G1" s="273"/>
      <c r="H1" s="273"/>
      <c r="I1" s="273"/>
      <c r="J1" s="273"/>
      <c r="K1" s="273"/>
      <c r="L1" s="273"/>
      <c r="M1" s="273"/>
      <c r="N1" s="273"/>
      <c r="O1" s="273"/>
      <c r="P1" s="273"/>
      <c r="Q1" s="273"/>
      <c r="R1" s="273"/>
      <c r="S1" s="274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3"/>
      <c r="BO1" s="33"/>
      <c r="BP1" s="33"/>
      <c r="BQ1" s="33"/>
      <c r="BR1" s="33"/>
      <c r="BS1" s="33"/>
      <c r="BT1" s="33"/>
      <c r="BU1" s="33"/>
      <c r="BV1" s="33"/>
      <c r="BW1" s="33"/>
      <c r="BX1" s="33"/>
      <c r="BY1" s="33"/>
      <c r="BZ1" s="33"/>
    </row>
    <row r="2" spans="1:78" ht="18" customHeight="1" x14ac:dyDescent="0.15">
      <c r="A2" s="59" t="s">
        <v>41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1" t="s">
        <v>113</v>
      </c>
      <c r="N2" s="60"/>
      <c r="O2" s="60"/>
      <c r="P2" s="60"/>
      <c r="Q2" s="60"/>
      <c r="R2" s="60"/>
      <c r="S2" s="62"/>
    </row>
    <row r="3" spans="1:78" ht="18" customHeight="1" x14ac:dyDescent="0.15">
      <c r="A3" s="63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268" t="s">
        <v>105</v>
      </c>
      <c r="N3" s="268"/>
      <c r="O3" s="268" t="s">
        <v>62</v>
      </c>
      <c r="P3" s="268"/>
      <c r="Q3" s="64"/>
      <c r="R3" s="63"/>
      <c r="S3" s="62"/>
    </row>
    <row r="4" spans="1:78" ht="18" customHeight="1" x14ac:dyDescent="0.15">
      <c r="A4" s="63"/>
      <c r="B4" s="268" t="s">
        <v>156</v>
      </c>
      <c r="C4" s="268"/>
      <c r="D4" s="284" t="s">
        <v>74</v>
      </c>
      <c r="E4" s="284"/>
      <c r="F4" s="284"/>
      <c r="G4" s="63" t="s">
        <v>147</v>
      </c>
      <c r="H4" s="65" t="s">
        <v>6</v>
      </c>
      <c r="I4" s="284" t="s">
        <v>26</v>
      </c>
      <c r="J4" s="284"/>
      <c r="K4" s="284"/>
      <c r="L4" s="63"/>
      <c r="M4" s="63" t="s">
        <v>205</v>
      </c>
      <c r="N4" s="65" t="s">
        <v>101</v>
      </c>
      <c r="O4" s="63" t="s">
        <v>148</v>
      </c>
      <c r="P4" s="65" t="s">
        <v>220</v>
      </c>
      <c r="Q4" s="63"/>
      <c r="R4" s="63"/>
      <c r="S4" s="62"/>
    </row>
    <row r="5" spans="1:78" ht="18" customHeight="1" x14ac:dyDescent="0.15">
      <c r="A5" s="63"/>
      <c r="B5" s="268" t="s">
        <v>108</v>
      </c>
      <c r="C5" s="268"/>
      <c r="D5" s="65" t="s">
        <v>292</v>
      </c>
      <c r="E5" s="65" t="s">
        <v>78</v>
      </c>
      <c r="F5" s="65" t="s">
        <v>60</v>
      </c>
      <c r="G5" s="284" t="s">
        <v>187</v>
      </c>
      <c r="H5" s="284"/>
      <c r="I5" s="63"/>
      <c r="J5" s="65" t="s">
        <v>176</v>
      </c>
      <c r="K5" s="63"/>
      <c r="L5" s="63"/>
      <c r="M5" s="63" t="s">
        <v>181</v>
      </c>
      <c r="N5" s="65" t="s">
        <v>30</v>
      </c>
      <c r="O5" s="63" t="s">
        <v>91</v>
      </c>
      <c r="P5" s="65" t="s">
        <v>202</v>
      </c>
      <c r="Q5" s="63"/>
      <c r="R5" s="63"/>
      <c r="S5" s="62"/>
    </row>
    <row r="6" spans="1:78" ht="18" customHeight="1" x14ac:dyDescent="0.15">
      <c r="A6" s="63"/>
      <c r="B6" s="267" t="s">
        <v>49</v>
      </c>
      <c r="C6" s="267"/>
      <c r="D6" s="296" t="s">
        <v>50</v>
      </c>
      <c r="E6" s="296"/>
      <c r="F6" s="296"/>
      <c r="G6" s="296"/>
      <c r="H6" s="296"/>
      <c r="I6" s="296"/>
      <c r="J6" s="296"/>
      <c r="K6" s="296"/>
      <c r="L6" s="63"/>
      <c r="M6" s="63" t="s">
        <v>50</v>
      </c>
      <c r="N6" s="65" t="s">
        <v>83</v>
      </c>
      <c r="O6" s="63" t="s">
        <v>11</v>
      </c>
      <c r="P6" s="65" t="s">
        <v>39</v>
      </c>
      <c r="Q6" s="63"/>
      <c r="R6" s="63"/>
      <c r="S6" s="62"/>
    </row>
    <row r="7" spans="1:78" ht="18" customHeight="1" x14ac:dyDescent="0.15">
      <c r="A7" s="63"/>
      <c r="B7" s="268" t="s">
        <v>42</v>
      </c>
      <c r="C7" s="268"/>
      <c r="D7" s="296" t="s">
        <v>7</v>
      </c>
      <c r="E7" s="296"/>
      <c r="F7" s="296"/>
      <c r="G7" s="296"/>
      <c r="H7" s="296"/>
      <c r="I7" s="296"/>
      <c r="J7" s="296"/>
      <c r="K7" s="296"/>
      <c r="L7" s="63"/>
      <c r="M7" s="61" t="s">
        <v>183</v>
      </c>
      <c r="N7" s="63"/>
      <c r="O7" s="63"/>
      <c r="P7" s="63"/>
      <c r="Q7" s="63"/>
      <c r="R7" s="63"/>
      <c r="S7" s="62"/>
    </row>
    <row r="8" spans="1:78" ht="18" customHeight="1" x14ac:dyDescent="0.15">
      <c r="A8" s="63"/>
      <c r="B8" s="268" t="s">
        <v>43</v>
      </c>
      <c r="C8" s="268"/>
      <c r="D8" s="63" t="s">
        <v>63</v>
      </c>
      <c r="E8" s="284" t="s">
        <v>102</v>
      </c>
      <c r="F8" s="284"/>
      <c r="G8" s="284"/>
      <c r="H8" s="63" t="s">
        <v>64</v>
      </c>
      <c r="I8" s="284" t="s">
        <v>92</v>
      </c>
      <c r="J8" s="284"/>
      <c r="K8" s="284"/>
      <c r="L8" s="63"/>
      <c r="M8" s="63" t="s">
        <v>194</v>
      </c>
      <c r="N8" s="65" t="s">
        <v>132</v>
      </c>
      <c r="O8" s="63"/>
      <c r="P8" s="63"/>
      <c r="Q8" s="63"/>
      <c r="R8" s="63"/>
      <c r="S8" s="62"/>
    </row>
    <row r="9" spans="1:78" ht="18" customHeight="1" x14ac:dyDescent="0.15">
      <c r="A9" s="63"/>
      <c r="B9" s="268" t="s">
        <v>195</v>
      </c>
      <c r="C9" s="268"/>
      <c r="D9" s="284" t="s">
        <v>177</v>
      </c>
      <c r="E9" s="284"/>
      <c r="F9" s="284"/>
      <c r="G9" s="284"/>
      <c r="H9" s="63"/>
      <c r="I9" s="63"/>
      <c r="J9" s="63"/>
      <c r="K9" s="63"/>
      <c r="L9" s="63"/>
      <c r="M9" s="63" t="s">
        <v>12</v>
      </c>
      <c r="N9" s="65" t="s">
        <v>173</v>
      </c>
      <c r="O9" s="63"/>
      <c r="P9" s="136"/>
      <c r="Q9" s="63"/>
      <c r="R9" s="63"/>
      <c r="S9" s="62"/>
    </row>
    <row r="10" spans="1:78" ht="18" customHeight="1" x14ac:dyDescent="0.15">
      <c r="A10" s="63"/>
      <c r="B10" s="63"/>
      <c r="C10" s="63"/>
      <c r="D10" s="63"/>
      <c r="E10" s="63"/>
      <c r="F10" s="63"/>
      <c r="G10" s="63"/>
      <c r="H10" s="63"/>
      <c r="I10" s="63"/>
      <c r="J10" s="63"/>
      <c r="K10" s="63"/>
      <c r="L10" s="63"/>
      <c r="M10" s="63" t="s">
        <v>88</v>
      </c>
      <c r="N10" s="65" t="s">
        <v>196</v>
      </c>
      <c r="O10" s="63"/>
      <c r="P10" s="63"/>
      <c r="Q10" s="63"/>
      <c r="R10" s="63"/>
      <c r="S10" s="62"/>
    </row>
    <row r="11" spans="1:78" ht="18" customHeight="1" x14ac:dyDescent="0.15">
      <c r="A11" s="63"/>
      <c r="B11" s="67" t="s">
        <v>184</v>
      </c>
      <c r="C11" s="67"/>
      <c r="D11" s="67"/>
      <c r="E11" s="68" t="s">
        <v>175</v>
      </c>
      <c r="F11" s="64"/>
      <c r="G11" s="262" t="s">
        <v>180</v>
      </c>
      <c r="H11" s="262"/>
      <c r="I11" s="262"/>
      <c r="J11" s="262"/>
      <c r="K11" s="262"/>
      <c r="L11" s="64"/>
      <c r="M11" s="293" t="s">
        <v>130</v>
      </c>
      <c r="N11" s="294"/>
      <c r="O11" s="294"/>
      <c r="P11" s="295"/>
      <c r="Q11" s="67"/>
      <c r="R11" s="63"/>
      <c r="S11" s="71" t="s">
        <v>279</v>
      </c>
      <c r="T11" s="56"/>
      <c r="U11" s="57"/>
      <c r="V11" s="57"/>
      <c r="W11" s="57"/>
      <c r="X11" s="58"/>
      <c r="Y11" s="57"/>
      <c r="Z11" s="57"/>
      <c r="AA11" s="57"/>
      <c r="AB11" s="58"/>
      <c r="AC11" s="57"/>
      <c r="AD11" s="57"/>
      <c r="AE11" s="57"/>
    </row>
    <row r="12" spans="1:78" ht="18" customHeight="1" x14ac:dyDescent="0.15">
      <c r="A12" s="63"/>
      <c r="B12" s="69"/>
      <c r="C12" s="263" t="s">
        <v>166</v>
      </c>
      <c r="D12" s="263"/>
      <c r="E12" s="263"/>
      <c r="F12" s="64"/>
      <c r="G12" s="268" t="s">
        <v>169</v>
      </c>
      <c r="H12" s="268"/>
      <c r="I12" s="287" t="s">
        <v>267</v>
      </c>
      <c r="J12" s="287"/>
      <c r="K12" s="287"/>
      <c r="L12" s="63"/>
      <c r="M12" s="268" t="s">
        <v>169</v>
      </c>
      <c r="N12" s="268"/>
      <c r="O12" s="287" t="s">
        <v>269</v>
      </c>
      <c r="P12" s="287"/>
      <c r="Q12" s="287"/>
      <c r="R12" s="284" t="s">
        <v>277</v>
      </c>
      <c r="S12" s="284"/>
    </row>
    <row r="13" spans="1:78" ht="18" customHeight="1" x14ac:dyDescent="0.15">
      <c r="A13" s="63"/>
      <c r="B13" s="70"/>
      <c r="C13" s="263" t="s">
        <v>141</v>
      </c>
      <c r="D13" s="263"/>
      <c r="E13" s="263"/>
      <c r="F13" s="64"/>
      <c r="G13" s="267" t="s">
        <v>21</v>
      </c>
      <c r="H13" s="267"/>
      <c r="I13" s="287" t="s">
        <v>268</v>
      </c>
      <c r="J13" s="287"/>
      <c r="K13" s="287"/>
      <c r="L13" s="63"/>
      <c r="M13" s="267" t="s">
        <v>21</v>
      </c>
      <c r="N13" s="267"/>
      <c r="O13" s="287" t="s">
        <v>270</v>
      </c>
      <c r="P13" s="287"/>
      <c r="Q13" s="287"/>
      <c r="R13" s="63"/>
      <c r="S13" s="62"/>
    </row>
    <row r="14" spans="1:78" ht="18" customHeight="1" x14ac:dyDescent="0.15">
      <c r="A14" s="63"/>
      <c r="B14" s="70"/>
      <c r="C14" s="263" t="s">
        <v>172</v>
      </c>
      <c r="D14" s="263"/>
      <c r="E14" s="263"/>
      <c r="F14" s="71"/>
      <c r="G14" s="262" t="s">
        <v>260</v>
      </c>
      <c r="H14" s="262"/>
      <c r="I14" s="262"/>
      <c r="J14" s="262"/>
      <c r="K14" s="262"/>
      <c r="L14" s="63"/>
      <c r="M14" s="262" t="s">
        <v>211</v>
      </c>
      <c r="N14" s="262"/>
      <c r="O14" s="262"/>
      <c r="P14" s="262"/>
      <c r="Q14" s="262"/>
      <c r="R14" s="63"/>
      <c r="S14" s="62"/>
    </row>
    <row r="15" spans="1:78" ht="18" customHeight="1" x14ac:dyDescent="0.15">
      <c r="A15" s="63"/>
      <c r="B15" s="94"/>
      <c r="C15" s="275" t="s">
        <v>57</v>
      </c>
      <c r="D15" s="276"/>
      <c r="E15" s="277"/>
      <c r="F15" s="71"/>
      <c r="G15" s="268" t="s">
        <v>169</v>
      </c>
      <c r="H15" s="268"/>
      <c r="I15" s="287" t="s">
        <v>262</v>
      </c>
      <c r="J15" s="287"/>
      <c r="K15" s="287"/>
      <c r="L15" s="63"/>
      <c r="M15" s="268" t="s">
        <v>169</v>
      </c>
      <c r="N15" s="268"/>
      <c r="O15" s="287" t="s">
        <v>271</v>
      </c>
      <c r="P15" s="287"/>
      <c r="Q15" s="287"/>
      <c r="R15" s="63"/>
      <c r="S15" s="62"/>
    </row>
    <row r="16" spans="1:78" ht="18" customHeight="1" x14ac:dyDescent="0.15">
      <c r="A16" s="63"/>
      <c r="B16" s="66"/>
      <c r="C16" s="66"/>
      <c r="D16" s="71"/>
      <c r="E16" s="71"/>
      <c r="F16" s="71"/>
      <c r="G16" s="267" t="s">
        <v>21</v>
      </c>
      <c r="H16" s="267"/>
      <c r="I16" s="287" t="s">
        <v>231</v>
      </c>
      <c r="J16" s="287"/>
      <c r="K16" s="287"/>
      <c r="L16" s="63"/>
      <c r="M16" s="267" t="s">
        <v>21</v>
      </c>
      <c r="N16" s="268"/>
      <c r="O16" s="287" t="s">
        <v>272</v>
      </c>
      <c r="P16" s="287"/>
      <c r="Q16" s="287"/>
      <c r="R16" s="63"/>
      <c r="S16" s="62"/>
    </row>
    <row r="17" spans="1:19" ht="18" customHeight="1" x14ac:dyDescent="0.15">
      <c r="A17" s="63"/>
      <c r="B17" s="63"/>
      <c r="C17" s="63"/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2"/>
    </row>
    <row r="18" spans="1:19" ht="18" customHeight="1" x14ac:dyDescent="0.15">
      <c r="A18" s="63"/>
      <c r="B18" s="66" t="s">
        <v>56</v>
      </c>
      <c r="C18" s="289" t="s">
        <v>273</v>
      </c>
      <c r="D18" s="290"/>
      <c r="E18" s="290"/>
      <c r="F18" s="290"/>
      <c r="G18" s="290"/>
      <c r="H18" s="290"/>
      <c r="I18" s="290"/>
      <c r="J18" s="290"/>
      <c r="K18" s="290"/>
      <c r="L18" s="290"/>
      <c r="M18" s="290"/>
      <c r="N18" s="290"/>
      <c r="O18" s="290"/>
      <c r="P18" s="290"/>
      <c r="Q18" s="291"/>
      <c r="R18" s="63"/>
      <c r="S18" s="62"/>
    </row>
    <row r="19" spans="1:19" ht="18" customHeight="1" x14ac:dyDescent="0.15">
      <c r="A19" s="268"/>
      <c r="B19" s="268"/>
      <c r="C19" s="268"/>
      <c r="D19" s="268"/>
      <c r="E19" s="268"/>
      <c r="F19" s="268"/>
      <c r="G19" s="268"/>
      <c r="H19" s="268"/>
      <c r="I19" s="268"/>
      <c r="J19" s="268"/>
      <c r="K19" s="268"/>
      <c r="L19" s="268"/>
      <c r="M19" s="268"/>
      <c r="N19" s="268"/>
      <c r="O19" s="268"/>
      <c r="P19" s="268"/>
      <c r="Q19" s="268"/>
      <c r="R19" s="268"/>
      <c r="S19" s="62"/>
    </row>
    <row r="20" spans="1:19" ht="18" customHeight="1" x14ac:dyDescent="0.15">
      <c r="A20" s="72" t="s">
        <v>145</v>
      </c>
      <c r="B20" s="73"/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62"/>
    </row>
    <row r="21" spans="1:19" ht="18" customHeight="1" x14ac:dyDescent="0.15">
      <c r="A21" s="63"/>
      <c r="B21" s="64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3"/>
      <c r="S21" s="62"/>
    </row>
    <row r="22" spans="1:19" ht="18" customHeight="1" x14ac:dyDescent="0.15">
      <c r="A22" s="63"/>
      <c r="B22" s="268" t="s">
        <v>34</v>
      </c>
      <c r="C22" s="268"/>
      <c r="D22" s="284" t="s">
        <v>146</v>
      </c>
      <c r="E22" s="284"/>
      <c r="F22" s="284" t="s">
        <v>174</v>
      </c>
      <c r="G22" s="284"/>
      <c r="H22" s="63"/>
      <c r="I22" s="63"/>
      <c r="J22" s="63"/>
      <c r="K22" s="268" t="s">
        <v>79</v>
      </c>
      <c r="L22" s="268"/>
      <c r="M22" s="268" t="s">
        <v>75</v>
      </c>
      <c r="N22" s="268"/>
      <c r="O22" s="284" t="s">
        <v>157</v>
      </c>
      <c r="P22" s="284"/>
      <c r="Q22" s="63"/>
      <c r="R22" s="63"/>
      <c r="S22" s="62"/>
    </row>
    <row r="23" spans="1:19" ht="18" customHeight="1" x14ac:dyDescent="0.15">
      <c r="A23" s="63"/>
      <c r="B23" s="268" t="s">
        <v>84</v>
      </c>
      <c r="C23" s="268"/>
      <c r="D23" s="284" t="s">
        <v>2</v>
      </c>
      <c r="E23" s="284"/>
      <c r="F23" s="63"/>
      <c r="G23" s="63"/>
      <c r="H23" s="63"/>
      <c r="I23" s="63"/>
      <c r="J23" s="63"/>
      <c r="K23" s="268"/>
      <c r="L23" s="268"/>
      <c r="M23" s="268" t="s">
        <v>61</v>
      </c>
      <c r="N23" s="268"/>
      <c r="O23" s="284" t="s">
        <v>158</v>
      </c>
      <c r="P23" s="284"/>
      <c r="Q23" s="63"/>
      <c r="R23" s="63"/>
      <c r="S23" s="62"/>
    </row>
    <row r="24" spans="1:19" ht="18" customHeight="1" x14ac:dyDescent="0.15">
      <c r="A24" s="63"/>
      <c r="B24" s="268" t="s">
        <v>96</v>
      </c>
      <c r="C24" s="268"/>
      <c r="D24" s="284" t="s">
        <v>90</v>
      </c>
      <c r="E24" s="284"/>
      <c r="F24" s="268" t="s">
        <v>152</v>
      </c>
      <c r="G24" s="268"/>
      <c r="H24" s="284" t="s">
        <v>206</v>
      </c>
      <c r="I24" s="284"/>
      <c r="J24" s="63"/>
      <c r="K24" s="268" t="s">
        <v>87</v>
      </c>
      <c r="L24" s="268"/>
      <c r="M24" s="268" t="s">
        <v>129</v>
      </c>
      <c r="N24" s="268"/>
      <c r="O24" s="284" t="s">
        <v>159</v>
      </c>
      <c r="P24" s="284"/>
      <c r="Q24" s="63"/>
      <c r="R24" s="63"/>
      <c r="S24" s="62"/>
    </row>
    <row r="25" spans="1:19" ht="18" customHeight="1" x14ac:dyDescent="0.15">
      <c r="A25" s="63"/>
      <c r="B25" s="63"/>
      <c r="C25" s="63"/>
      <c r="D25" s="71"/>
      <c r="E25" s="71"/>
      <c r="F25" s="71"/>
      <c r="G25" s="63"/>
      <c r="H25" s="63"/>
      <c r="I25" s="63"/>
      <c r="J25" s="63"/>
      <c r="K25" s="268"/>
      <c r="L25" s="268"/>
      <c r="M25" s="268" t="s">
        <v>61</v>
      </c>
      <c r="N25" s="268"/>
      <c r="O25" s="284" t="s">
        <v>160</v>
      </c>
      <c r="P25" s="284"/>
      <c r="Q25" s="63"/>
      <c r="R25" s="63"/>
      <c r="S25" s="62"/>
    </row>
    <row r="26" spans="1:19" ht="18" customHeight="1" x14ac:dyDescent="0.15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268" t="s">
        <v>86</v>
      </c>
      <c r="L26" s="268"/>
      <c r="M26" s="268"/>
      <c r="N26" s="268"/>
      <c r="O26" s="284" t="s">
        <v>100</v>
      </c>
      <c r="P26" s="284"/>
      <c r="Q26" s="63"/>
      <c r="R26" s="63"/>
      <c r="S26" s="62"/>
    </row>
    <row r="27" spans="1:19" ht="18" customHeight="1" x14ac:dyDescent="0.15">
      <c r="A27" s="268"/>
      <c r="B27" s="268"/>
      <c r="C27" s="268"/>
      <c r="D27" s="268"/>
      <c r="E27" s="268"/>
      <c r="F27" s="268"/>
      <c r="G27" s="268"/>
      <c r="H27" s="268"/>
      <c r="I27" s="268"/>
      <c r="J27" s="268"/>
      <c r="K27" s="268"/>
      <c r="L27" s="268"/>
      <c r="M27" s="268"/>
      <c r="N27" s="268"/>
      <c r="O27" s="268"/>
      <c r="P27" s="268"/>
      <c r="Q27" s="268"/>
      <c r="R27" s="268"/>
      <c r="S27" s="62"/>
    </row>
    <row r="28" spans="1:19" ht="18" customHeight="1" x14ac:dyDescent="0.15">
      <c r="A28" s="74" t="s">
        <v>70</v>
      </c>
      <c r="B28" s="64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64"/>
      <c r="S28" s="62"/>
    </row>
    <row r="29" spans="1:19" ht="18" customHeight="1" x14ac:dyDescent="0.15">
      <c r="A29" s="63"/>
      <c r="B29" s="67" t="s">
        <v>114</v>
      </c>
      <c r="C29" s="67"/>
      <c r="D29" s="67"/>
      <c r="E29" s="67"/>
      <c r="F29" s="67"/>
      <c r="G29" s="67"/>
      <c r="H29" s="67" t="s">
        <v>73</v>
      </c>
      <c r="I29" s="67"/>
      <c r="J29" s="67"/>
      <c r="K29" s="67"/>
      <c r="L29" s="67"/>
      <c r="M29" s="67"/>
      <c r="N29" s="101" t="s">
        <v>15</v>
      </c>
      <c r="O29" s="101"/>
      <c r="P29" s="67"/>
      <c r="Q29" s="67"/>
      <c r="R29" s="63"/>
      <c r="S29" s="62"/>
    </row>
    <row r="30" spans="1:19" ht="18" customHeight="1" x14ac:dyDescent="0.15">
      <c r="A30" s="63"/>
      <c r="B30" s="268" t="s">
        <v>10</v>
      </c>
      <c r="C30" s="268"/>
      <c r="D30" s="288" t="s">
        <v>232</v>
      </c>
      <c r="E30" s="288"/>
      <c r="F30" s="288"/>
      <c r="G30" s="63"/>
      <c r="H30" s="268" t="s">
        <v>13</v>
      </c>
      <c r="I30" s="268"/>
      <c r="J30" s="287" t="s">
        <v>244</v>
      </c>
      <c r="K30" s="287"/>
      <c r="L30" s="287"/>
      <c r="M30" s="100"/>
      <c r="N30" s="297" t="s">
        <v>82</v>
      </c>
      <c r="O30" s="298"/>
      <c r="P30" s="292" t="s">
        <v>251</v>
      </c>
      <c r="Q30" s="287"/>
      <c r="R30" s="63"/>
      <c r="S30" s="62"/>
    </row>
    <row r="31" spans="1:19" ht="18" customHeight="1" x14ac:dyDescent="0.15">
      <c r="A31" s="63"/>
      <c r="B31" s="268" t="s">
        <v>200</v>
      </c>
      <c r="C31" s="268"/>
      <c r="D31" s="287" t="s">
        <v>233</v>
      </c>
      <c r="E31" s="287"/>
      <c r="F31" s="287"/>
      <c r="G31" s="63"/>
      <c r="H31" s="268" t="s">
        <v>215</v>
      </c>
      <c r="I31" s="268"/>
      <c r="J31" s="287" t="s">
        <v>245</v>
      </c>
      <c r="K31" s="287"/>
      <c r="L31" s="287"/>
      <c r="M31" s="100"/>
      <c r="N31" s="297" t="s">
        <v>103</v>
      </c>
      <c r="O31" s="298"/>
      <c r="P31" s="292" t="s">
        <v>252</v>
      </c>
      <c r="Q31" s="287"/>
      <c r="R31" s="63"/>
      <c r="S31" s="62"/>
    </row>
    <row r="32" spans="1:19" ht="18" customHeight="1" x14ac:dyDescent="0.15">
      <c r="A32" s="63"/>
      <c r="B32" s="267" t="s">
        <v>21</v>
      </c>
      <c r="C32" s="267"/>
      <c r="D32" s="287" t="s">
        <v>234</v>
      </c>
      <c r="E32" s="287"/>
      <c r="F32" s="287"/>
      <c r="G32" s="63"/>
      <c r="H32" s="268" t="s">
        <v>111</v>
      </c>
      <c r="I32" s="268"/>
      <c r="J32" s="287" t="s">
        <v>246</v>
      </c>
      <c r="K32" s="287"/>
      <c r="L32" s="287"/>
      <c r="M32" s="63"/>
      <c r="N32" s="102"/>
      <c r="O32" s="102"/>
      <c r="P32" s="63"/>
      <c r="Q32" s="63"/>
      <c r="R32" s="63"/>
      <c r="S32" s="62"/>
    </row>
    <row r="33" spans="1:19" ht="18" customHeight="1" x14ac:dyDescent="0.15">
      <c r="A33" s="63"/>
      <c r="B33" s="267" t="s">
        <v>47</v>
      </c>
      <c r="C33" s="267"/>
      <c r="D33" s="284" t="s">
        <v>235</v>
      </c>
      <c r="E33" s="284"/>
      <c r="F33" s="71"/>
      <c r="G33" s="63"/>
      <c r="H33" s="268" t="s">
        <v>193</v>
      </c>
      <c r="I33" s="268"/>
      <c r="J33" s="287" t="s">
        <v>247</v>
      </c>
      <c r="K33" s="287"/>
      <c r="L33" s="287"/>
      <c r="M33" s="75" t="s">
        <v>71</v>
      </c>
      <c r="N33" s="284" t="s">
        <v>258</v>
      </c>
      <c r="O33" s="284"/>
      <c r="P33" s="284"/>
      <c r="Q33" s="284"/>
      <c r="R33" s="63"/>
      <c r="S33" s="62"/>
    </row>
    <row r="34" spans="1:19" ht="18" customHeight="1" x14ac:dyDescent="0.15">
      <c r="A34" s="63"/>
      <c r="B34" s="268" t="s">
        <v>66</v>
      </c>
      <c r="C34" s="268"/>
      <c r="D34" s="288" t="s">
        <v>236</v>
      </c>
      <c r="E34" s="288"/>
      <c r="F34" s="288"/>
      <c r="G34" s="63"/>
      <c r="H34" s="268" t="s">
        <v>67</v>
      </c>
      <c r="I34" s="268"/>
      <c r="J34" s="287" t="s">
        <v>248</v>
      </c>
      <c r="K34" s="287"/>
      <c r="L34" s="287"/>
      <c r="M34" s="75" t="s">
        <v>133</v>
      </c>
      <c r="N34" s="284" t="s">
        <v>259</v>
      </c>
      <c r="O34" s="284"/>
      <c r="P34" s="284"/>
      <c r="Q34" s="284"/>
      <c r="R34" s="63"/>
      <c r="S34" s="62"/>
    </row>
    <row r="35" spans="1:19" ht="18" customHeight="1" x14ac:dyDescent="0.15">
      <c r="A35" s="63"/>
      <c r="B35" s="268" t="s">
        <v>200</v>
      </c>
      <c r="C35" s="268"/>
      <c r="D35" s="287" t="s">
        <v>237</v>
      </c>
      <c r="E35" s="287"/>
      <c r="F35" s="287"/>
      <c r="G35" s="63"/>
      <c r="H35" s="268" t="s">
        <v>131</v>
      </c>
      <c r="I35" s="268"/>
      <c r="J35" s="287" t="s">
        <v>249</v>
      </c>
      <c r="K35" s="287"/>
      <c r="L35" s="287"/>
      <c r="M35" s="75" t="s">
        <v>162</v>
      </c>
      <c r="N35" s="284" t="s">
        <v>230</v>
      </c>
      <c r="O35" s="284"/>
      <c r="P35" s="284"/>
      <c r="Q35" s="284"/>
      <c r="R35" s="63"/>
      <c r="S35" s="62"/>
    </row>
    <row r="36" spans="1:19" ht="18" customHeight="1" x14ac:dyDescent="0.15">
      <c r="A36" s="63"/>
      <c r="B36" s="267" t="s">
        <v>21</v>
      </c>
      <c r="C36" s="267"/>
      <c r="D36" s="287" t="s">
        <v>238</v>
      </c>
      <c r="E36" s="287"/>
      <c r="F36" s="287"/>
      <c r="G36" s="63"/>
      <c r="H36" s="268" t="s">
        <v>27</v>
      </c>
      <c r="I36" s="268"/>
      <c r="J36" s="287" t="s">
        <v>250</v>
      </c>
      <c r="K36" s="287"/>
      <c r="L36" s="287"/>
      <c r="M36" s="63"/>
      <c r="N36" s="63"/>
      <c r="O36" s="63"/>
      <c r="P36" s="63"/>
      <c r="Q36" s="63"/>
      <c r="R36" s="63"/>
      <c r="S36" s="62"/>
    </row>
    <row r="37" spans="1:19" ht="18" customHeight="1" x14ac:dyDescent="0.15">
      <c r="A37" s="63"/>
      <c r="B37" s="267" t="s">
        <v>47</v>
      </c>
      <c r="C37" s="267"/>
      <c r="D37" s="284" t="s">
        <v>239</v>
      </c>
      <c r="E37" s="284"/>
      <c r="F37" s="71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2"/>
    </row>
    <row r="38" spans="1:19" ht="18" customHeight="1" x14ac:dyDescent="0.15">
      <c r="A38" s="63"/>
      <c r="B38" s="268" t="s">
        <v>110</v>
      </c>
      <c r="C38" s="268"/>
      <c r="D38" s="288" t="s">
        <v>240</v>
      </c>
      <c r="E38" s="288"/>
      <c r="F38" s="288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2"/>
    </row>
    <row r="39" spans="1:19" ht="18" customHeight="1" x14ac:dyDescent="0.15">
      <c r="A39" s="63"/>
      <c r="B39" s="268" t="s">
        <v>200</v>
      </c>
      <c r="C39" s="268"/>
      <c r="D39" s="287" t="s">
        <v>241</v>
      </c>
      <c r="E39" s="287"/>
      <c r="F39" s="287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2"/>
    </row>
    <row r="40" spans="1:19" ht="18" customHeight="1" x14ac:dyDescent="0.15">
      <c r="A40" s="63"/>
      <c r="B40" s="267" t="s">
        <v>21</v>
      </c>
      <c r="C40" s="267"/>
      <c r="D40" s="287" t="s">
        <v>242</v>
      </c>
      <c r="E40" s="287"/>
      <c r="F40" s="287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2"/>
    </row>
    <row r="41" spans="1:19" ht="18" customHeight="1" x14ac:dyDescent="0.15">
      <c r="A41" s="63"/>
      <c r="B41" s="267" t="s">
        <v>47</v>
      </c>
      <c r="C41" s="267"/>
      <c r="D41" s="284" t="s">
        <v>243</v>
      </c>
      <c r="E41" s="284"/>
      <c r="F41" s="71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2"/>
    </row>
    <row r="42" spans="1:19" ht="18" customHeight="1" x14ac:dyDescent="0.15">
      <c r="A42" s="63"/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2"/>
    </row>
    <row r="43" spans="1:19" ht="14.25" x14ac:dyDescent="0.15">
      <c r="A43" s="76" t="s">
        <v>0</v>
      </c>
      <c r="B43" s="64"/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76" t="s">
        <v>36</v>
      </c>
      <c r="P43" s="262"/>
      <c r="Q43" s="262"/>
      <c r="R43" s="262"/>
      <c r="S43" s="62"/>
    </row>
    <row r="44" spans="1:19" ht="18" customHeight="1" x14ac:dyDescent="0.15">
      <c r="A44" s="63"/>
      <c r="B44" s="64"/>
      <c r="C44" s="64"/>
      <c r="D44" s="64"/>
      <c r="E44" s="64"/>
      <c r="F44" s="64"/>
      <c r="G44" s="64"/>
      <c r="H44" s="64"/>
      <c r="I44" s="64"/>
      <c r="J44" s="64"/>
      <c r="K44" s="64"/>
      <c r="L44" s="266" t="s">
        <v>4</v>
      </c>
      <c r="M44" s="266"/>
      <c r="N44" s="62"/>
      <c r="O44" s="64"/>
      <c r="P44" s="67"/>
      <c r="Q44" s="68" t="s">
        <v>171</v>
      </c>
      <c r="R44" s="63"/>
      <c r="S44" s="62"/>
    </row>
    <row r="45" spans="1:19" ht="18" customHeight="1" x14ac:dyDescent="0.15">
      <c r="A45" s="63"/>
      <c r="B45" s="268" t="s">
        <v>142</v>
      </c>
      <c r="C45" s="268"/>
      <c r="D45" s="284" t="s">
        <v>44</v>
      </c>
      <c r="E45" s="284"/>
      <c r="F45" s="266" t="s">
        <v>119</v>
      </c>
      <c r="G45" s="266"/>
      <c r="H45" s="268" t="s">
        <v>18</v>
      </c>
      <c r="I45" s="268"/>
      <c r="J45" s="284" t="s">
        <v>38</v>
      </c>
      <c r="K45" s="284"/>
      <c r="L45" s="283">
        <f>SUM(O26)</f>
        <v>0</v>
      </c>
      <c r="M45" s="283"/>
      <c r="N45" s="62"/>
      <c r="O45" s="63"/>
      <c r="P45" s="65"/>
      <c r="Q45" s="263" t="s">
        <v>124</v>
      </c>
      <c r="R45" s="263"/>
      <c r="S45" s="62"/>
    </row>
    <row r="46" spans="1:19" ht="18" customHeight="1" x14ac:dyDescent="0.15">
      <c r="A46" s="63"/>
      <c r="B46" s="268" t="s">
        <v>210</v>
      </c>
      <c r="C46" s="268"/>
      <c r="D46" s="284" t="s">
        <v>121</v>
      </c>
      <c r="E46" s="284"/>
      <c r="F46" s="283">
        <v>40069</v>
      </c>
      <c r="G46" s="283"/>
      <c r="H46" s="268" t="s">
        <v>99</v>
      </c>
      <c r="I46" s="268"/>
      <c r="J46" s="284" t="s">
        <v>3</v>
      </c>
      <c r="K46" s="284"/>
      <c r="L46" s="63"/>
      <c r="M46" s="63"/>
      <c r="N46" s="62"/>
      <c r="O46" s="63"/>
      <c r="P46" s="65"/>
      <c r="Q46" s="263" t="s">
        <v>51</v>
      </c>
      <c r="R46" s="263"/>
      <c r="S46" s="62"/>
    </row>
    <row r="47" spans="1:19" ht="18" customHeight="1" x14ac:dyDescent="0.15">
      <c r="A47" s="63"/>
      <c r="B47" s="285" t="s">
        <v>54</v>
      </c>
      <c r="C47" s="285"/>
      <c r="D47" s="286" t="s">
        <v>24</v>
      </c>
      <c r="E47" s="286"/>
      <c r="F47" s="283">
        <v>40073</v>
      </c>
      <c r="G47" s="283"/>
      <c r="H47" s="268" t="s">
        <v>149</v>
      </c>
      <c r="I47" s="268"/>
      <c r="J47" s="284" t="s">
        <v>261</v>
      </c>
      <c r="K47" s="284"/>
      <c r="L47" s="63"/>
      <c r="M47" s="63"/>
      <c r="N47" s="62"/>
      <c r="O47" s="63"/>
      <c r="P47" s="65"/>
      <c r="Q47" s="263" t="s">
        <v>17</v>
      </c>
      <c r="R47" s="263"/>
      <c r="S47" s="62"/>
    </row>
    <row r="48" spans="1:19" ht="18" customHeight="1" x14ac:dyDescent="0.15">
      <c r="A48" s="63"/>
      <c r="B48" s="299" t="s">
        <v>22</v>
      </c>
      <c r="C48" s="299"/>
      <c r="D48" s="300" t="s">
        <v>161</v>
      </c>
      <c r="E48" s="300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4"/>
      <c r="R48" s="63"/>
      <c r="S48" s="62"/>
    </row>
    <row r="49" spans="1:19" ht="18" customHeight="1" x14ac:dyDescent="0.15">
      <c r="A49" s="63"/>
      <c r="B49" s="102"/>
      <c r="C49" s="102"/>
      <c r="D49" s="102"/>
      <c r="E49" s="102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4"/>
      <c r="R49" s="63"/>
      <c r="S49" s="62"/>
    </row>
    <row r="50" spans="1:19" ht="18" customHeight="1" x14ac:dyDescent="0.15">
      <c r="A50" s="77" t="s">
        <v>76</v>
      </c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  <c r="O50" s="62"/>
      <c r="P50" s="62"/>
      <c r="Q50" s="62"/>
      <c r="R50" s="62"/>
      <c r="S50" s="62"/>
    </row>
    <row r="51" spans="1:19" ht="18" customHeight="1" x14ac:dyDescent="0.15">
      <c r="A51" s="62"/>
      <c r="B51" s="62"/>
      <c r="C51" s="62"/>
      <c r="D51" s="62"/>
      <c r="E51" s="62"/>
      <c r="F51" s="62"/>
      <c r="G51" s="62"/>
      <c r="H51" s="62"/>
      <c r="I51" s="62"/>
      <c r="J51" s="62"/>
      <c r="K51" s="62"/>
      <c r="L51" s="62"/>
      <c r="M51" s="62"/>
      <c r="N51" s="62"/>
      <c r="O51" s="62"/>
      <c r="P51" s="62"/>
      <c r="Q51" s="62"/>
      <c r="R51" s="62"/>
      <c r="S51" s="62"/>
    </row>
    <row r="52" spans="1:19" ht="18" customHeight="1" x14ac:dyDescent="0.15">
      <c r="A52" s="62"/>
      <c r="B52" s="268" t="s">
        <v>19</v>
      </c>
      <c r="C52" s="268"/>
      <c r="D52" s="287" t="s">
        <v>253</v>
      </c>
      <c r="E52" s="287"/>
      <c r="F52" s="287"/>
      <c r="G52" s="62"/>
      <c r="H52" s="268" t="s">
        <v>178</v>
      </c>
      <c r="I52" s="268"/>
      <c r="J52" s="287" t="s">
        <v>254</v>
      </c>
      <c r="K52" s="287"/>
      <c r="L52" s="287"/>
      <c r="M52" s="62"/>
      <c r="N52" s="268" t="s">
        <v>25</v>
      </c>
      <c r="O52" s="268"/>
      <c r="P52" s="287" t="s">
        <v>256</v>
      </c>
      <c r="Q52" s="287"/>
      <c r="R52" s="287"/>
      <c r="S52" s="62"/>
    </row>
    <row r="53" spans="1:19" ht="18" customHeight="1" x14ac:dyDescent="0.15">
      <c r="A53" s="62"/>
      <c r="B53" s="62"/>
      <c r="C53" s="62"/>
      <c r="D53" s="62"/>
      <c r="E53" s="62"/>
      <c r="F53" s="62"/>
      <c r="G53" s="62"/>
      <c r="H53" s="268" t="s">
        <v>179</v>
      </c>
      <c r="I53" s="268"/>
      <c r="J53" s="287" t="s">
        <v>255</v>
      </c>
      <c r="K53" s="287"/>
      <c r="L53" s="287"/>
      <c r="M53" s="62"/>
      <c r="N53" s="268" t="s">
        <v>48</v>
      </c>
      <c r="O53" s="268"/>
      <c r="P53" s="287" t="s">
        <v>257</v>
      </c>
      <c r="Q53" s="287"/>
      <c r="R53" s="287"/>
      <c r="S53" s="62"/>
    </row>
    <row r="54" spans="1:19" ht="18" customHeight="1" x14ac:dyDescent="0.15">
      <c r="A54" s="62"/>
      <c r="B54" s="62"/>
      <c r="C54" s="62"/>
      <c r="D54" s="62"/>
      <c r="E54" s="62"/>
      <c r="F54" s="62"/>
      <c r="G54" s="62"/>
      <c r="H54" s="63"/>
      <c r="I54" s="63"/>
      <c r="J54" s="63"/>
      <c r="K54" s="63"/>
      <c r="L54" s="63"/>
      <c r="M54" s="62"/>
      <c r="N54" s="62"/>
      <c r="O54" s="62"/>
      <c r="P54" s="62"/>
      <c r="Q54" s="62"/>
      <c r="R54" s="62"/>
      <c r="S54" s="62"/>
    </row>
    <row r="55" spans="1:19" ht="18" customHeight="1" x14ac:dyDescent="0.15"/>
  </sheetData>
  <sheetProtection sheet="1"/>
  <mergeCells count="146">
    <mergeCell ref="D52:F52"/>
    <mergeCell ref="B38:C38"/>
    <mergeCell ref="J31:L31"/>
    <mergeCell ref="M24:N24"/>
    <mergeCell ref="F46:G46"/>
    <mergeCell ref="B39:C39"/>
    <mergeCell ref="D39:F39"/>
    <mergeCell ref="B40:C40"/>
    <mergeCell ref="D40:F40"/>
    <mergeCell ref="D41:E41"/>
    <mergeCell ref="O16:Q16"/>
    <mergeCell ref="H53:I53"/>
    <mergeCell ref="J53:L53"/>
    <mergeCell ref="H52:I52"/>
    <mergeCell ref="J52:L52"/>
    <mergeCell ref="P52:R52"/>
    <mergeCell ref="O22:P22"/>
    <mergeCell ref="O23:P23"/>
    <mergeCell ref="M22:N22"/>
    <mergeCell ref="Q46:R46"/>
    <mergeCell ref="F45:G45"/>
    <mergeCell ref="B45:C45"/>
    <mergeCell ref="B46:C46"/>
    <mergeCell ref="N52:O52"/>
    <mergeCell ref="B48:C48"/>
    <mergeCell ref="D48:E48"/>
    <mergeCell ref="F47:G47"/>
    <mergeCell ref="D46:E46"/>
    <mergeCell ref="B52:C52"/>
    <mergeCell ref="H46:I46"/>
    <mergeCell ref="O26:P26"/>
    <mergeCell ref="M25:N25"/>
    <mergeCell ref="P53:R53"/>
    <mergeCell ref="N30:O30"/>
    <mergeCell ref="Q47:R47"/>
    <mergeCell ref="L44:M44"/>
    <mergeCell ref="Q45:R45"/>
    <mergeCell ref="N53:O53"/>
    <mergeCell ref="N31:O31"/>
    <mergeCell ref="N34:Q34"/>
    <mergeCell ref="A1:S1"/>
    <mergeCell ref="M3:N3"/>
    <mergeCell ref="D6:K6"/>
    <mergeCell ref="C13:E13"/>
    <mergeCell ref="O3:P3"/>
    <mergeCell ref="B5:C5"/>
    <mergeCell ref="B8:C8"/>
    <mergeCell ref="I4:K4"/>
    <mergeCell ref="B4:C4"/>
    <mergeCell ref="G5:H5"/>
    <mergeCell ref="H33:I33"/>
    <mergeCell ref="J33:L33"/>
    <mergeCell ref="H34:I34"/>
    <mergeCell ref="N33:Q33"/>
    <mergeCell ref="J35:L35"/>
    <mergeCell ref="P31:Q31"/>
    <mergeCell ref="N35:Q35"/>
    <mergeCell ref="H32:I32"/>
    <mergeCell ref="J32:L32"/>
    <mergeCell ref="L45:M45"/>
    <mergeCell ref="J34:L34"/>
    <mergeCell ref="J45:K45"/>
    <mergeCell ref="H45:I45"/>
    <mergeCell ref="J36:L36"/>
    <mergeCell ref="P43:R43"/>
    <mergeCell ref="H35:I35"/>
    <mergeCell ref="D30:F30"/>
    <mergeCell ref="D9:G9"/>
    <mergeCell ref="C12:E12"/>
    <mergeCell ref="B9:C9"/>
    <mergeCell ref="H36:I36"/>
    <mergeCell ref="K23:L23"/>
    <mergeCell ref="H31:I31"/>
    <mergeCell ref="G12:H12"/>
    <mergeCell ref="G11:K11"/>
    <mergeCell ref="F22:G22"/>
    <mergeCell ref="O12:Q12"/>
    <mergeCell ref="M12:N12"/>
    <mergeCell ref="I12:K12"/>
    <mergeCell ref="I13:K13"/>
    <mergeCell ref="G14:K14"/>
    <mergeCell ref="D7:K7"/>
    <mergeCell ref="I8:K8"/>
    <mergeCell ref="M14:Q14"/>
    <mergeCell ref="O13:Q13"/>
    <mergeCell ref="E8:G8"/>
    <mergeCell ref="C14:E14"/>
    <mergeCell ref="R12:S12"/>
    <mergeCell ref="M11:P11"/>
    <mergeCell ref="M15:N15"/>
    <mergeCell ref="M13:N13"/>
    <mergeCell ref="B36:C36"/>
    <mergeCell ref="B35:C35"/>
    <mergeCell ref="B22:C22"/>
    <mergeCell ref="D22:E22"/>
    <mergeCell ref="D35:F35"/>
    <mergeCell ref="P30:Q30"/>
    <mergeCell ref="I16:K16"/>
    <mergeCell ref="K26:N26"/>
    <mergeCell ref="O24:P24"/>
    <mergeCell ref="K25:L25"/>
    <mergeCell ref="O25:P25"/>
    <mergeCell ref="M16:N16"/>
    <mergeCell ref="H30:I30"/>
    <mergeCell ref="J30:L30"/>
    <mergeCell ref="M23:N23"/>
    <mergeCell ref="I15:K15"/>
    <mergeCell ref="D38:F38"/>
    <mergeCell ref="F24:G24"/>
    <mergeCell ref="H24:I24"/>
    <mergeCell ref="K22:L22"/>
    <mergeCell ref="B33:C33"/>
    <mergeCell ref="B31:C31"/>
    <mergeCell ref="K24:L24"/>
    <mergeCell ref="D31:F31"/>
    <mergeCell ref="D24:E24"/>
    <mergeCell ref="D4:F4"/>
    <mergeCell ref="B6:C6"/>
    <mergeCell ref="A27:R27"/>
    <mergeCell ref="C18:Q18"/>
    <mergeCell ref="G13:H13"/>
    <mergeCell ref="B7:C7"/>
    <mergeCell ref="O15:Q15"/>
    <mergeCell ref="B24:C24"/>
    <mergeCell ref="G15:H15"/>
    <mergeCell ref="G16:H16"/>
    <mergeCell ref="B32:C32"/>
    <mergeCell ref="D32:F32"/>
    <mergeCell ref="D45:E45"/>
    <mergeCell ref="D36:F36"/>
    <mergeCell ref="B37:C37"/>
    <mergeCell ref="D37:E37"/>
    <mergeCell ref="D33:E33"/>
    <mergeCell ref="B34:C34"/>
    <mergeCell ref="D34:F34"/>
    <mergeCell ref="B41:C41"/>
    <mergeCell ref="J47:K47"/>
    <mergeCell ref="C15:E15"/>
    <mergeCell ref="A19:R19"/>
    <mergeCell ref="J46:K46"/>
    <mergeCell ref="B30:C30"/>
    <mergeCell ref="H47:I47"/>
    <mergeCell ref="B47:C47"/>
    <mergeCell ref="B23:C23"/>
    <mergeCell ref="D47:E47"/>
    <mergeCell ref="D23:E23"/>
  </mergeCells>
  <phoneticPr fontId="2"/>
  <conditionalFormatting sqref="D48">
    <cfRule type="cellIs" dxfId="0" priority="1" stopIfTrue="1" operator="equal">
      <formula>$D$49</formula>
    </cfRule>
  </conditionalFormatting>
  <pageMargins left="0.59055118110236227" right="0.19685039370078741" top="0.59055118110236227" bottom="0.39370078740157483" header="0.19685039370078741" footer="0.19685039370078741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Option Button 1">
              <controlPr defaultSize="0" autoFill="0" autoLine="0" autoPict="0">
                <anchor moveWithCells="1">
                  <from>
                    <xdr:col>15</xdr:col>
                    <xdr:colOff>85725</xdr:colOff>
                    <xdr:row>43</xdr:row>
                    <xdr:rowOff>209550</xdr:rowOff>
                  </from>
                  <to>
                    <xdr:col>16</xdr:col>
                    <xdr:colOff>9525</xdr:colOff>
                    <xdr:row>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Option Button 12">
              <controlPr defaultSize="0" autoFill="0" autoLine="0" autoPict="0">
                <anchor moveWithCells="1">
                  <from>
                    <xdr:col>15</xdr:col>
                    <xdr:colOff>85725</xdr:colOff>
                    <xdr:row>44</xdr:row>
                    <xdr:rowOff>209550</xdr:rowOff>
                  </from>
                  <to>
                    <xdr:col>16</xdr:col>
                    <xdr:colOff>9525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Option Button 13">
              <controlPr defaultSize="0" autoFill="0" autoLine="0" autoPict="0">
                <anchor moveWithCells="1">
                  <from>
                    <xdr:col>15</xdr:col>
                    <xdr:colOff>85725</xdr:colOff>
                    <xdr:row>45</xdr:row>
                    <xdr:rowOff>209550</xdr:rowOff>
                  </from>
                  <to>
                    <xdr:col>16</xdr:col>
                    <xdr:colOff>9525</xdr:colOff>
                    <xdr:row>47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2"/>
  <sheetViews>
    <sheetView workbookViewId="0">
      <selection activeCell="F9" sqref="F9"/>
    </sheetView>
  </sheetViews>
  <sheetFormatPr defaultRowHeight="13.5" x14ac:dyDescent="0.15"/>
  <sheetData>
    <row r="1" spans="1:1" x14ac:dyDescent="0.15">
      <c r="A1" t="s">
        <v>1</v>
      </c>
    </row>
    <row r="2" spans="1:1" x14ac:dyDescent="0.15">
      <c r="A2">
        <v>8</v>
      </c>
    </row>
  </sheetData>
  <phoneticPr fontId="2"/>
  <pageMargins left="0.75" right="0.75" top="1" bottom="1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受注伝票</vt:lpstr>
      <vt:lpstr>受注一覧</vt:lpstr>
      <vt:lpstr>メモ</vt:lpstr>
      <vt:lpstr>LISTCOLDEFNUM_W</vt:lpstr>
      <vt:lpstr>LISTCOLDEFNUM_R</vt:lpstr>
      <vt:lpstr>LISTCOLDEFALP</vt:lpstr>
      <vt:lpstr>MASTER</vt:lpstr>
    </vt:vector>
  </TitlesOfParts>
  <Company>施工部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Masashi.Moritani</dc:creator>
  <cp:lastModifiedBy>jun</cp:lastModifiedBy>
  <cp:lastPrinted>2018-12-17T04:55:34Z</cp:lastPrinted>
  <dcterms:created xsi:type="dcterms:W3CDTF">2009-09-28T12:50:03Z</dcterms:created>
  <dcterms:modified xsi:type="dcterms:W3CDTF">2022-06-27T23:57:01Z</dcterms:modified>
</cp:coreProperties>
</file>